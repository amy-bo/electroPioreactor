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worksheets/sheet9.xml" ContentType="application/vnd.openxmlformats-officedocument.spreadsheetml.worksheet+xml"/>
  <Override PartName="/xl/metadata.xml" ContentType="application/vnd.openxmlformats-officedocument.spreadsheetml.sheetMetadata+xml"/>
  <Override PartName="/xl/tables/table1.xml" ContentType="application/vnd.openxmlformats-officedocument.spreadsheetml.table+xml"/>
  <Override PartName="/xl/worksheets/sheet10.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sheets/sheet11.xml" ContentType="application/vnd.openxmlformats-officedocument.spreadsheetml.worksheet+xml"/>
  <Override PartName="/xl/tables/table4.xml" ContentType="application/vnd.openxmlformats-officedocument.spreadsheetml.table+xml"/>
  <Override PartName="/xl/worksheets/sheet12.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13.xml" ContentType="application/vnd.openxmlformats-officedocument.spreadsheetml.worksheet+xml"/>
  <Override PartName="/xl/tables/table7.xml" ContentType="application/vnd.openxmlformats-officedocument.spreadsheetml.table+xml"/>
  <Override PartName="/xl/worksheets/sheet14.xml" ContentType="application/vnd.openxmlformats-officedocument.spreadsheetml.worksheet+xml"/>
  <Override PartName="/xl/tables/table8.xml" ContentType="application/vnd.openxmlformats-officedocument.spreadsheetml.table+xml"/>
  <Override PartName="/xl/worksheets/sheet15.xml" ContentType="application/vnd.openxmlformats-officedocument.spreadsheetml.worksheet+xml"/>
  <Override PartName="/xl/tables/table9.xml" ContentType="application/vnd.openxmlformats-officedocument.spreadsheetml.table+xml"/>
  <Override PartName="/xl/worksheets/sheet16.xml" ContentType="application/vnd.openxmlformats-officedocument.spreadsheetml.worksheet+xml"/>
  <Override PartName="/xl/tables/table10.xml" ContentType="application/vnd.openxmlformats-officedocument.spreadsheetml.table+xml"/>
  <Override PartName="/xl/worksheets/sheet17.xml" ContentType="application/vnd.openxmlformats-officedocument.spreadsheetml.worksheet+xml"/>
  <Override PartName="/xl/tables/table11.xml" ContentType="application/vnd.openxmlformats-officedocument.spreadsheetml.table+xml"/>
  <Override PartName="/xl/worksheets/sheet18.xml" ContentType="application/vnd.openxmlformats-officedocument.spreadsheetml.worksheet+xml"/>
  <Override PartName="/xl/tables/table12.xml" ContentType="application/vnd.openxmlformats-officedocument.spreadsheetml.table+xml"/>
  <Override PartName="/xl/worksheets/sheet19.xml" ContentType="application/vnd.openxmlformats-officedocument.spreadsheetml.worksheet+xml"/>
  <Override PartName="/xl/tables/table13.xml" ContentType="application/vnd.openxmlformats-officedocument.spreadsheetml.table+xml"/>
  <Override PartName="/xl/worksheets/sheet20.xml" ContentType="application/vnd.openxmlformats-officedocument.spreadsheetml.worksheet+xml"/>
  <Override PartName="/xl/tables/table14.xml" ContentType="application/vnd.openxmlformats-officedocument.spreadsheetml.table+xml"/>
  <Override PartName="/xl/worksheets/sheet21.xml" ContentType="application/vnd.openxmlformats-officedocument.spreadsheetml.worksheet+xml"/>
  <Override PartName="/xl/tables/table15.xml" ContentType="application/vnd.openxmlformats-officedocument.spreadsheetml.table+xml"/>
  <Override PartName="/xl/worksheets/sheet22.xml" ContentType="application/vnd.openxmlformats-officedocument.spreadsheetml.worksheet+xml"/>
  <Override PartName="/xl/tables/table16.xml" ContentType="application/vnd.openxmlformats-officedocument.spreadsheetml.table+xml"/>
  <Override PartName="/xl/worksheets/sheet23.xml" ContentType="application/vnd.openxmlformats-officedocument.spreadsheetml.worksheet+xml"/>
  <Override PartName="/xl/tables/table17.xml" ContentType="application/vnd.openxmlformats-officedocument.spreadsheetml.table+xml"/>
  <Override PartName="/xl/worksheets/sheet24.xml" ContentType="application/vnd.openxmlformats-officedocument.spreadsheetml.worksheet+xml"/>
  <Override PartName="/xl/tables/table18.xml" ContentType="application/vnd.openxmlformats-officedocument.spreadsheetml.table+xml"/>
  <Override PartName="/xl/worksheets/sheet25.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F336BCD9-5ECE-2E47-A0F4-CFFE4042CEEF}" xr6:coauthVersionLast="47" xr6:coauthVersionMax="47" xr10:uidLastSave="{00000000-0000-0000-0000-000000000000}"/>
  <bookViews>
    <workbookView xWindow="0" yWindow="580" windowWidth="28800" windowHeight="18060" tabRatio="500" xr2:uid="{00000000-000D-0000-FFFF-FFFF00000000}" activeTab="1"/>
  </bookViews>
  <sheets>
    <sheet name="Contents" sheetId="25" r:id="rId30"/>
    <sheet name="Summary" sheetId="1" r:id="rId1"/>
    <sheet name="Reactors" sheetId="10" r:id="rId15"/>
    <sheet name="Electrodes" sheetId="11" r:id="rId16"/>
    <sheet name="Organisms" sheetId="12" r:id="rId17"/>
    <sheet name="Media" sheetId="9" r:id="rId13"/>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Cal current" sheetId="13" r:id="rId18"/>
    <sheet name="Cal faradaic" sheetId="14" r:id="rId19"/>
    <sheet name="Cal kLa" sheetId="15" r:id="rId20"/>
    <sheet name="Cal CO2 flow" sheetId="16" r:id="rId21"/>
    <sheet name="Cal vial" sheetId="17" r:id="rId22"/>
    <sheet name="Cal sinter" sheetId="18" r:id="rId23"/>
    <sheet name="Cal DO" sheetId="19" r:id="rId24"/>
    <sheet name="Cal knallgas" sheetId="20" r:id="rId25"/>
    <sheet name="Cal j screen" sheetId="21" r:id="rId26"/>
    <sheet name="Cal km" sheetId="22" r:id="rId27"/>
    <sheet name="Cal chloramine" sheetId="23" r:id="rId28"/>
    <sheet name="Experiments" sheetId="24" r:id="rId29"/>
  </sheets>
  <definedNames>
    <definedName name="A_anode" localSheetId="8">Chemistry!$D$130</definedName>
    <definedName name="A_anode_wet" localSheetId="7">Electrochemistry!$D$46</definedName>
    <definedName name="A_cath_wet" localSheetId="7">Electrochemistry!$D$47</definedName>
    <definedName name="A_DH" localSheetId="8">Chemistry!$D$186</definedName>
    <definedName name="a_int" localSheetId="10">'Mass Transfer'!$D$49</definedName>
    <definedName name="a_surf" localSheetId="10">'Mass Transfer'!$D$71</definedName>
    <definedName name="A_x" localSheetId="6">Geometry!$D$21</definedName>
    <definedName name="A_x" localSheetId="10">'Mass Transfer'!$D$17</definedName>
    <definedName name="alk_add_M" localSheetId="8">Chemistry!$D$318</definedName>
    <definedName name="alk_NaHCO3_gL" localSheetId="8">Chemistry!$D$308</definedName>
    <definedName name="alk_needed" localSheetId="8">Chemistry!$D$306</definedName>
    <definedName name="alk_pH_target" localSheetId="8">Chemistry!$D$303</definedName>
    <definedName name="alk_pH_target_c" localSheetId="8">Chemistry!$D$304</definedName>
    <definedName name="alk_resid_t" localSheetId="8">Chemistry!$D$305</definedName>
    <definedName name="anode_dia" localSheetId="7">Electrochemistry!$D$42</definedName>
    <definedName name="anode_j_cont" localSheetId="7">Electrochemistry!$D$50</definedName>
    <definedName name="anode_j_max" localSheetId="7">Electrochemistry!$D$51</definedName>
    <definedName name="anode_material" localSheetId="7">Electrochemistry!$D$63</definedName>
    <definedName name="anode_shape" localSheetId="7">Electrochemistry!$D$41</definedName>
    <definedName name="b_anode" localSheetId="7">Electrochemistry!$D$107</definedName>
    <definedName name="b_cath" localSheetId="7">Electrochemistry!$D$109</definedName>
    <definedName name="beta_nonC" localSheetId="8">Chemistry!$D$295</definedName>
    <definedName name="bio_CO2" localSheetId="9">Biology!$D$12</definedName>
    <definedName name="bio_H2" localSheetId="9">Biology!$D$10</definedName>
    <definedName name="bio_O2" localSheetId="9">Biology!$D$11</definedName>
    <definedName name="bleach_flag" localSheetId="8">Chemistry!$D$109</definedName>
    <definedName name="bleach_rate" localSheetId="8">Chemistry!$D$107</definedName>
    <definedName name="bleach_t1ppm" localSheetId="8">Chemistry!$D$108</definedName>
    <definedName name="bubble_regime" localSheetId="10">'Mass Transfer'!$D$64</definedName>
    <definedName name="buffer_caution_frac" localSheetId="8">Chemistry!$D$238</definedName>
    <definedName name="buffer_flag" localSheetId="8">Chemistry!$D$219</definedName>
    <definedName name="C_air_CO2" localSheetId="10">'Mass Transfer'!$D$146</definedName>
    <definedName name="C_CO2_mf" localSheetId="10">'Mass Transfer'!$D$382</definedName>
    <definedName name="C_cycle_peak" localSheetId="10">'Mass Transfer'!$D$199</definedName>
    <definedName name="C_cycle_start" localSheetId="10">'Mass Transfer'!$D$198</definedName>
    <definedName name="C_cycle_start_b" localSheetId="9">Biology!$D$97</definedName>
    <definedName name="C_eff" localSheetId="8">Chemistry!$D$145</definedName>
    <definedName name="C_eff_Cl2" localSheetId="8">Chemistry!$D$226</definedName>
    <definedName name="C_eff_hi" localSheetId="8">Chemistry!$D$157</definedName>
    <definedName name="C_eff_hi_Cl2" localSheetId="8">Chemistry!$D$260</definedName>
    <definedName name="C_eff_lo" localSheetId="8">Chemistry!$D$156</definedName>
    <definedName name="C_eff_lo_Cl2" localSheetId="8">Chemistry!$D$259</definedName>
    <definedName name="C_H2_sat" localSheetId="9">Biology!$D$41</definedName>
    <definedName name="C_sat_CO2" localSheetId="10">'Mass Transfer'!$D$145</definedName>
    <definedName name="cal_warning" localSheetId="10">'Mass Transfer'!$D$120</definedName>
    <definedName name="carbon_margin_min" localSheetId="10">'Mass Transfer'!$D$85</definedName>
    <definedName name="carry_flag" localSheetId="10">'Mass Transfer'!$D$59</definedName>
    <definedName name="carry_flag_usg" localSheetId="10">'Mass Transfer'!$D$414</definedName>
    <definedName name="carry_n" localSheetId="10">'Mass Transfer'!$D$412</definedName>
    <definedName name="cath_j_cont" localSheetId="7">Electrochemistry!$D$52</definedName>
    <definedName name="cath_j_max" localSheetId="7">Electrochemistry!$D$53</definedName>
    <definedName name="cathode_dia" localSheetId="7">Electrochemistry!$D$44</definedName>
    <definedName name="cathode_shape" localSheetId="7">Electrochemistry!$D$43</definedName>
    <definedName name="cf_Cl_kill" localSheetId="1">Summary!$D$186</definedName>
    <definedName name="cf_Cl_onset" localSheetId="1">Summary!$D$185</definedName>
    <definedName name="cf_pH_hi" localSheetId="1">Summary!$D$183</definedName>
    <definedName name="cf_pH_lo" localSheetId="1">Summary!$D$182</definedName>
    <definedName name="cf_pH_red_hi" localSheetId="1">Summary!$D$184</definedName>
    <definedName name="cf_pH_red_lo" localSheetId="1">Summary!$D$181</definedName>
    <definedName name="chk_bubble" localSheetId="1">Summary!$D$126</definedName>
    <definedName name="chk_cal" localSheetId="1">Summary!$D$123</definedName>
    <definedName name="chk_carry_usg" localSheetId="1">Summary!$D$116</definedName>
    <definedName name="chk_carryover" localSheetId="1">Summary!$D$115</definedName>
    <definedName name="chk_CO2_supply" localSheetId="1">Summary!$D$103</definedName>
    <definedName name="chk_DO_data" localSheetId="1">Summary!$D$124</definedName>
    <definedName name="chk_DO_min" localSheetId="1">Summary!$D$97</definedName>
    <definedName name="chk_DO_opt" localSheetId="1">Summary!$D$96</definedName>
    <definedName name="chk_DO_pH" localSheetId="1">Summary!$D$95</definedName>
    <definedName name="chk_geom" localSheetId="1">Summary!$D$122</definedName>
    <definedName name="chk_H2" localSheetId="1">Summary!$D$92</definedName>
    <definedName name="res_hs_sag" localSheetId="1">Summary!$D$54</definedName>
    <definedName name="chk_hs_sag_ok" localSheetId="1">Summary!$D$127</definedName>
    <definedName name="chk_led_law" localSheetId="1">Summary!$D$125</definedName>
    <definedName name="chk_level" localSheetId="1">Summary!$D$118</definedName>
    <definedName name="chk_media_vol" localSheetId="1">Summary!$D$117</definedName>
    <definedName name="chk_od_window" localSheetId="1">Summary!$D$112</definedName>
    <definedName name="chk_pool" localSheetId="1">Summary!$D$104</definedName>
    <definedName name="chk_pulse_floor" localSheetId="1">Summary!$D$111</definedName>
    <definedName name="res_relax" localSheetId="1">Summary!$D$31</definedName>
    <definedName name="chk_tip" localSheetId="1">Summary!$D$108</definedName>
    <definedName name="Cl_bound" localSheetId="8">Chemistry!$D$311</definedName>
    <definedName name="Cl_floor_molL" localSheetId="8">Chemistry!$D$234</definedName>
    <definedName name="Cl_free_frac" localSheetId="8">Chemistry!$D$278</definedName>
    <definedName name="Cl_kill" localSheetId="8">Chemistry!$D$147</definedName>
    <definedName name="Cl_model_check" localSheetId="8">Chemistry!$D$312</definedName>
    <definedName name="Cl_onset" localSheetId="8">Chemistry!$D$146</definedName>
    <definedName name="cl_per_N" localSheetId="8">Chemistry!$D$224</definedName>
    <definedName name="Cl_pool_mgL" localSheetId="8">Chemistry!$D$149</definedName>
    <definedName name="cleared_min" localSheetId="10">'Mass Transfer'!$D$213</definedName>
    <definedName name="CO2_carbon_margin" localSheetId="9">Biology!$D$35</definedName>
    <definedName name="CO2_cons" localSheetId="9">Biology!$D$15</definedName>
    <definedName name="CO2_cons" localSheetId="10">'Mass Transfer'!$D$10</definedName>
    <definedName name="CO2_cyc_avg_new" localSheetId="10">'Mass Transfer'!$D$200</definedName>
    <definedName name="CO2_diss" localSheetId="9">Biology!$D$33</definedName>
    <definedName name="CO2_fix_g" localSheetId="10">'Mass Transfer'!$D$315</definedName>
    <definedName name="CO2_fix_l" localSheetId="10">'Mass Transfer'!$D$316</definedName>
    <definedName name="CO2_fix_sched" localSheetId="10">'Mass Transfer'!$D$319</definedName>
    <definedName name="CO2_margin_trough" localSheetId="9">Biology!$D$98</definedName>
    <definedName name="CO2_pH_hi" localSheetId="8">Chemistry!$D$324</definedName>
    <definedName name="CO2_pH_hi_mt" localSheetId="10">'Mass Transfer'!$D$429</definedName>
    <definedName name="CO2_pulse" localSheetId="10">'Mass Transfer'!$D$123</definedName>
    <definedName name="CO2_rate_full" localSheetId="10">'Mass Transfer'!$D$178</definedName>
    <definedName name="CO2_rate_full_b" localSheetId="9">Biology!$D$77</definedName>
    <definedName name="CO2_sd_ratio" localSheetId="10">'Mass Transfer'!$D$126</definedName>
    <definedName name="CO2_supply" localSheetId="10">'Mass Transfer'!$D$100</definedName>
    <definedName name="CO2_supply_b" localSheetId="9">Biology!$D$76</definedName>
    <definedName name="CO2_uptake_ratio" localSheetId="10">'Mass Transfer'!$D$417</definedName>
    <definedName name="CO2aqc" localSheetId="8">Chemistry!$D$5</definedName>
    <definedName name="CO2aqc_ss" localSheetId="10">'Mass Transfer'!$D$162</definedName>
    <definedName name="corr_I_frac" localSheetId="8">Chemistry!$D$158</definedName>
    <definedName name="d_bubble" localSheetId="10">'Mass Transfer'!$D$42</definedName>
    <definedName name="d_bubble_min_m" localSheetId="10">'Mass Transfer'!$D$211</definedName>
    <definedName name="d_bubble_mm" localSheetId="10">'Mass Transfer'!$D$43</definedName>
    <definedName name="D_Cl" localSheetId="8">Chemistry!$D$277</definedName>
    <definedName name="D_CO2" localSheetId="10">'Mass Transfer'!$D$138</definedName>
    <definedName name="D_CO2_ref" localSheetId="10">'Mass Transfer'!$D$174</definedName>
    <definedName name="D_HCO3" localSheetId="8">Chemistry!$D$251</definedName>
    <definedName name="D_HPO4" localSheetId="8">Chemistry!$D$214</definedName>
    <definedName name="D_int" localSheetId="6">Geometry!$D$22</definedName>
    <definedName name="D_O2" localSheetId="10">'Mass Transfer'!$D$32</definedName>
    <definedName name="D_O2_c" localSheetId="8">Chemistry!$D$274</definedName>
    <definedName name="d_orifice" localSheetId="10">'Mass Transfer'!$D$41</definedName>
    <definedName name="davies_c" localSheetId="8">Chemistry!$D$233</definedName>
    <definedName name="delta_diff" localSheetId="8">Chemistry!$D$215</definedName>
    <definedName name="depth_warn" localSheetId="6">Geometry!$D$55</definedName>
    <definedName name="DH_const" localSheetId="8">Chemistry!$D$230</definedName>
    <definedName name="DIC_cap" localSheetId="8">Chemistry!$D$296</definedName>
    <definedName name="DIC_cap_mt" localSheetId="10">'Mass Transfer'!$D$415</definedName>
    <definedName name="DIC_ref_check" localSheetId="8">Chemistry!$D$310</definedName>
    <definedName name="DIC_ref_tol" localSheetId="8">Chemistry!$D$309</definedName>
    <definedName name="disp_tot" localSheetId="6">Geometry!$D$40</definedName>
    <definedName name="DO_at_carbon" localSheetId="10">'Mass Transfer'!$D$232</definedName>
    <definedName name="DO_avg_g" localSheetId="10">'Mass Transfer'!$D$341</definedName>
    <definedName name="DO_avg_g_mgL" localSheetId="10">'Mass Transfer'!$D$343</definedName>
    <definedName name="DO_avg_l" localSheetId="10">'Mass Transfer'!$D$362</definedName>
    <definedName name="DO_avg_l_mgL" localSheetId="10">'Mass Transfer'!$D$364</definedName>
    <definedName name="DO_avg_sched" localSheetId="10">'Mass Transfer'!$D$372</definedName>
    <definedName name="DO_avg_su_mgL" localSheetId="10">'Mass Transfer'!$D$556</definedName>
    <definedName name="DO_feas_g" localSheetId="10">'Mass Transfer'!$D$347</definedName>
    <definedName name="DO_feas_l" localSheetId="10">'Mass Transfer'!$D$368</definedName>
    <definedName name="DO_frac_fallback" localSheetId="9">Biology!$D$61</definedName>
    <definedName name="DO_frac_target" localSheetId="9">Biology!$D$60</definedName>
    <definedName name="DO_hs_floor" localSheetId="10">'Mass Transfer'!$D$188</definedName>
    <definedName name="DO_impair" localSheetId="9">Biology!$D$47</definedName>
    <definedName name="DO_impair" localSheetId="10">'Mass Transfer'!$D$23</definedName>
    <definedName name="DO_lag_ref" localSheetId="7">Electrochemistry!$D$129</definedName>
    <definedName name="DO_lag_ref_chk" localSheetId="7">Electrochemistry!$D$134</definedName>
    <definedName name="DO_lag_tol" localSheetId="7">Electrochemistry!$D$130</definedName>
    <definedName name="DO_mf_g" localSheetId="10">'Mass Transfer'!$D$340</definedName>
    <definedName name="DO_mf_l" localSheetId="10">'Mass Transfer'!$D$361</definedName>
    <definedName name="DO_min" localSheetId="9">Biology!$D$45</definedName>
    <definedName name="DO_min" localSheetId="10">'Mass Transfer'!$D$25</definedName>
    <definedName name="DO_opt" localSheetId="9">Biology!$D$46</definedName>
    <definedName name="DO_opt" localSheetId="10">'Mass Transfer'!$D$22</definedName>
    <definedName name="DO_peak_band" localSheetId="10">'Mass Transfer'!$D$374</definedName>
    <definedName name="DO_peak_chk_g" localSheetId="10">'Mass Transfer'!$D$348</definedName>
    <definedName name="DO_peak_chk_l" localSheetId="10">'Mass Transfer'!$D$369</definedName>
    <definedName name="DO_peak_g" localSheetId="10">'Mass Transfer'!$D$342</definedName>
    <definedName name="DO_peak_g_mgL" localSheetId="10">'Mass Transfer'!$D$344</definedName>
    <definedName name="DO_peak_l" localSheetId="10">'Mass Transfer'!$D$363</definedName>
    <definedName name="DO_peak_l_mgL" localSheetId="10">'Mass Transfer'!$D$365</definedName>
    <definedName name="DO_peak_sched" localSheetId="10">'Mass Transfer'!$D$373</definedName>
    <definedName name="DO_peak_su_mgL" localSheetId="10">'Mass Transfer'!$D$557</definedName>
    <definedName name="DO_ss" localSheetId="10">'Mass Transfer'!$D$108</definedName>
    <definedName name="DO_ss_sawtooth" localSheetId="10">'Mass Transfer'!$D$133</definedName>
    <definedName name="DO_ss_sawtooth_lag" localSheetId="10">'Mass Transfer'!$D$135</definedName>
    <definedName name="DO_ss_vs_min" localSheetId="10">'Mass Transfer'!$D$110</definedName>
    <definedName name="DO_surf_excess" localSheetId="10">'Mass Transfer'!$D$180</definedName>
    <definedName name="DO_surf_excess_g" localSheetId="10">'Mass Transfer'!$D$339</definedName>
    <definedName name="DO_surf_excess_lag" localSheetId="10">'Mass Transfer'!$D$181</definedName>
    <definedName name="DO_surf_excess_su" localSheetId="10">'Mass Transfer'!$D$576</definedName>
    <definedName name="DO_target" localSheetId="10">'Mass Transfer'!$D$179</definedName>
    <definedName name="DO_toxic" localSheetId="9">Biology!$D$48</definedName>
    <definedName name="DO_toxic" localSheetId="10">'Mass Transfer'!$D$24</definedName>
    <definedName name="dur_ok" localSheetId="10">'Mass Transfer'!$D$130</definedName>
    <definedName name="duty" localSheetId="10">'Mass Transfer'!$D$105</definedName>
    <definedName name="duty_actual" localSheetId="10">'Mass Transfer'!$D$93</definedName>
    <definedName name="duty_carbon" localSheetId="10">'Mass Transfer'!$D$86</definedName>
    <definedName name="duty_DO" localSheetId="10">'Mass Transfer'!$D$184</definedName>
    <definedName name="duty_DO_l" localSheetId="10">'Mass Transfer'!$D$543</definedName>
    <definedName name="duty_H2safe" localSheetId="9">Biology!$D$86</definedName>
    <definedName name="duty_O2vent" localSheetId="10">'Mass Transfer'!$D$87</definedName>
    <definedName name="duty_opt" localSheetId="10">'Mass Transfer'!$D$88</definedName>
    <definedName name="dy_O2_g" localSheetId="10">'Mass Transfer'!$D$335</definedName>
    <definedName name="dy_O2_l" localSheetId="10">'Mass Transfer'!$D$357</definedName>
    <definedName name="dy_O2_su" localSheetId="10">'Mass Transfer'!$D$553</definedName>
    <definedName name="E_anode_op" localSheetId="8">Chemistry!$D$256</definedName>
    <definedName name="E_Cl_margin" localSheetId="8">Chemistry!$D$209</definedName>
    <definedName name="E_Cl2" localSheetId="8">Chemistry!$D$208</definedName>
    <definedName name="E_Cu_margin" localSheetId="8">Chemistry!$D$211</definedName>
    <definedName name="E_HER" localSheetId="8">Chemistry!$D$207</definedName>
    <definedName name="E_HOCl_Cl" localSheetId="8">Chemistry!$D$258</definedName>
    <definedName name="E_OER" localSheetId="8">Chemistry!$D$206</definedName>
    <definedName name="E_ORR2" localSheetId="8">Chemistry!$D$210</definedName>
    <definedName name="E0_Cl2" localSheetId="8">Chemistry!$D$203</definedName>
    <definedName name="E0_Cu" localSheetId="8">Chemistry!$D$205</definedName>
    <definedName name="E0_HER" localSheetId="8">Chemistry!$D$202</definedName>
    <definedName name="E0_HOCl" localSheetId="8">Chemistry!$D$257</definedName>
    <definedName name="E0_OER" localSheetId="8">Chemistry!$D$201</definedName>
    <definedName name="E0_ORR2" localSheetId="8">Chemistry!$D$204</definedName>
    <definedName name="Ea_D_CO2" localSheetId="10">'Mass Transfer'!$D$175</definedName>
    <definedName name="ec_C_H2_sat" localSheetId="7">Electrochemistry!$D$146</definedName>
    <definedName name="ec_corr_I" localSheetId="7">Electrochemistry!$D$102</definedName>
    <definedName name="ec_D_O2" localSheetId="7">Electrochemistry!$D$81</definedName>
    <definedName name="ec_DO_design" localSheetId="7">Electrochemistry!$D$85</definedName>
    <definedName name="ec_DO_lag" localSheetId="7">Electrochemistry!$D$150</definedName>
    <definedName name="ec_E_rev" localSheetId="7">Electrochemistry!$D$106</definedName>
    <definedName name="ec_gap" localSheetId="7">Electrochemistry!$D$115</definedName>
    <definedName name="ec_I_Cl" localSheetId="7">Electrochemistry!$D$101</definedName>
    <definedName name="ec_jbuf_ratio" localSheetId="7">Electrochemistry!$D$161</definedName>
    <definedName name="ec_kappa" localSheetId="7">Electrochemistry!$D$114</definedName>
    <definedName name="ec_O2_ceil" localSheetId="7">Electrochemistry!$D$80</definedName>
    <definedName name="ec_V_L" localSheetId="7">Electrochemistry!$D$82</definedName>
    <definedName name="eff_disp" localSheetId="6">Geometry!$D$39</definedName>
    <definedName name="eff_ID" localSheetId="6">Geometry!$D$34</definedName>
    <definedName name="eff_OD" localSheetId="6">Geometry!$D$33</definedName>
    <definedName name="eff_sub_L" localSheetId="6">Geometry!$D$38</definedName>
    <definedName name="elec_clear" localSheetId="6">Geometry!$D$28</definedName>
    <definedName name="elec_disp" localSheetId="6">Geometry!$D$36</definedName>
    <definedName name="elec_gap" localSheetId="6">Geometry!$D$92</definedName>
    <definedName name="elec_ins" localSheetId="6">Geometry!$D$29</definedName>
    <definedName name="elec_sub_L" localSheetId="6">Geometry!$D$35</definedName>
    <definedName name="elec_sub_L_act" localSheetId="6">Geometry!$D$93</definedName>
    <definedName name="electrode_sel" localSheetId="7">Electrochemistry!$D$8</definedName>
    <definedName name="electrode_sel" localSheetId="1">Summary!$D$3</definedName>
    <definedName name="eps_T_exp" localSheetId="8">Chemistry!$D$232</definedName>
    <definedName name="eps_water_298" localSheetId="8">Chemistry!$D$231</definedName>
    <definedName name="eta_anode" localSheetId="7">Electrochemistry!$D$111</definedName>
    <definedName name="eta_anode_c" localSheetId="8">Chemistry!$D$254</definedName>
    <definedName name="eta_cath" localSheetId="7">Electrochemistry!$D$112</definedName>
    <definedName name="etaF" localSheetId="7">Electrochemistry!$D$18</definedName>
    <definedName name="etaF_calc" localSheetId="7">Electrochemistry!$D$88</definedName>
    <definedName name="etaF_calc_min" localSheetId="7">Electrochemistry!$D$89</definedName>
    <definedName name="etaF_OER" localSheetId="7">Electrochemistry!$D$26</definedName>
    <definedName name="etaF_OER_calc" localSheetId="7">Electrochemistry!$D$104</definedName>
    <definedName name="f_Cl_anode" localSheetId="7">Electrochemistry!$D$103</definedName>
    <definedName name="F_const" localSheetId="7">Electrochemistry!$D$15</definedName>
    <definedName name="F_dil" localSheetId="10">'Mass Transfer'!$D$425</definedName>
    <definedName name="F_dil_b" localSheetId="9">Biology!$D$125</definedName>
    <definedName name="F_gap_g" localSheetId="10">'Mass Transfer'!$D$331</definedName>
    <definedName name="F_gap_l" localSheetId="10">'Mass Transfer'!$D$353</definedName>
    <definedName name="F_gap_l_b" localSheetId="9">Biology!$D$116</definedName>
    <definedName name="F_gap_sched" localSheetId="10">'Mass Transfer'!$D$371</definedName>
    <definedName name="F_gap_su" localSheetId="10">'Mass Transfer'!$D$575</definedName>
    <definedName name="f_H2O2_anode" localSheetId="7">Electrochemistry!$D$170</definedName>
    <definedName name="f_HOOH" localSheetId="7">Electrochemistry!$D$91</definedName>
    <definedName name="f_HOR_anode" localSheetId="7">Electrochemistry!$D$145</definedName>
    <definedName name="f_HOR_lim" localSheetId="7">Electrochemistry!$D$148</definedName>
    <definedName name="F_hs_net_g" localSheetId="10">'Mass Transfer'!$D$328</definedName>
    <definedName name="F_hs_net_l" localSheetId="10">'Mass Transfer'!$D$350</definedName>
    <definedName name="f_local" localSheetId="8">Chemistry!$D$141</definedName>
    <definedName name="F_N2" localSheetId="10">'Mass Transfer'!$D$424</definedName>
    <definedName name="f_salt_O2" localSheetId="9">Biology!$D$123</definedName>
    <definedName name="F_vent_ex" localSheetId="10">'Mass Transfer'!$D$308</definedName>
    <definedName name="F_vent_ex_b" localSheetId="9">Biology!$D$111</definedName>
    <definedName name="Fcc" localSheetId="8">Chemistry!$D$7</definedName>
    <definedName name="FE_CER" localSheetId="8">Chemistry!$D$128</definedName>
    <definedName name="fit_n" localSheetId="10">'Mass Transfer'!$D$401</definedName>
    <definedName name="fit_n_min" localSheetId="10">'Mass Transfer'!$D$406</definedName>
    <definedName name="fit_St" localSheetId="10">'Mass Transfer'!$D$402</definedName>
    <definedName name="fit_Stt" localSheetId="10">'Mass Transfer'!$D$404</definedName>
    <definedName name="fit_StV" localSheetId="10">'Mass Transfer'!$D$405</definedName>
    <definedName name="fit_SV" localSheetId="10">'Mass Transfer'!$D$403</definedName>
    <definedName name="flowrate_cal" localSheetId="10">'Mass Transfer'!$D$117</definedName>
    <definedName name="flush_factor" localSheetId="10">'Mass Transfer'!$D$106</definedName>
    <definedName name="flush_ret" localSheetId="10">'Mass Transfer'!$D$324</definedName>
    <definedName name="flush_ret_opt" localSheetId="10">'Mass Transfer'!$D$321</definedName>
    <definedName name="flush_ret_opt_b" localSheetId="9">Biology!$D$118</definedName>
    <definedName name="flush_vol" localSheetId="10">'Mass Transfer'!$D$323</definedName>
    <definedName name="flush_vol_opt" localSheetId="10">'Mass Transfer'!$D$320</definedName>
    <definedName name="g_const" localSheetId="10">'Mass Transfer'!$D$31</definedName>
    <definedName name="gamma_1" localSheetId="8">Chemistry!$D$187</definedName>
    <definedName name="gamma_2" localSheetId="8">Chemistry!$D$188</definedName>
    <definedName name="gamma_3" localSheetId="8">Chemistry!$D$189</definedName>
    <definedName name="geom_check" localSheetId="6">Geometry!$D$90</definedName>
    <definedName name="geom_tol_mL" localSheetId="6">Geometry!$D$96</definedName>
    <definedName name="gerrit_check_pct" localSheetId="7">Electrochemistry!$D$166</definedName>
    <definedName name="gerrit_int" localSheetId="7">Electrochemistry!$D$12</definedName>
    <definedName name="gerrit_int_default" localSheetId="7">Electrochemistry!$D$126</definedName>
    <definedName name="gerrit_max" localSheetId="7">Electrochemistry!$D$14</definedName>
    <definedName name="gerrit_min" localSheetId="7">Electrochemistry!$D$13</definedName>
    <definedName name="gerrit_slope" localSheetId="7">Electrochemistry!$D$11</definedName>
    <definedName name="gerrit_slope_default" localSheetId="7">Electrochemistry!$D$125</definedName>
    <definedName name="grid_ratio" localSheetId="10">'Mass Transfer'!$D$431</definedName>
    <definedName name="grid_t_max" localSheetId="10">'Mass Transfer'!$D$436</definedName>
    <definedName name="grid_t_min" localSheetId="10">'Mass Transfer'!$D$430</definedName>
    <definedName name="h_actual" localSheetId="6">Geometry!$D$42</definedName>
    <definedName name="H_CO2_T" localSheetId="9">Biology!$D$31</definedName>
    <definedName name="H_CO2ref" localSheetId="9">Biology!$D$29</definedName>
    <definedName name="H_CO2T" localSheetId="9">Biology!$D$30</definedName>
    <definedName name="h_datum" localSheetId="6">Geometry!$D$25</definedName>
    <definedName name="H_H2_T" localSheetId="9">Biology!$D$40</definedName>
    <definedName name="H_H2ref" localSheetId="9">Biology!$D$38</definedName>
    <definedName name="H_H2T" localSheetId="9">Biology!$D$39</definedName>
    <definedName name="h_hi" localSheetId="8">Chemistry!$D$322</definedName>
    <definedName name="H_O2_T" localSheetId="9">Biology!$D$24</definedName>
    <definedName name="H_O2_T" localSheetId="10">'Mass Transfer'!$D$12</definedName>
    <definedName name="H_O2ref" localSheetId="9">Biology!$D$21</definedName>
    <definedName name="H_O2T" localSheetId="9">Biology!$D$22</definedName>
    <definedName name="h_ref_DIC" localSheetId="8">Chemistry!$D$292</definedName>
    <definedName name="H2_cons" localSheetId="9">Biology!$D$13</definedName>
    <definedName name="H2_cons" localSheetId="10">'Mass Transfer'!$D$312</definedName>
    <definedName name="H2_HOR_b" localSheetId="9">Biology!$D$96</definedName>
    <definedName name="H2_HOR_mt" localSheetId="10">'Mass Transfer'!$D$387</definedName>
    <definedName name="H2_LFL" localSheetId="9">Biology!$D$80</definedName>
    <definedName name="H2_LFL_mt" localSheetId="10">'Mass Transfer'!$D$577</definedName>
    <definedName name="H2_safety" localSheetId="9">Biology!$D$44</definedName>
    <definedName name="H2_src_g" localSheetId="10">'Mass Transfer'!$D$313</definedName>
    <definedName name="H2_src_l" localSheetId="10">'Mass Transfer'!$D$314</definedName>
    <definedName name="H2_src_l_b" localSheetId="9">Biology!$D$113</definedName>
    <definedName name="H2_src_sched" localSheetId="10">'Mass Transfer'!$D$318</definedName>
    <definedName name="H2_src_su" localSheetId="10">'Mass Transfer'!$D$573</definedName>
    <definedName name="H2_turnover" localSheetId="9">Biology!$D$43</definedName>
    <definedName name="H2O2_flag" localSheetId="7">Electrochemistry!$D$99</definedName>
    <definedName name="H2O2_lag_1h" localSheetId="7">Electrochemistry!$D$96</definedName>
    <definedName name="H2O2_ss" localSheetId="7">Electrochemistry!$D$95</definedName>
    <definedName name="H2O2_thresh" localSheetId="7">Electrochemistry!$D$97</definedName>
    <definedName name="has_cal" localSheetId="10">'Mass Transfer'!$D$119</definedName>
    <definedName name="HB_a" localSheetId="10">'Mass Transfer'!$D$171</definedName>
    <definedName name="HB_b" localSheetId="10">'Mass Transfer'!$D$172</definedName>
    <definedName name="HB_c" localSheetId="10">'Mass Transfer'!$D$173</definedName>
    <definedName name="HCO3_op" localSheetId="8">Chemistry!$D$252</definedName>
    <definedName name="HCO3_ref" localSheetId="8">Chemistry!$D$294</definedName>
    <definedName name="headspace_V" localSheetId="6">Geometry!$D$49</definedName>
    <definedName name="headspace_V" localSheetId="10">'Mass Transfer'!$D$19</definedName>
    <definedName name="headspace_V_m3" localSheetId="10">'Mass Transfer'!$D$140</definedName>
    <definedName name="HOCl_max" localSheetId="8">Chemistry!$D$125</definedName>
    <definedName name="HOCl_ss" localSheetId="8">Chemistry!$D$139</definedName>
    <definedName name="HOCl_ss_mgL" localSheetId="8">Chemistry!$D$140</definedName>
    <definedName name="holdup" localSheetId="10">'Mass Transfer'!$D$48</definedName>
    <definedName name="HPO4_op" localSheetId="8">Chemistry!$D$253</definedName>
    <definedName name="hs_flush_time" localSheetId="10">'Mass Transfer'!$D$77</definedName>
    <definedName name="hs_H_CO2" localSheetId="10">'Mass Transfer'!$D$191</definedName>
    <definedName name="hs_O2_allow" localSheetId="10">'Mass Transfer'!$D$182</definedName>
    <definedName name="hs_sag" localSheetId="10">'Mass Transfer'!$D$389</definedName>
    <definedName name="hs_sag_chk" localSheetId="10">'Mass Transfer'!$D$391</definedName>
    <definedName name="hs_sag_max" localSheetId="10">'Mass Transfer'!$D$390</definedName>
    <definedName name="I_app" localSheetId="7">Electrochemistry!$D$19</definedName>
    <definedName name="I_at_gerrit_max" localSheetId="7">Electrochemistry!$D$142</definedName>
    <definedName name="I_Cl" localSheetId="8">Chemistry!$D$133</definedName>
    <definedName name="I_Cl_FE" localSheetId="8">Chemistry!$D$131</definedName>
    <definedName name="I_Cl_mt" localSheetId="8">Chemistry!$D$132</definedName>
    <definedName name="i_HOR_lim" localSheetId="7">Electrochemistry!$D$147</definedName>
    <definedName name="I_ionic" localSheetId="8">Chemistry!$D$185</definedName>
    <definedName name="I_ionic_b" localSheetId="9">Biology!$D$121</definedName>
    <definedName name="I_max" localSheetId="7">Electrochemistry!$D$74</definedName>
    <definedName name="i_ORR_ceiling" localSheetId="7">Electrochemistry!$D$87</definedName>
    <definedName name="i_ORR_design" localSheetId="7">Electrochemistry!$D$86</definedName>
    <definedName name="I_valid" localSheetId="7">Electrochemistry!$D$20</definedName>
    <definedName name="Iappc" localSheetId="8">Chemistry!$D$6</definedName>
    <definedName name="intensity" localSheetId="7">Electrochemistry!$D$10</definedName>
    <definedName name="interface_A" localSheetId="6">Geometry!$D$44</definedName>
    <definedName name="interface_A" localSheetId="10">'Mass Transfer'!$D$14</definedName>
    <definedName name="interval_res" localSheetId="10">'Mass Transfer'!$D$419</definedName>
    <definedName name="j_anode" localSheetId="7">Electrochemistry!$D$48</definedName>
    <definedName name="j_anode_c" localSheetId="8">Chemistry!$D$217</definedName>
    <definedName name="j_anode_max" localSheetId="7">Electrochemistry!$D$75</definedName>
    <definedName name="j_bio_flag" localSheetId="7">Electrochemistry!$D$59</definedName>
    <definedName name="j_buffer_lim" localSheetId="8">Chemistry!$D$216</definedName>
    <definedName name="j_buffer_ratio" localSheetId="8">Chemistry!$D$218</definedName>
    <definedName name="j_cath_flag" localSheetId="7">Electrochemistry!$D$61</definedName>
    <definedName name="j_cathode" localSheetId="7">Electrochemistry!$D$49</definedName>
    <definedName name="j_ceiling_default" localSheetId="7">Electrochemistry!$D$55</definedName>
    <definedName name="j_ceiling_strain" localSheetId="7">Electrochemistry!$D$57</definedName>
    <definedName name="j_flag" localSheetId="7">Electrochemistry!$D$62</definedName>
    <definedName name="j_flag_max" localSheetId="7">Electrochemistry!$D$76</definedName>
    <definedName name="j_mat_flag" localSheetId="7">Electrochemistry!$D$60</definedName>
    <definedName name="j_opt_default" localSheetId="7">Electrochemistry!$D$54</definedName>
    <definedName name="j_opt_strain" localSheetId="7">Electrochemistry!$D$56</definedName>
    <definedName name="j_strain_conf" localSheetId="7">Electrochemistry!$D$58</definedName>
    <definedName name="j0_anode" localSheetId="7">Electrochemistry!$D$108</definedName>
    <definedName name="j0_cath" localSheetId="7">Electrochemistry!$D$110</definedName>
    <definedName name="k_cat_cells" localSheetId="7">Electrochemistry!$D$94</definedName>
    <definedName name="k_Cl_turn" localSheetId="8">Chemistry!$D$271</definedName>
    <definedName name="k_eff_CO2" localSheetId="10">'Mass Transfer'!$D$195</definedName>
    <definedName name="k_eff_CO2_l" localSheetId="10">'Mass Transfer'!$D$560</definedName>
    <definedName name="k_geom" localSheetId="7">Electrochemistry!$D$116</definedName>
    <definedName name="k_H2O2_anode" localSheetId="7">Electrochemistry!$D$151</definedName>
    <definedName name="k_vent" localSheetId="10">'Mass Transfer'!$D$143</definedName>
    <definedName name="k1_NH2Cl" localSheetId="8">Chemistry!$D$136</definedName>
    <definedName name="Ka_HOCl" localSheetId="8">Chemistry!$D$20</definedName>
    <definedName name="Ka_NH4" localSheetId="8">Chemistry!$D$18</definedName>
    <definedName name="Ka1_carb" localSheetId="9">Biology!$D$36</definedName>
    <definedName name="Ka1c" localSheetId="8">Chemistry!$D$13</definedName>
    <definedName name="Ka1c_c" localSheetId="8">Chemistry!$D$190</definedName>
    <definedName name="Ka1p" localSheetId="8">Chemistry!$D$15</definedName>
    <definedName name="Ka1p_c" localSheetId="8">Chemistry!$D$192</definedName>
    <definedName name="Ka2c" localSheetId="8">Chemistry!$D$14</definedName>
    <definedName name="Ka2c_c" localSheetId="8">Chemistry!$D$191</definedName>
    <definedName name="Ka2p" localSheetId="8">Chemistry!$D$16</definedName>
    <definedName name="Ka2p_c" localSheetId="8">Chemistry!$D$193</definedName>
    <definedName name="Ka3p" localSheetId="8">Chemistry!$D$17</definedName>
    <definedName name="Ka3p_c" localSheetId="8">Chemistry!$D$194</definedName>
    <definedName name="KaHOCl_c" localSheetId="8">Chemistry!$D$196</definedName>
    <definedName name="KaN_c" localSheetId="8">Chemistry!$D$197</definedName>
    <definedName name="kappa_fI" localSheetId="8">Chemistry!$D$178</definedName>
    <definedName name="kappa_med" localSheetId="8">Chemistry!$D$180</definedName>
    <definedName name="kappa_TC" localSheetId="8">Chemistry!$D$179</definedName>
    <definedName name="kinetic_caveat" localSheetId="10">'Mass Transfer'!$D$96</definedName>
    <definedName name="kL" localSheetId="10">'Mass Transfer'!$D$51</definedName>
    <definedName name="kL_surf" localSheetId="10">'Mass Transfer'!$D$70</definedName>
    <definedName name="kL_surf_crit" localSheetId="10">'Mass Transfer'!$D$131</definedName>
    <definedName name="kLa_avg" localSheetId="10">'Mass Transfer'!$D$53</definedName>
    <definedName name="kLa_CO2_off" localSheetId="10">'Mass Transfer'!$D$148</definedName>
    <definedName name="kLa_margin_g" localSheetId="10">'Mass Transfer'!$D$346</definedName>
    <definedName name="kLa_margin_l" localSheetId="10">'Mass Transfer'!$D$367</definedName>
    <definedName name="kLa_meas" localSheetId="10">'Mass Transfer'!$D$97</definedName>
    <definedName name="kLa_req" localSheetId="10">'Mass Transfer'!$D$57</definedName>
    <definedName name="kLa_sparge" localSheetId="10">'Mass Transfer'!$D$52</definedName>
    <definedName name="kLa_surf" localSheetId="10">'Mass Transfer'!$D$72</definedName>
    <definedName name="kLa_surf_req" localSheetId="10">'Mass Transfer'!$D$186</definedName>
    <definedName name="kLa_surf_req_g" localSheetId="10">'Mass Transfer'!$D$345</definedName>
    <definedName name="kLa_surf_req_l" localSheetId="10">'Mass Transfer'!$D$366</definedName>
    <definedName name="kLa_surf_used" localSheetId="10">'Mass Transfer'!$D$98</definedName>
    <definedName name="km_Cl" localSheetId="8">Chemistry!$D$129</definedName>
    <definedName name="Km_CO2" localSheetId="9">Biology!$D$34</definedName>
    <definedName name="km_exp" localSheetId="7">Electrochemistry!$D$84</definedName>
    <definedName name="km_exp_c" localSheetId="8">Chemistry!$D$273</definedName>
    <definedName name="km_HCO3" localSheetId="8">Chemistry!$D$276</definedName>
    <definedName name="km_HPO4" localSheetId="8">Chemistry!$D$275</definedName>
    <definedName name="km_O2" localSheetId="7">Electrochemistry!$D$83</definedName>
    <definedName name="km_O2_c" localSheetId="8">Chemistry!$D$272</definedName>
    <definedName name="km_O2_default" localSheetId="7">Electrochemistry!$D$165</definedName>
    <definedName name="knall_CO2_default" localSheetId="9">Biology!$D$65</definedName>
    <definedName name="knall_H2_default" localSheetId="9">Biology!$D$63</definedName>
    <definedName name="knall_O2_default" localSheetId="9">Biology!$D$64</definedName>
    <definedName name="ks_O2" localSheetId="9">Biology!$D$122</definedName>
    <definedName name="Kw_c" localSheetId="8">Chemistry!$D$195</definedName>
    <definedName name="Kw_w" localSheetId="8">Chemistry!$D$19</definedName>
    <definedName name="L_sub" localSheetId="7">Electrochemistry!$D$45</definedName>
    <definedName name="lam_Ca" localSheetId="8">Chemistry!$D$170</definedName>
    <definedName name="lam_Cl" localSheetId="8">Chemistry!$D$175</definedName>
    <definedName name="lam_H2PO4" localSheetId="8">Chemistry!$D$171</definedName>
    <definedName name="lam_HCO3" localSheetId="8">Chemistry!$D$174</definedName>
    <definedName name="lam_HPO4" localSheetId="8">Chemistry!$D$172</definedName>
    <definedName name="lam_K" localSheetId="8">Chemistry!$D$167</definedName>
    <definedName name="lam_Mg" localSheetId="8">Chemistry!$D$169</definedName>
    <definedName name="lam_Na" localSheetId="8">Chemistry!$D$166</definedName>
    <definedName name="lam_NH4" localSheetId="8">Chemistry!$D$168</definedName>
    <definedName name="lam_SO4" localSheetId="8">Chemistry!$D$173</definedName>
    <definedName name="latest_date" localSheetId="10">'Mass Transfer'!$D$116</definedName>
    <definedName name="led_intensity" localSheetId="1">Summary!$D$6</definedName>
    <definedName name="LOC_margin" localSheetId="9">Biology!$D$82</definedName>
    <definedName name="M_Cl2" localSheetId="8">Chemistry!$D$223</definedName>
    <definedName name="M_CO2" localSheetId="10">'Mass Transfer'!$D$103</definedName>
    <definedName name="M_H2O2" localSheetId="7">Electrochemistry!$D$92</definedName>
    <definedName name="M_HOCl" localSheetId="8">Chemistry!$D$222</definedName>
    <definedName name="M_NaHCO3" localSheetId="8">Chemistry!$D$307</definedName>
    <definedName name="M_O2" localSheetId="10">'Mass Transfer'!$D$231</definedName>
    <definedName name="media_sel" localSheetId="8">Chemistry!$D$280</definedName>
    <definedName name="media_sel" localSheetId="1">Summary!$D$5</definedName>
    <definedName name="media_vol_warn" localSheetId="6">Geometry!$D$54</definedName>
    <definedName name="media_volume" localSheetId="6">Geometry!$D$6</definedName>
    <definedName name="media_volume" localSheetId="1">Summary!$D$9</definedName>
    <definedName name="mend_a" localSheetId="10">'Mass Transfer'!$D$44</definedName>
    <definedName name="mend_b" localSheetId="10">'Mass Transfer'!$D$45</definedName>
    <definedName name="metal_flag" localSheetId="8">Chemistry!$D$163</definedName>
    <definedName name="metal_leach_rate" localSheetId="8">Chemistry!$D$161</definedName>
    <definedName name="metal_MW" localSheetId="8">Chemistry!$D$159</definedName>
    <definedName name="metal_tox_thresh" localSheetId="8">Chemistry!$D$162</definedName>
    <definedName name="metal_z" localSheetId="8">Chemistry!$D$160</definedName>
    <definedName name="min_sparge_cal" localSheetId="10">'Mass Transfer'!$D$118</definedName>
    <definedName name="MW_N" localSheetId="8">Chemistry!$D$225</definedName>
    <definedName name="n_cross" localSheetId="8">Chemistry!$D$105</definedName>
    <definedName name="n_e_Cl" localSheetId="8">Chemistry!$D$148</definedName>
    <definedName name="n_flamm_src" localSheetId="9">Biology!$D$83</definedName>
    <definedName name="n_hs_gas" localSheetId="10">'Mass Transfer'!$D$150</definedName>
    <definedName name="n_hs_gas_b" localSheetId="9">Biology!$D$117</definedName>
    <definedName name="n_ORR_eff" localSheetId="7">Electrochemistry!$D$141</definedName>
    <definedName name="n_pores_active" localSheetId="10">'Mass Transfer'!$D$61</definedName>
    <definedName name="N2_for_DO" localSheetId="10">'Mass Transfer'!$D$426</definedName>
    <definedName name="N2_sweep_H2safe" localSheetId="9">Biology!$D$88</definedName>
    <definedName name="N2_sweep_set" localSheetId="10">'Mass Transfer'!$D$423</definedName>
    <definedName name="N2_sweep_set" localSheetId="1">Summary!$D$14</definedName>
    <definedName name="NaHCO3_add_gL" localSheetId="8">Chemistry!$D$317</definedName>
    <definedName name="NaHCO3_add_gL" localSheetId="1">Summary!$D$13</definedName>
    <definedName name="nCO2_rate" localSheetId="10">'Mass Transfer'!$D$104</definedName>
    <definedName name="nernst_slope" localSheetId="8">Chemistry!$D$200</definedName>
    <definedName name="NH2Cl_hi" localSheetId="8">Chemistry!$D$155</definedName>
    <definedName name="NH2Cl_lo" localSheetId="8">Chemistry!$D$154</definedName>
    <definedName name="NH2Cl_mgL" localSheetId="8">Chemistry!$D$143</definedName>
    <definedName name="NH3_free" localSheetId="8">Chemistry!$D$138</definedName>
    <definedName name="NH3_N" localSheetId="8">Chemistry!$D$135</definedName>
    <definedName name="O2_accum" localSheetId="10">'Mass Transfer'!$D$127</definedName>
    <definedName name="O2_cat_ret_g" localSheetId="7">Electrochemistry!$D$173</definedName>
    <definedName name="O2_cathode_ORR" localSheetId="7">Electrochemistry!$D$28</definedName>
    <definedName name="O2_ceil_atm" localSheetId="9">Biology!$D$25</definedName>
    <definedName name="O2_ceil_C" localSheetId="9">Biology!$D$27</definedName>
    <definedName name="O2_ceil_C" localSheetId="10">'Mass Transfer'!$D$6</definedName>
    <definedName name="O2_ceil_org" localSheetId="10">'Mass Transfer'!$D$565</definedName>
    <definedName name="O2_ceil_Pa" localSheetId="9">Biology!$D$26</definedName>
    <definedName name="O2_ceil_Pa" localSheetId="10">'Mass Transfer'!$D$7</definedName>
    <definedName name="O2_ceil_uM" localSheetId="9">Biology!$D$28</definedName>
    <definedName name="O2_cons" localSheetId="9">Biology!$D$14</definedName>
    <definedName name="O2_excess" localSheetId="9">Biology!$D$16</definedName>
    <definedName name="O2_excess" localSheetId="10">'Mass Transfer'!$D$11</definedName>
    <definedName name="O2_H2O2_lag_adj" localSheetId="7">Electrochemistry!$D$172</definedName>
    <definedName name="O2_H2O2_ret_g" localSheetId="7">Electrochemistry!$D$171</definedName>
    <definedName name="O2_LOC_H2" localSheetId="9">Biology!$D$81</definedName>
    <definedName name="O2_LOC_lim_mt" localSheetId="10">'Mass Transfer'!$D$578</definedName>
    <definedName name="O2_net_gen" localSheetId="9">Biology!$D$5</definedName>
    <definedName name="O2_net_gen" localSheetId="7">Electrochemistry!$D$29</definedName>
    <definedName name="O2_net_gen" localSheetId="10">'Mass Transfer'!$D$13</definedName>
    <definedName name="O2_net_lag" localSheetId="7">Electrochemistry!$D$132</definedName>
    <definedName name="O2_net_lag_mt" localSheetId="10">'Mass Transfer'!$D$394</definedName>
    <definedName name="O2_net_su_max" localSheetId="7">Electrochemistry!$D$174</definedName>
    <definedName name="O2_net_su_mt" localSheetId="10">'Mass Transfer'!$D$570</definedName>
    <definedName name="O2_ORR_lag" localSheetId="7">Electrochemistry!$D$131</definedName>
    <definedName name="O2_phase_sel" localSheetId="1">Summary!$D$12</definedName>
    <definedName name="O2_removal_ratio" localSheetId="10">'Mass Transfer'!$D$78</definedName>
    <definedName name="O2_sizing_phase" localSheetId="10">'Mass Transfer'!$D$304</definedName>
    <definedName name="O2_src_g" localSheetId="10">'Mass Transfer'!$D$309</definedName>
    <definedName name="O2_src_guard" localSheetId="10">'Mass Transfer'!$D$132</definedName>
    <definedName name="O2_src_l" localSheetId="10">'Mass Transfer'!$D$310</definedName>
    <definedName name="O2_src_l_b" localSheetId="9">Biology!$D$115</definedName>
    <definedName name="O2_src_sched" localSheetId="10">'Mass Transfer'!$D$317</definedName>
    <definedName name="O2_src_su" localSheetId="10">'Mass Transfer'!$D$572</definedName>
    <definedName name="O2_strip_pulse" localSheetId="10">'Mass Transfer'!$D$128</definedName>
    <definedName name="od_gap_min_s" localSheetId="10">'Mass Transfer'!$D$214</definedName>
    <definedName name="od_ok" localSheetId="10">'Mass Transfer'!$D$95</definedName>
    <definedName name="opt_binding" localSheetId="10">'Mass Transfer'!$D$94</definedName>
    <definedName name="organism_sel" localSheetId="9">Biology!$D$7</definedName>
    <definedName name="organism_sel" localSheetId="7">Electrochemistry!$D$154</definedName>
    <definedName name="organism_sel" localSheetId="1">Summary!$D$4</definedName>
    <definedName name="override_spg_dur_s" localSheetId="10">'Mass Transfer'!$D$392</definedName>
    <definedName name="override_spg_dur_s" localSheetId="1">Summary!$G$21</definedName>
    <definedName name="override_spg_int_min" localSheetId="10">'Mass Transfer'!$D$393</definedName>
    <definedName name="override_spg_int_min" localSheetId="1">Summary!$G$22</definedName>
    <definedName name="P_atm" localSheetId="9">Biology!$D$19</definedName>
    <definedName name="P_atm" localSheetId="7">Electrochemistry!$D$6</definedName>
    <definedName name="P_atm" localSheetId="10">'Mass Transfer'!$D$9</definedName>
    <definedName name="P_atm_set" localSheetId="9">Biology!$D$67</definedName>
    <definedName name="P_atm_set" localSheetId="1">Summary!$D$10</definedName>
    <definedName name="P_Cl_max" localSheetId="8">Chemistry!$D$315</definedName>
    <definedName name="p_CO2_sparge" localSheetId="9">Biology!$D$32</definedName>
    <definedName name="P_dry" localSheetId="10">'Mass Transfer'!$D$418</definedName>
    <definedName name="P_HOCl" localSheetId="8">Chemistry!$D$134</definedName>
    <definedName name="p_sat_w" localSheetId="10">'Mass Transfer'!$D$206</definedName>
    <definedName name="Pa_per_atm" localSheetId="9">Biology!$D$20</definedName>
    <definedName name="pcet_credit" localSheetId="7">Electrochemistry!$D$113</definedName>
    <definedName name="pcet_credit_c" localSheetId="8">Chemistry!$D$255</definedName>
    <definedName name="pcet_credit_gmax" localSheetId="7">Electrochemistry!$D$163</definedName>
    <definedName name="pcet_credit_op" localSheetId="7">Electrochemistry!$D$162</definedName>
    <definedName name="pCO2_air" localSheetId="10">'Mass Transfer'!$D$139</definedName>
    <definedName name="pH_band_flag" localSheetId="8">Chemistry!$D$110</definedName>
    <definedName name="pH_band_hi" localSheetId="8">Chemistry!$D$237</definedName>
    <definedName name="pH_band_lo" localSheetId="8">Chemistry!$D$236</definedName>
    <definedName name="pH_Cl" localSheetId="8">Chemistry!$D$47</definedName>
    <definedName name="pH_CO2_unbuf" localSheetId="9">Biology!$D$37</definedName>
    <definedName name="pH_fHOCl" localSheetId="8">Chemistry!$D$104</definedName>
    <definedName name="pH_hi_c" localSheetId="8">Chemistry!$D$321</definedName>
    <definedName name="pH_meas" localSheetId="8">Chemistry!$D$220</definedName>
    <definedName name="pH_NT" localSheetId="8">Chemistry!$D$46</definedName>
    <definedName name="pH_op" localSheetId="8">Chemistry!$D$103</definedName>
    <definedName name="pH_PT" localSheetId="8">Chemistry!$D$45</definedName>
    <definedName name="pH_red_hi" localSheetId="8">Chemistry!$D$300</definedName>
    <definedName name="pH_red_lo" localSheetId="8">Chemistry!$D$299</definedName>
    <definedName name="pH_ref_DIC" localSheetId="8">Chemistry!$D$291</definedName>
    <definedName name="pH_SID" localSheetId="8">Chemistry!$D$44</definedName>
    <definedName name="pH_step" localSheetId="8">Chemistry!$D$235</definedName>
    <definedName name="ph_unreach" localSheetId="10">'Mass Transfer'!$D$434</definedName>
    <definedName name="ph_unreach_l" localSheetId="10">'Mass Transfer'!$D$562</definedName>
    <definedName name="phase_name_1" localSheetId="10">'Mass Transfer'!$D$305</definedName>
    <definedName name="phase_name_2" localSheetId="10">'Mass Transfer'!$D$306</definedName>
    <definedName name="pHg_C" localSheetId="10">'Mass Transfer'!$I$440:$I$539</definedName>
    <definedName name="pHg_C_l" localSheetId="10">'Mass Transfer'!$R$440:$R$539</definedName>
    <definedName name="pHg_start" localSheetId="10">'Mass Transfer'!$H$440:$H$539</definedName>
    <definedName name="pHg_t" localSheetId="10">'Mass Transfer'!$A$440:$A$539</definedName>
    <definedName name="pHg_x" localSheetId="10">'Mass Transfer'!$J$440:$J$539</definedName>
    <definedName name="pHg_x_l" localSheetId="10">'Mass Transfer'!$S$440:$S$539</definedName>
    <definedName name="phi_hs_g" localSheetId="10">'Mass Transfer'!$D$333</definedName>
    <definedName name="phi_hs_l" localSheetId="10">'Mass Transfer'!$D$355</definedName>
    <definedName name="phi_su" localSheetId="10">'Mass Transfer'!$D$551</definedName>
    <definedName name="pKa_HOCl" localSheetId="8">Chemistry!$D$21</definedName>
    <definedName name="pKa_NH4" localSheetId="8">Chemistry!$D$137</definedName>
    <definedName name="pool_a" localSheetId="10">'Mass Transfer'!$D$193</definedName>
    <definedName name="pool_b" localSheetId="10">'Mass Transfer'!$D$194</definedName>
    <definedName name="pool_beta_ratio" localSheetId="10">'Mass Transfer'!$D$196</definedName>
    <definedName name="pool_D_gap" localSheetId="10">'Mass Transfer'!$D$379</definedName>
    <definedName name="pool_D_raw" localSheetId="10">'Mass Transfer'!$D$375</definedName>
    <definedName name="pool_e" localSheetId="10">'Mass Transfer'!$D$197</definedName>
    <definedName name="pool_phi" localSheetId="10">'Mass Transfer'!$D$377</definedName>
    <definedName name="pool_psi" localSheetId="10">'Mass Transfer'!$D$378</definedName>
    <definedName name="pool_ret" localSheetId="10">'Mass Transfer'!$D$380</definedName>
    <definedName name="pool_start_chk" localSheetId="10">'Mass Transfer'!$D$435</definedName>
    <definedName name="pool_x" localSheetId="10">'Mass Transfer'!$D$376</definedName>
    <definedName name="por_grade" localSheetId="10">'Mass Transfer'!$D$20</definedName>
    <definedName name="por_grade_e" localSheetId="7">Electrochemistry!$D$32</definedName>
    <definedName name="por_pore" localSheetId="10">'Mass Transfer'!$D$39</definedName>
    <definedName name="por0_um" localSheetId="10">'Mass Transfer'!$D$33</definedName>
    <definedName name="por1_um" localSheetId="10">'Mass Transfer'!$D$34</definedName>
    <definedName name="por2_um" localSheetId="10">'Mass Transfer'!$D$35</definedName>
    <definedName name="por3_um" localSheetId="10">'Mass Transfer'!$D$36</definedName>
    <definedName name="por4_um" localSheetId="10">'Mass Transfer'!$D$37</definedName>
    <definedName name="por5_um" localSheetId="10">'Mass Transfer'!$D$38</definedName>
    <definedName name="power_max" localSheetId="7">Electrochemistry!$D$73</definedName>
    <definedName name="psi_hs_g" localSheetId="10">'Mass Transfer'!$D$334</definedName>
    <definedName name="psi_hs_l" localSheetId="10">'Mass Transfer'!$D$356</definedName>
    <definedName name="psi_su" localSheetId="10">'Mass Transfer'!$D$552</definedName>
    <definedName name="pulse_floor" localSheetId="10">'Mass Transfer'!$D$99</definedName>
    <definedName name="pulse_floor_default" localSheetId="10">'Mass Transfer'!$D$396</definedName>
    <definedName name="pulse_res" localSheetId="10">'Mass Transfer'!$D$241</definedName>
    <definedName name="pulse_res_set" localSheetId="1">Summary!$D$15</definedName>
    <definedName name="pulse_V0" localSheetId="10">'Mass Transfer'!$D$408</definedName>
    <definedName name="pulses_d" localSheetId="10">'Mass Transfer'!$D$125</definedName>
    <definedName name="pulses_h" localSheetId="10">'Mass Transfer'!$D$124</definedName>
    <definedName name="pw_A" localSheetId="10">'Mass Transfer'!$D$203</definedName>
    <definedName name="pw_B" localSheetId="10">'Mass Transfer'!$D$204</definedName>
    <definedName name="pw_C" localSheetId="10">'Mass Transfer'!$D$205</definedName>
    <definedName name="Q_backdraw" localSheetId="10">'Mass Transfer'!$D$385</definedName>
    <definedName name="Q_carry_max" localSheetId="10">'Mass Transfer'!$D$413</definedName>
    <definedName name="Q_CO2" localSheetId="10">'Mass Transfer'!$D$102</definedName>
    <definedName name="Q_CO2_fit" localSheetId="10">'Mass Transfer'!$D$407</definedName>
    <definedName name="Q_vent" localSheetId="10">'Mass Transfer'!$D$142</definedName>
    <definedName name="Q_vent_used" localSheetId="10">'Mass Transfer'!$D$386</definedName>
    <definedName name="R_cell" localSheetId="7">Electrochemistry!$D$117</definedName>
    <definedName name="R_chloramine" localSheetId="8">Chemistry!$D$144</definedName>
    <definedName name="R_chloramine_hi" localSheetId="8">Chemistry!$D$153</definedName>
    <definedName name="R_chloramine_lo" localSheetId="8">Chemistry!$D$152</definedName>
    <definedName name="R_gas" localSheetId="8">Chemistry!$D$9</definedName>
    <definedName name="R_gas" localSheetId="7">Electrochemistry!$D$7</definedName>
    <definedName name="R_gas" localSheetId="10">'Mass Transfer'!$D$101</definedName>
    <definedName name="R_gas_b" localSheetId="9">Biology!$D$79</definedName>
    <definedName name="r_H2_HOR" localSheetId="7">Electrochemistry!$D$149</definedName>
    <definedName name="r_H2O2" localSheetId="7">Electrochemistry!$D$93</definedName>
    <definedName name="r_H2O2_an_g" localSheetId="7">Electrochemistry!$D$168</definedName>
    <definedName name="r_H2O2_an_l" localSheetId="7">Electrochemistry!$D$169</definedName>
    <definedName name="r_H2O2_lag" localSheetId="7">Electrochemistry!$D$152</definedName>
    <definedName name="r_HCO3_ref" localSheetId="8">Chemistry!$D$293</definedName>
    <definedName name="rate_tol_rel" localSheetId="10">'Mass Transfer'!$D$569</definedName>
    <definedName name="Reactor" localSheetId="10">'Mass Transfer'!$D$115</definedName>
    <definedName name="reactor_sel" localSheetId="6">Geometry!$D$5</definedName>
    <definedName name="Reactor_sel" localSheetId="1">Summary!$D$2</definedName>
    <definedName name="remedy_res" localSheetId="9">Biology!$D$120</definedName>
    <definedName name="res_binding" localSheetId="1">Summary!$D$26</definedName>
    <definedName name="chk_buffer" localSheetId="1">Summary!$D$106</definedName>
    <definedName name="res_carbon_margin" localSheetId="1">Summary!$D$87</definedName>
    <definedName name="res_Cl2" localSheetId="1">Summary!$D$30</definedName>
    <definedName name="res_CO2_uptake" localSheetId="1">Summary!$D$88</definedName>
    <definedName name="res_DO_ss" localSheetId="1">Summary!$D$29</definedName>
    <definedName name="res_duty_ratio" localSheetId="1">Summary!$D$40</definedName>
    <definedName name="res_E_Cl_margin" localSheetId="1">Summary!$D$82</definedName>
    <definedName name="res_E_Cu_margin" localSheetId="1">Summary!$D$83</definedName>
    <definedName name="res_etaF" localSheetId="1">Summary!$D$80</definedName>
    <definedName name="chk_H2O2" localSheetId="1">Summary!$D$105</definedName>
    <definedName name="res_I_mA" localSheetId="1">Summary!$D$72</definedName>
    <definedName name="res_I_max" localSheetId="1">Summary!$D$75</definedName>
    <definedName name="res_j_anode" localSheetId="1">Summary!$D$73</definedName>
    <definedName name="res_j_anode_max" localSheetId="1">Summary!$D$76</definedName>
    <definedName name="chk_j" localSheetId="1">Summary!$D$107</definedName>
    <definedName name="res_j_status_max" localSheetId="1">Summary!$D$77</definedName>
    <definedName name="res_pH" localSheetId="1">Summary!$D$27</definedName>
    <definedName name="res_power_max" localSheetId="1">Summary!$D$74</definedName>
    <definedName name="res_spg_dur" localSheetId="1">Summary!$D$34</definedName>
    <definedName name="res_spg_dur_run" localSheetId="1">Summary!$D$21</definedName>
    <definedName name="res_spg_int" localSheetId="1">Summary!$D$35</definedName>
    <definedName name="res_spg_int_carbon" localSheetId="1">Summary!$D$36</definedName>
    <definedName name="res_spg_int_DO" localSheetId="1">Summary!$D$37</definedName>
    <definedName name="res_spg_int_pH" localSheetId="1">Summary!$D$38</definedName>
    <definedName name="res_spg_int_run" localSheetId="1">Summary!$D$22</definedName>
    <definedName name="res_spg_int_su" localSheetId="1">Summary!$D$23</definedName>
    <definedName name="res_su_state" localSheetId="1">Summary!$D$25</definedName>
    <definedName name="res_tip_speed" localSheetId="1">Summary!$D$86</definedName>
    <definedName name="res_V_cell" localSheetId="1">Summary!$D$81</definedName>
    <definedName name="chk_V_cell" localSheetId="1">Summary!$D$119</definedName>
    <definedName name="resid_noC_hi" localSheetId="8">Chemistry!$D$323</definedName>
    <definedName name="rH2_gen" localSheetId="9">Biology!$D$4</definedName>
    <definedName name="rH2_gen" localSheetId="7">Electrochemistry!$D$21</definedName>
    <definedName name="rH2_gen" localSheetId="10">'Mass Transfer'!$D$311</definedName>
    <definedName name="rH2_lag" localSheetId="7">Electrochemistry!$D$133</definedName>
    <definedName name="rH2_lag_mt" localSheetId="10">'Mass Transfer'!$D$395</definedName>
    <definedName name="rH2_su_max" localSheetId="7">Electrochemistry!$D$175</definedName>
    <definedName name="rH2_su_mt" localSheetId="10">'Mass Transfer'!$D$571</definedName>
    <definedName name="rho_0" localSheetId="10">'Mass Transfer'!$D$169</definedName>
    <definedName name="rho_CO2" localSheetId="10">'Mass Transfer'!$D$60</definedName>
    <definedName name="rho_k" localSheetId="10">'Mass Transfer'!$D$170</definedName>
    <definedName name="rho_L" localSheetId="10">'Mass Transfer'!$D$30</definedName>
    <definedName name="rO2_gen" localSheetId="7">Electrochemistry!$D$22</definedName>
    <definedName name="rod_d" localSheetId="6">Geometry!$D$26</definedName>
    <definedName name="rod_n" localSheetId="6">Geometry!$D$27</definedName>
    <definedName name="rx_ver" localSheetId="6">Geometry!$D$51</definedName>
    <definedName name="S_O2_g" localSheetId="10">'Mass Transfer'!$D$327</definedName>
    <definedName name="S_O2_l" localSheetId="10">'Mass Transfer'!$D$349</definedName>
    <definedName name="S_O2_su" localSheetId="10">'Mass Transfer'!$D$574</definedName>
    <definedName name="s_renew" localSheetId="10">'Mass Transfer'!$D$69</definedName>
    <definedName name="saw_factor" localSheetId="10">'Mass Transfer'!$D$322</definedName>
    <definedName name="sched_bal" localSheetId="10">'Mass Transfer'!$D$129</definedName>
    <definedName name="sched_mode" localSheetId="10">'Mass Transfer'!$D$81</definedName>
    <definedName name="sched_regime" localSheetId="10">'Mass Transfer'!$D$113</definedName>
    <definedName name="sched_valid" localSheetId="10">'Mass Transfer'!$D$164</definedName>
    <definedName name="sigma" localSheetId="10">'Mass Transfer'!$D$29</definedName>
    <definedName name="sigma_0" localSheetId="10">'Mass Transfer'!$D$167</definedName>
    <definedName name="sigma_k" localSheetId="10">'Mass Transfer'!$D$168</definedName>
    <definedName name="sparge_depth" localSheetId="6">Geometry!$D$43</definedName>
    <definedName name="sparger" localSheetId="10">'Mass Transfer'!$D$21</definedName>
    <definedName name="sparger_e" localSheetId="7">Electrochemistry!$D$31</definedName>
    <definedName name="spg_disp" localSheetId="6">Geometry!$D$37</definedName>
    <definedName name="spg_dur" localSheetId="10">'Mass Transfer'!$D$121</definedName>
    <definedName name="spg_dur_b" localSheetId="9">Biology!$D$78</definedName>
    <definedName name="spg_dur_eq" localSheetId="10">'Mass Transfer'!$D$410</definedName>
    <definedName name="spg_dur_eq_opt" localSheetId="10">'Mass Transfer'!$D$409</definedName>
    <definedName name="spg_dur_man" localSheetId="10">'Mass Transfer'!$D$82</definedName>
    <definedName name="spg_dur_opt" localSheetId="10">'Mass Transfer'!$D$90</definedName>
    <definedName name="spg_dur_opt_b" localSheetId="9">Biology!$D$89</definedName>
    <definedName name="spg_dur_run" localSheetId="10">'Mass Transfer'!$D$242</definedName>
    <definedName name="spg_ID" localSheetId="6">Geometry!$D$31</definedName>
    <definedName name="spg_ID" localSheetId="10">'Mass Transfer'!$D$18</definedName>
    <definedName name="spg_int" localSheetId="10">'Mass Transfer'!$D$122</definedName>
    <definedName name="spg_int_carbon" localSheetId="10">'Mass Transfer'!$D$112</definedName>
    <definedName name="spg_int_DO" localSheetId="10">'Mass Transfer'!$D$185</definedName>
    <definedName name="spg_int_DO_l" localSheetId="10">'Mass Transfer'!$D$544</definedName>
    <definedName name="spg_int_H2safe" localSheetId="9">Biology!$D$87</definedName>
    <definedName name="spg_int_H2safe_mt" localSheetId="10">'Mass Transfer'!$D$545</definedName>
    <definedName name="spg_int_H2safe_opt" localSheetId="10">'Mass Transfer'!$D$563</definedName>
    <definedName name="spg_int_H2safe_saw" localSheetId="9">Biology!$D$92</definedName>
    <definedName name="spg_int_H2safe_su" localSheetId="10">'Mass Transfer'!$D$581</definedName>
    <definedName name="spg_int_H2safe_su_opt" localSheetId="10">'Mass Transfer'!$D$582</definedName>
    <definedName name="spg_int_man" localSheetId="10">'Mass Transfer'!$D$83</definedName>
    <definedName name="spg_int_max" localSheetId="10">'Mass Transfer'!$D$89</definedName>
    <definedName name="spg_int_max_su" localSheetId="10">'Mass Transfer'!$D$583</definedName>
    <definedName name="spg_int_opt" localSheetId="10">'Mass Transfer'!$D$91</definedName>
    <definedName name="spg_int_opt_s" localSheetId="10">'Mass Transfer'!$D$92</definedName>
    <definedName name="spg_int_pH" localSheetId="10">'Mass Transfer'!$D$432</definedName>
    <definedName name="spg_int_pH_l" localSheetId="10">'Mass Transfer'!$D$561</definedName>
    <definedName name="spg_int_pH_opt" localSheetId="10">'Mass Transfer'!$D$433</definedName>
    <definedName name="spg_int_regime" localSheetId="10">'Mass Transfer'!$D$134</definedName>
    <definedName name="spg_int_run" localSheetId="10">'Mass Transfer'!$D$420</definedName>
    <definedName name="spg_int_su_opt" localSheetId="10">'Mass Transfer'!$D$546</definedName>
    <definedName name="spg_int_su_run" localSheetId="10">'Mass Transfer'!$D$547</definedName>
    <definedName name="spg_len" localSheetId="6">Geometry!$D$50</definedName>
    <definedName name="spg_name_1" localSheetId="10">'Mass Transfer'!$D$27</definedName>
    <definedName name="spg_name_2" localSheetId="10">'Mass Transfer'!$D$28</definedName>
    <definedName name="spg_OD" localSheetId="6">Geometry!$D$30</definedName>
    <definedName name="spg_tip_h" localSheetId="6">Geometry!$D$32</definedName>
    <definedName name="sqrtD_CO2" localSheetId="10">'Mass Transfer'!$D$147</definedName>
    <definedName name="stir_bar_L" localSheetId="6">Geometry!$D$52</definedName>
    <definedName name="stir_len" localSheetId="10">'Mass Transfer'!$D$5</definedName>
    <definedName name="stir_rpm" localSheetId="10">'Mass Transfer'!$D$67</definedName>
    <definedName name="stir_rpm_set" localSheetId="1">Summary!$D$7</definedName>
    <definedName name="strip_avg" localSheetId="10">'Mass Transfer'!$D$55</definedName>
    <definedName name="strip_ratio" localSheetId="10">'Mass Transfer'!$D$56</definedName>
    <definedName name="strip_sparge" localSheetId="10">'Mass Transfer'!$D$54</definedName>
    <definedName name="su_binding" localSheetId="10">'Mass Transfer'!$D$548</definedName>
    <definedName name="surf_ratio" localSheetId="10">'Mass Transfer'!$D$74</definedName>
    <definedName name="surf_strip" localSheetId="10">'Mass Transfer'!$D$73</definedName>
    <definedName name="T_C" localSheetId="9">Biology!$D$17</definedName>
    <definedName name="t_contact" localSheetId="10">'Mass Transfer'!$D$50</definedName>
    <definedName name="t_gap_h" localSheetId="10">'Mass Transfer'!$D$325</definedName>
    <definedName name="t_gap_H2_LFL" localSheetId="9">Biology!$D$90</definedName>
    <definedName name="t_gap_H2_su" localSheetId="10">'Mass Transfer'!$D$579</definedName>
    <definedName name="t_gap_O2_LOC" localSheetId="9">Biology!$D$91</definedName>
    <definedName name="t_gap_O2_su" localSheetId="10">'Mass Transfer'!$D$580</definedName>
    <definedName name="t_gap_su_h" localSheetId="10">'Mass Transfer'!$D$549</definedName>
    <definedName name="t_H2_sat" localSheetId="9">Biology!$D$42</definedName>
    <definedName name="t_H2O2_thresh" localSheetId="7">Electrochemistry!$D$98</definedName>
    <definedName name="T_K" localSheetId="9">Biology!$D$18</definedName>
    <definedName name="T_K" localSheetId="7">Electrochemistry!$D$5</definedName>
    <definedName name="T_K" localSheetId="10">'Mass Transfer'!$D$8</definedName>
    <definedName name="t_O2_ceiling" localSheetId="10">'Mass Transfer'!$D$65</definedName>
    <definedName name="t_O2_ceiling_lag" localSheetId="10">'Mass Transfer'!$D$79</definedName>
    <definedName name="t_O2_ceiling_rem" localSheetId="10">'Mass Transfer'!$D$80</definedName>
    <definedName name="t_O2_ceiling_strip" localSheetId="10">'Mass Transfer'!$D$66</definedName>
    <definedName name="t_off_CO2" localSheetId="10">'Mass Transfer'!$D$152</definedName>
    <definedName name="t_on_CO2" localSheetId="10">'Mass Transfer'!$D$151</definedName>
    <definedName name="T_ref" localSheetId="9">Biology!$D$23</definedName>
    <definedName name="T_ref" localSheetId="8">Chemistry!$D$229</definedName>
    <definedName name="T_ref" localSheetId="10">'Mass Transfer'!$D$209</definedName>
    <definedName name="T_zero_C" localSheetId="9">Biology!$D$66</definedName>
    <definedName name="T_zero_C" localSheetId="10">'Mass Transfer'!$D$210</definedName>
    <definedName name="target_DO_frac" localSheetId="10">'Mass Transfer'!$D$84</definedName>
    <definedName name="tau_hs" localSheetId="10">'Mass Transfer'!$D$144</definedName>
    <definedName name="tau_L_h" localSheetId="10">'Mass Transfer'!$D$326</definedName>
    <definedName name="tau_NH2Cl" localSheetId="8">Chemistry!$D$142</definedName>
    <definedName name="tau_NH2Cl_default" localSheetId="8">Chemistry!$D$314</definedName>
    <definedName name="tau_NH2Cl_hi" localSheetId="8">Chemistry!$D$151</definedName>
    <definedName name="tau_NH2Cl_lo" localSheetId="8">Chemistry!$D$150</definedName>
    <definedName name="tau_surf_floor" localSheetId="10">'Mass Transfer'!$D$149</definedName>
    <definedName name="temp_C" localSheetId="1">Summary!$D$8</definedName>
    <definedName name="tip_speed" localSheetId="10">'Mass Transfer'!$D$68</definedName>
    <definedName name="tip_speed_max" localSheetId="10">'Mass Transfer'!$D$216</definedName>
    <definedName name="tip_warn" localSheetId="10">'Mass Transfer'!$D$111</definedName>
    <definedName name="TKc" localSheetId="8">Chemistry!$D$4</definedName>
    <definedName name="tube_d_m" localSheetId="10">'Mass Transfer'!$D$40</definedName>
    <definedName name="u_g_max" localSheetId="10">'Mass Transfer'!$D$58</definedName>
    <definedName name="u_rise" localSheetId="10">'Mass Transfer'!$D$46</definedName>
    <definedName name="u_sg" localSheetId="10">'Mass Transfer'!$D$47</definedName>
    <definedName name="V_at_gerrit_max" localSheetId="7">Electrochemistry!$D$143</definedName>
    <definedName name="V_cell_est" localSheetId="7">Electrochemistry!$D$119</definedName>
    <definedName name="V_charge" localSheetId="9">Biology!$D$6</definedName>
    <definedName name="V_charge" localSheetId="8">Chemistry!$D$279</definedName>
    <definedName name="V_charge" localSheetId="7">Electrochemistry!$D$153</definedName>
    <definedName name="V_charge" localSheetId="6">Geometry!$D$41</definedName>
    <definedName name="V_charge" localSheetId="10">'Mass Transfer'!$D$16</definedName>
    <definedName name="V_flag" localSheetId="7">Electrochemistry!$D$122</definedName>
    <definedName name="V_gas_total" localSheetId="7">Electrochemistry!$D$25</definedName>
    <definedName name="V_gerrit_flag" localSheetId="7">Electrochemistry!$D$144</definedName>
    <definedName name="V_H2_gen" localSheetId="7">Electrochemistry!$D$23</definedName>
    <definedName name="V_headroom" localSheetId="7">Electrochemistry!$D$121</definedName>
    <definedName name="V_headroom_min" localSheetId="7">Electrochemistry!$D$127</definedName>
    <definedName name="V_inserts" localSheetId="6">Geometry!$D$48</definedName>
    <definedName name="V_IR" localSheetId="7">Electrochemistry!$D$118</definedName>
    <definedName name="V_L_CO2" localSheetId="10">'Mass Transfer'!$D$416</definedName>
    <definedName name="V_L_m3" localSheetId="10">'Mass Transfer'!$D$141</definedName>
    <definedName name="V_max" localSheetId="6">Geometry!$D$23</definedName>
    <definedName name="V_O2_gen" localSheetId="7">Electrochemistry!$D$24</definedName>
    <definedName name="v_orifice" localSheetId="10">'Mass Transfer'!$D$62</definedName>
    <definedName name="V_pulse" localSheetId="10">'Mass Transfer'!$D$411</definedName>
    <definedName name="V_rail" localSheetId="7">Electrochemistry!$D$120</definedName>
    <definedName name="V_vial_total" localSheetId="6">Geometry!$D$24</definedName>
    <definedName name="vent_floor_chk" localSheetId="10">'Mass Transfer'!$D$163</definedName>
    <definedName name="vent_model" localSheetId="10">'Mass Transfer'!$D$301</definedName>
    <definedName name="vent_model_sel" localSheetId="1">Summary!$D$11</definedName>
    <definedName name="vent_name_1" localSheetId="10">'Mass Transfer'!$D$302</definedName>
    <definedName name="vent_name_2" localSheetId="10">'Mass Transfer'!$D$303</definedName>
    <definedName name="vent_name_3" localSheetId="10">'Mass Transfer'!$D$384</definedName>
    <definedName name="Vg_CO2" localSheetId="10">'Mass Transfer'!$D$192</definedName>
    <definedName name="vial_ID" localSheetId="6">Geometry!$D$20</definedName>
    <definedName name="vial_ID" localSheetId="10">'Mass Transfer'!$D$15</definedName>
    <definedName name="vial_OD" localSheetId="6">Geometry!$D$18</definedName>
    <definedName name="vial_wall" localSheetId="6">Geometry!$D$19</definedName>
    <definedName name="VLc" localSheetId="8">Chemistry!$D$8</definedName>
    <definedName name="We_orifice" localSheetId="10">'Mass Transfer'!$D$63</definedName>
    <definedName name="We_static_max" localSheetId="10">'Mass Transfer'!$D$212</definedName>
    <definedName name="x_hs_g" localSheetId="10">'Mass Transfer'!$D$332</definedName>
    <definedName name="x_hs_l" localSheetId="10">'Mass Transfer'!$D$354</definedName>
    <definedName name="x_series" localSheetId="10">'Mass Transfer'!$D$584</definedName>
    <definedName name="x_su" localSheetId="10">'Mass Transfer'!$D$550</definedName>
    <definedName name="xtube_n" localSheetId="6">Geometry!$D$46</definedName>
    <definedName name="xtube_OD" localSheetId="6">Geometry!$D$45</definedName>
    <definedName name="xtube_pro" localSheetId="6">Geometry!$D$47</definedName>
    <definedName name="y_CO2_mf" localSheetId="10">'Mass Transfer'!$D$381</definedName>
    <definedName name="y_H2_avg_l" localSheetId="10">'Mass Transfer'!$D$564</definedName>
    <definedName name="y_H2_end_b" localSheetId="9">Biology!$D$114</definedName>
    <definedName name="y_H2_end_l" localSheetId="10">'Mass Transfer'!$D$388</definedName>
    <definedName name="y_H2_end_su" localSheetId="10">'Mass Transfer'!$D$558</definedName>
    <definedName name="y_H2_hs_lag" localSheetId="9">Biology!$D$84</definedName>
    <definedName name="y_H2_mf_g" localSheetId="10">'Mass Transfer'!$D$330</definedName>
    <definedName name="y_H2_mf_l" localSheetId="10">'Mass Transfer'!$D$352</definedName>
    <definedName name="y_O2_actual" localSheetId="10">'Mass Transfer'!$D$187</definedName>
    <definedName name="y_O2_air" localSheetId="10">'Mass Transfer'!$D$307</definedName>
    <definedName name="y_O2_air_b" localSheetId="9">Biology!$D$112</definedName>
    <definedName name="y_O2_avg_g" localSheetId="10">'Mass Transfer'!$D$338</definedName>
    <definedName name="y_O2_avg_l" localSheetId="10">'Mass Transfer'!$D$360</definedName>
    <definedName name="y_O2_avg_su" localSheetId="10">'Mass Transfer'!$D$555</definedName>
    <definedName name="y_O2_end_b" localSheetId="9">Biology!$D$119</definedName>
    <definedName name="y_O2_end_g" localSheetId="10">'Mass Transfer'!$D$336</definedName>
    <definedName name="y_O2_end_l" localSheetId="10">'Mass Transfer'!$D$358</definedName>
    <definedName name="y_O2_end_su" localSheetId="10">'Mass Transfer'!$D$554</definedName>
    <definedName name="y_O2_hs_lag" localSheetId="9">Biology!$D$85</definedName>
    <definedName name="y_O2_mf_g" localSheetId="10">'Mass Transfer'!$D$329</definedName>
    <definedName name="y_O2_mf_l" localSheetId="10">'Mass Transfer'!$D$351</definedName>
    <definedName name="y_O2_post_g" localSheetId="10">'Mass Transfer'!$D$337</definedName>
    <definedName name="y_O2_post_l" localSheetId="10">'Mass Transfer'!$D$359</definedName>
    <definedName name="y_O2_star" localSheetId="10">'Mass Transfer'!$D$183</definedName>
    <definedName name="y_O2_star_l" localSheetId="10">'Mass Transfer'!$D$542</definedName>
    <definedName name="z_e_H2" localSheetId="7">Electrochemistry!$D$16</definedName>
    <definedName name="z_e_O2" localSheetId="7">Electrochemistry!$D$17</definedName>
    <definedName name="z_e_ORR" localSheetId="7">Electrochemistry!$D$27</definedName>
    <definedName name="z_peak_g" localSheetId="10">'Mass Transfer'!$D$566</definedName>
    <definedName name="z_peak_l" localSheetId="10">'Mass Transfer'!$D$567</definedName>
    <definedName name="z_peak_su" localSheetId="10">'Mass Transfer'!$D$568</definedName>
    <definedName name="res_Q_vent" localSheetId="1">Summary!$D$43</definedName>
    <definedName name="res_DO_avg_g" localSheetId="1">Summary!$D$44</definedName>
    <definedName name="res_DO_peak_g" localSheetId="1">Summary!$D$45</definedName>
    <definedName name="res_DO_avg_l" localSheetId="1">Summary!$D$46</definedName>
    <definedName name="res_DO_peak_l" localSheetId="1">Summary!$D$47</definedName>
    <definedName name="chk_DO_peak_g" localSheetId="1">Summary!$D$98</definedName>
    <definedName name="chk_DO_peak_l" localSheetId="1">Summary!$D$99</definedName>
    <definedName name="chk_DO_feas_g" localSheetId="1">Summary!$D$100</definedName>
    <definedName name="chk_DO_feas_l" localSheetId="1">Summary!$D$101</definedName>
    <definedName name="res_kLa_req_g" localSheetId="1">Summary!$D$48</definedName>
    <definedName name="res_kLa_req_l" localSheetId="1">Summary!$D$49</definedName>
    <definedName name="res_yO2_g" localSheetId="1">Summary!$D$50</definedName>
    <definedName name="res_yO2_l" localSheetId="1">Summary!$D$51</definedName>
    <definedName name="res_yH2_l" localSheetId="1">Summary!$D$52</definedName>
    <definedName name="res_yCO2" localSheetId="1">Summary!$D$53</definedName>
    <definedName name="res_NaHCO3_gL" localSheetId="1">Summary!$D$68</definedName>
    <definedName name="res_alk_mM" localSheetId="1">Summary!$D$69</definedName>
    <definedName name="res_N2_DO" localSheetId="1">Summary!$D$55</definedName>
    <definedName name="res_N2_H2" localSheetId="1">Summary!$D$56</definedName>
    <definedName name="N_source_sel" localSheetId="8">Chemistry!$D$327</definedName>
    <definedName name="N_src_1" localSheetId="8">Chemistry!$D$328</definedName>
    <definedName name="N_src_2" localSheetId="8">Chemistry!$D$329</definedName>
    <definedName name="N_src_3" localSheetId="8">Chemistry!$D$330</definedName>
    <definedName name="N_src_idx" localSheetId="8">Chemistry!$D$331</definedName>
    <definedName name="pH_SID_rec" localSheetId="8">Chemistry!$D$332</definedName>
    <definedName name="pH_NT_rec" localSheetId="8">Chemistry!$D$333</definedName>
    <definedName name="X_end" localSheetId="8">Chemistry!$D$334</definedName>
    <definedName name="f_N_bio" localSheetId="8">Chemistry!$D$335</definedName>
    <definedName name="n_up_end" localSheetId="8">Chemistry!$D$336</definedName>
    <definedName name="N_limit_chk" localSheetId="8">Chemistry!$D$337</definedName>
    <definedName name="SID_end_A" localSheetId="8">Chemistry!$D$338</definedName>
    <definedName name="NT_end_A" localSheetId="8">Chemistry!$D$339</definedName>
    <definedName name="SID_end_N" localSheetId="8">Chemistry!$D$340</definedName>
    <definedName name="SID_end_U" localSheetId="8">Chemistry!$D$341</definedName>
    <definedName name="n_cross_A" localSheetId="8">Chemistry!$D$342</definedName>
    <definedName name="n_cross_N" localSheetId="8">Chemistry!$D$343</definedName>
    <definedName name="n_cross_U" localSheetId="8">Chemistry!$D$344</definedName>
    <definedName name="pH_end_A" localSheetId="8">Chemistry!$D$345</definedName>
    <definedName name="pH_end_N" localSheetId="8">Chemistry!$D$346</definedName>
    <definedName name="pH_end_U" localSheetId="8">Chemistry!$D$347</definedName>
    <definedName name="pH_end" localSheetId="8">Chemistry!$D$348</definedName>
    <definedName name="pH_min_A" localSheetId="8">Chemistry!$D$349</definedName>
    <definedName name="pH_min_N" localSheetId="8">Chemistry!$D$350</definedName>
    <definedName name="pH_min_U" localSheetId="8">Chemistry!$D$351</definedName>
    <definedName name="pH_min" localSheetId="8">Chemistry!$D$352</definedName>
    <definedName name="SID_end" localSheetId="8">Chemistry!$D$353</definedName>
    <definedName name="NT_end" localSheetId="8">Chemistry!$D$354</definedName>
    <definedName name="alk_resid_end" localSheetId="8">Chemistry!$D$355</definedName>
    <definedName name="alk_end" localSheetId="8">Chemistry!$D$356</definedName>
    <definedName name="alk_run_gL" localSheetId="8">Chemistry!$D$357</definedName>
    <definedName name="pH_min_alk" localSheetId="8">Chemistry!$D$358</definedName>
    <definedName name="NH42SO4_rec_gL" localSheetId="8">Chemistry!$D$359</definedName>
    <definedName name="K2SO4_swap_gL" localSheetId="8">Chemistry!$D$360</definedName>
    <definedName name="M_KNO3" localSheetId="8">Chemistry!$D$361</definedName>
    <definedName name="KNO3_gL" localSheetId="8">Chemistry!$D$362</definedName>
    <definedName name="M_urea" localSheetId="8">Chemistry!$D$363</definedName>
    <definedName name="urea_gL" localSheetId="8">Chemistry!$D$364</definedName>
    <definedName name="pulse_rule_sel" localSheetId="10">'Mass Transfer'!$D$587</definedName>
    <definedName name="pulse_rule_1" localSheetId="10">'Mass Transfer'!$D$588</definedName>
    <definedName name="pulse_rule_2" localSheetId="10">'Mass Transfer'!$D$589</definedName>
    <definedName name="pulse_rule_idx" localSheetId="10">'Mass Transfer'!$D$590</definedName>
    <definedName name="Km_CO2_mt" localSheetId="10">'Mass Transfer'!$D$591</definedName>
    <definedName name="carbon_trough_min" localSheetId="10">'Mass Transfer'!$D$592</definedName>
    <definedName name="CO2_trough_mt" localSheetId="10">'Mass Transfer'!$D$593</definedName>
    <definedName name="spg_int_trough" localSheetId="10">'Mass Transfer'!$D$594</definedName>
    <definedName name="spg_int_trough_opt" localSheetId="10">'Mass Transfer'!$D$595</definedName>
    <definedName name="trough_unreach" localSheetId="10">'Mass Transfer'!$D$596</definedName>
    <definedName name="trg_x" localSheetId="10">'Mass Transfer'!$K$440:$K$539</definedName>
    <definedName name="kLa_margin_l_ec" localSheetId="7">Electrochemistry!$D$178</definedName>
    <definedName name="rO2_per_A" localSheetId="7">Electrochemistry!$D$179</definedName>
    <definedName name="I_su" localSheetId="7">Electrochemistry!$D$180</definedName>
    <definedName name="power_su" localSheetId="7">Electrochemistry!$D$181</definedName>
    <definedName name="I_curve_low" localSheetId="7">Electrochemistry!$D$182</definedName>
    <definedName name="power_su_basis" localSheetId="7">Electrochemistry!$D$183</definedName>
    <definedName name="N_source_sel" localSheetId="1">Summary!$D$16</definedName>
    <definedName name="X_end_gL" localSheetId="1">Summary!$D$17</definedName>
    <definedName name="pulse_rule_sel" localSheetId="1">Summary!$D$18</definedName>
    <definedName name="res_power_su" localSheetId="1">Summary!$D$24</definedName>
    <definedName name="res_pH_end" localSheetId="1">Summary!$D$28</definedName>
    <definedName name="res_spg_int_trough" localSheetId="1">Summary!$D$39</definedName>
    <definedName name="res_I_su" localSheetId="1">Summary!$D$59</definedName>
    <definedName name="res_su_power_basis" localSheetId="1">Summary!$D$60</definedName>
    <definedName name="med_none" localSheetId="1">Summary!$D$64</definedName>
    <definedName name="med_NaHCO3" localSheetId="1">Summary!$D$65</definedName>
    <definedName name="med_nitrate" localSheetId="1">Summary!$D$66</definedName>
    <definedName name="med_urea" localSheetId="1">Summary!$D$67</definedName>
    <definedName name="chk_pH_end" localSheetId="1">Summary!$D$102</definedName>
    <definedName name="chk_su_current" localSheetId="1">Summary!$D$128</definedName>
    <definedName name="cf_power_lo" localSheetId="1">Summary!$D$187</definedName>
    <definedName name="cf_power_hi" localSheetId="1">Summary!$D$188</definedName>
    <definedName name="cf_rpm_lo" localSheetId="1">Summary!$D$189</definedName>
    <definedName name="cf_rpm_hi" localSheetId="1">Summary!$D$190</definedName>
    <definedName name="cf_T_lo" localSheetId="1">Summary!$D$191</definedName>
    <definedName name="cf_T_hi" localSheetId="1">Summary!$D$192</definedName>
    <definedName name="cf_Patm_lo" localSheetId="1">Summary!$D$193</definedName>
    <definedName name="cf_Patm_hi" localSheetId="1">Summary!$D$194</definedName>
    <definedName name="cf_NaHCO3_hi" localSheetId="1">Summary!$D$195</definedName>
    <definedName name="cf_N2_hi" localSheetId="1">Summary!$D$196</definedName>
    <definedName name="cf_res_lo" localSheetId="1">Summary!$D$197</definedName>
    <definedName name="cf_res_hi" localSheetId="1">Summary!$D$198</definedName>
    <definedName name="cf_Vmax" localSheetId="1">Summary!$D$199</definedName>
    <definedName name="cf_alk_run" localSheetId="1">Summary!$D$200</definedName>
    <definedName name="cf_N_limit" localSheetId="1">Summary!$D$201</definedName>
    <definedName name="NSourceList">Chemistry!$D$328:$D$330</definedName>
    <definedName name="PulseRuleList">'Mass Transfer'!$D$588:$D$589</definedName>
    <definedName name="H2_util_meas" localSheetId="9">Biology!$D$128</definedName>
    <definedName name="H2_util_default" localSheetId="9">Biology!$D$129</definedName>
    <definedName name="H2_util" localSheetId="9">Biology!$D$130</definedName>
    <definedName name="res_qualification" localSheetId="1">Summary!$D$32</definedName>
    <definedName name="validation_status_213" localSheetId="1">Summary!$D$213</definedName>
    <definedName name="validation_status_214" localSheetId="1">Summary!$D$214</definedName>
    <definedName name="validation_status_215" localSheetId="1">Summary!$D$215</definedName>
    <definedName name="med_n" localSheetId="5">COLUMNS(Media[#Data])-COLUMNS(Media!$A$13:$S$13)</definedName>
    <definedName name="med_vals" localSheetId="5">OFFSET(Media!$S$17,1,1,ROWS(Media[#Data])-ROWS(Media!$A$14:$A$17),Media!med_n)</definedName>
    <definedName name="ing_ions" localSheetId="5">OFFSET(Media!$D$17,1,0,ROWS(Media[#Data])-ROWS(Media!$A$14:$A$17),COLUMNS(Media!$D$13:$R$13))</definedName>
    <definedName name="ing_MW" localSheetId="5">OFFSET(Media!$C$17,1,0,ROWS(Media[#Data])-ROWS(Media!$A$14:$A$17),1)</definedName>
    <definedName name="med_desc" localSheetId="5">OFFSET(Media!$S$14,0,1,1,Media!med_n)</definedName>
    <definedName name="med_status" localSheetId="5">OFFSET(Media!$S$15,0,1,1,Media!med_n)</definedName>
    <definedName name="med_cmp" localSheetId="5">MATCH(Media!$B$4,MediaList,0)</definedName>
    <definedName name="cmp_media" localSheetId="5">Media!$B$4</definedName>
    <definedName name="ion_mM" localSheetId="5">OFFSET(Media!$T$37,0,0,COLUMNS(Media!$D$13:$R$13),Media!med_n)</definedName>
    <definedName name="ion_z" localSheetId="5">Media!$D$7:$R$7</definedName>
    <definedName name="ion_sid" localSheetId="5">Media!$D$8:$R$8</definedName>
    <definedName name="ion_lam" localSheetId="5">Media!$D$9:$R$9</definedName>
    <definedName name="ion_P" localSheetId="5">Media!$D$10:$R$10</definedName>
    <definedName name="ion_N" localSheetId="5">Media!$D$11:$R$11</definedName>
    <definedName name="ion_Cl" localSheetId="5">Media!$D$12:$R$12</definedName>
    <definedName name="med_PT" localSheetId="5">OFFSET(Media!$T$54,0,0,1,Media!med_n)</definedName>
    <definedName name="med_SID" localSheetId="5">OFFSET(Media!$T$55,0,0,1,Media!med_n)</definedName>
    <definedName name="med_NT" localSheetId="5">OFFSET(Media!$T$56,0,0,1,Media!med_n)</definedName>
    <definedName name="med_Cl" localSheetId="5">OFFSET(Media!$T$57,0,0,1,Media!med_n)</definedName>
    <definedName name="med_I" localSheetId="5">OFFSET(Media!$T$58,0,0,1,Media!med_n)</definedName>
    <definedName name="med_kappa0" localSheetId="5">OFFSET(Media!$T$59,0,0,1,Media!med_n)</definedName>
    <definedName name="MediaList">OFFSET(Media!$S$13,0,1,1,COLUMNS(Media[#Data])-COLUMNS(Media!$A$13:$S$13))</definedName>
    <definedName name="med_idx" localSheetId="8">Chemistry!$D$25</definedName>
    <definedName name="med_desc_sel" localSheetId="8">Chemistry!$D$26</definedName>
    <definedName name="med_status_sel" localSheetId="8">Chemistry!$D$27</definedName>
    <definedName name="med_PT_rec" localSheetId="8">Chemistry!$D$28</definedName>
    <definedName name="med_SID_rec" localSheetId="8">Chemistry!$D$29</definedName>
    <definedName name="med_NT_rec" localSheetId="8">Chemistry!$D$30</definedName>
    <definedName name="med_Cl_rec" localSheetId="8">Chemistry!$D$31</definedName>
    <definedName name="med_I_rec" localSheetId="8">Chemistry!$D$32</definedName>
    <definedName name="med_kappa0_rec" localSheetId="8">Chemistry!$D$33</definedName>
    <definedName name="MW_NH42SO4" localSheetId="8">Chemistry!$D$35</definedName>
    <definedName name="MW_K2SO4" localSheetId="8">Chemistry!$D$36</definedName>
    <definedName name="tbl_reactor" localSheetId="6">Reactors[#Data]</definedName>
    <definedName name="tbl_reactor_hdr" localSheetId="6">Reactors[#Headers]</definedName>
    <definedName name="tbl_rxtype" localSheetId="6">ReactorTypes[#Data]</definedName>
    <definedName name="tbl_rxtype_hdr" localSheetId="6">ReactorTypes[#Headers]</definedName>
    <definedName name="tbl_electrode" localSheetId="7">Electrodes[#Data]</definedName>
    <definedName name="tbl_electrode_hdr" localSheetId="7">Electrodes[#Headers]</definedName>
    <definedName name="tbl_strain" localSheetId="7">Organisms[#Data]</definedName>
    <definedName name="tbl_strain_hdr" localSheetId="7">Organisms[#Headers]</definedName>
    <definedName name="tbl_organism" localSheetId="9">Organisms[#Data]</definedName>
    <definedName name="tbl_organism_hdr" localSheetId="9">Organisms[#Headers]</definedName>
    <definedName name="ReactorList">Reactors[Reactor]</definedName>
    <definedName name="ReactorTypeList">Reactors[Type]</definedName>
    <definedName name="ElectrodeList">Electrodes[Electrode]</definedName>
    <definedName name="OrganismList">Organisms[Organism]</definedName>
    <definedName name="RxTypeNames">ReactorTypes[Type]</definedName>
    <definedName name="co2f_reactor">OFFSET('CO2 flows'!$A$3,1,0,ROWS(CO2Flows[#Data]),1)</definedName>
    <definedName name="co2f_date">OFFSET('CO2 flows'!$B$3,1,0,ROWS(CO2Flows[#Data]),1)</definedName>
    <definedName name="co2f_volume">OFFSET('CO2 flows'!$E$3,1,0,ROWS(CO2Flows[#Data]),1)</definedName>
    <definedName name="co2f_time">OFFSET('CO2 flows'!$F$3,1,0,ROWS(CO2Flows[#Data]),1)</definedName>
    <definedName name="co2f_minpulse">OFFSET('CO2 flows'!$I$3,1,0,ROWS(CO2Flows[#Data]),1)</definedName>
    <definedName name="co2f_nominal">OFFSET('CO2 flows'!$J$3,1,0,ROWS(CO2Flows[#Data]),1)</definedName>
    <definedName name="co2f_maxflow">OFFSET('CO2 flows'!$K$3,1,0,ROWS(CO2Flows[#Data]),1)</definedName>
    <definedName name="co2f_excluded">OFFSET('CO2 flows'!$L$3,1,0,ROWS(CO2Flows[#Data]),1)</definedName>
    <definedName name="A_x" localSheetId="12">Calibrations!$D$84</definedName>
    <definedName name="bp_const" localSheetId="12">Calibrations!$D$64</definedName>
    <definedName name="ca_rho_0" localSheetId="12">Calibrations!$D$79</definedName>
    <definedName name="ca_rho_k" localSheetId="12">Calibrations!$D$80</definedName>
    <definedName name="cal_bp" localSheetId="12">Calibrations!$D$35</definedName>
    <definedName name="cal_Dint">Calibrations!$D$28</definedName>
    <definedName name="cal_DO_impair">Calibrations!$D$41</definedName>
    <definedName name="cal_DO_min">Calibrations!$D$39</definedName>
    <definedName name="cal_DO_opt">Calibrations!$D$40</definedName>
    <definedName name="cal_DO_toxic">Calibrations!$D$42</definedName>
    <definedName name="cal_etaF">Calibrations!$D$13</definedName>
    <definedName name="cal_etaF_OER">Calibrations!$D$14</definedName>
    <definedName name="cal_flow">Calibrations!$D$22</definedName>
    <definedName name="cal_gerrit_int">Calibrations!$D$9</definedName>
    <definedName name="cal_gerrit_slope">Calibrations!$D$8</definedName>
    <definedName name="cal_hs">Calibrations!$D$29</definedName>
    <definedName name="cal_hs_fill">Calibrations!$D$30</definedName>
    <definedName name="cal_j_ceiling">Calibrations!$D$53</definedName>
    <definedName name="cal_j_opt">Calibrations!$D$52</definedName>
    <definedName name="cal_kLa">Calibrations!$D$18</definedName>
    <definedName name="cal_km_O2">Calibrations!$D$57</definedName>
    <definedName name="cal_knall_CO2">Calibrations!$D$48</definedName>
    <definedName name="cal_knall_H2">Calibrations!$D$46</definedName>
    <definedName name="cal_knall_O2">Calibrations!$D$47</definedName>
    <definedName name="cal_pulse_floor">Calibrations!$D$23</definedName>
    <definedName name="cal_sinter">Calibrations!$D$34</definedName>
    <definedName name="cal_tau_NH2Cl">Calibrations!$D$61</definedName>
    <definedName name="cal_Vtot">Calibrations!$D$27</definedName>
    <definedName name="D_O2" localSheetId="12">Calibrations!$D$94</definedName>
    <definedName name="electrode_sel" localSheetId="12">Calibrations!$D$93</definedName>
    <definedName name="F_const" localSheetId="12">Calibrations!$D$86</definedName>
    <definedName name="km_exp" localSheetId="12">Calibrations!$D$95</definedName>
    <definedName name="km_T_tol" localSheetId="12">Calibrations!$D$89</definedName>
    <definedName name="knall_H2_basis" localSheetId="12">Calibrations!$D$97</definedName>
    <definedName name="M_Cl2" localSheetId="12">Calibrations!$D$96</definedName>
    <definedName name="media_sel" localSheetId="12">Calibrations!$D$92</definedName>
    <definedName name="n_e_fcn" localSheetId="12">Calibrations!$D$88</definedName>
    <definedName name="organism_sel" localSheetId="12">Calibrations!$D$82</definedName>
    <definedName name="por_break_1" localSheetId="12">Calibrations!$D$65</definedName>
    <definedName name="por_break_2" localSheetId="12">Calibrations!$D$66</definedName>
    <definedName name="por_break_3" localSheetId="12">Calibrations!$D$67</definedName>
    <definedName name="por_break_4" localSheetId="12">Calibrations!$D$68</definedName>
    <definedName name="por_break_5" localSheetId="12">Calibrations!$D$69</definedName>
    <definedName name="por_p0_hi" localSheetId="12">Calibrations!$D$98</definedName>
    <definedName name="por_p5_hi" localSheetId="12">Calibrations!$D$99</definedName>
    <definedName name="por_p5_lo" localSheetId="12">Calibrations!$D$100</definedName>
    <definedName name="pw_A" localSheetId="12">Calibrations!$D$73</definedName>
    <definedName name="pw_B" localSheetId="12">Calibrations!$D$74</definedName>
    <definedName name="pw_C" localSheetId="12">Calibrations!$D$75</definedName>
    <definedName name="R_gas" localSheetId="12">Calibrations!$D$85</definedName>
    <definedName name="Reactor_sel" localSheetId="12">Calibrations!$D$81</definedName>
    <definedName name="rx_ver" localSheetId="12">Calibrations!$D$83</definedName>
    <definedName name="stir_rpm_set" localSheetId="12">Calibrations!$D$90</definedName>
    <definedName name="T_zero_C" localSheetId="12">Calibrations!$D$72</definedName>
    <definedName name="temp_C" localSheetId="12">Calibrations!$D$91</definedName>
    <definedName name="z_e_H2" localSheetId="12">Calibrations!$D$70</definedName>
    <definedName name="z_e_O2" localSheetId="12">Calibrations!$D$71</definedName>
    <definedName name="xr_exp" localSheetId="12">Experiments[Experiment (Summary list)]</definedName>
    <definedName name="xr_rx" localSheetId="12">Experiments[Reactor or type]</definedName>
    <definedName name="xr_el" localSheetId="12">Experiments[Electrode]</definedName>
    <definedName name="xr_org" localSheetId="12">Experiments[Organism]</definedName>
    <definedName name="xr_med" localSheetId="12">Experiments[Medium]</definedName>
    <definedName name="xr_T" localSheetId="12">Experiments[Temp (°C)]</definedName>
    <definedName name="xr_res" localSheetId="12">Experiments[Result]</definedName>
    <definedName name="xs_vial" localSheetId="12">Calibrations!$D$106</definedName>
    <definedName name="xs_flow" localSheetId="12">Calibrations!$D$107</definedName>
    <definedName name="xs_km" localSheetId="12">Calibrations!$D$108</definedName>
    <definedName name="xs_lowI" localSheetId="12">Calibrations!$D$109</definedName>
    <definedName name="xs_review" localSheetId="12">Calibrations!$D$110</definedName>
    <definedName name="xs_V" localSheetId="12">Calibrations!$D$111</definedName>
    <definedName name="xs_hsgas" localSheetId="12">Calibrations!$D$112</definedName>
    <definedName name="xs_vent" localSheetId="12">Calibrations!$D$113</definedName>
    <definedName name="xs_kLa" localSheetId="12">Calibrations!$D$114</definedName>
    <definedName name="xs_DOtrace" localSheetId="12">Calibrations!$D$115</definedName>
    <definedName name="xs_pHrun" localSheetId="12">Calibrations!$D$116</definedName>
    <definedName name="xs_metals" localSheetId="12">Calibrations!$D$117</definedName>
    <definedName name="xs_FE" localSheetId="12">Calibrations!$D$118</definedName>
    <definedName name="xs_offgas" localSheetId="12">Calibrations!$D$119</definedName>
    <definedName name="xs_DOthr" localSheetId="12">Calibrations!$D$120</definedName>
    <definedName name="xs_flow_all" localSheetId="12">Calibrations!$D$121</definedName>
    <definedName name="xs_wall" localSheetId="12">Calibrations!$D$122</definedName>
    <definedName name="xs_DPD" localSheetId="12">Calibrations!$D$123</definedName>
    <definedName name="xs_cond" localSheetId="12">Calibrations!$D$124</definedName>
    <definedName name="xs_gap" localSheetId="12">Calibrations!$D$125</definedName>
    <definedName name="xs_FE_OER" localSheetId="12">Calibrations!$D$126</definedName>
    <definedName name="xs_knall" localSheetId="12">Calibrations!$D$127</definedName>
    <definedName name="xs_floor" localSheetId="12">Calibrations!$D$128</definedName>
    <definedName name="xs_spflow" localSheetId="12">Calibrations!$D$129</definedName>
    <definedName name="xs_carry" localSheetId="12">Calibrations!$D$130</definedName>
    <definedName name="xs_sinter" localSheetId="12">Calibrations!$D$131</definedName>
    <definedName name="xs_patm" localSheetId="12">Calibrations!$D$132</definedName>
    <definedName name="xs_list">Calibrations!$A$106:$A$132</definedName>
    <definedName name="xr_T_tol" localSheetId="12">Calibrations!$D$135</definedName>
    <definedName name="has_cal_ca" localSheetId="12">Calibrations!$D$136</definedName>
    <definedName name="gerrit_min_ca" localSheetId="12">Calibrations!$D$137</definedName>
    <definedName name="vent_model_ca" localSheetId="12">Calibrations!$D$138</definedName>
    <definedName name="Cl_sel_ca" localSheetId="12">Calibrations!$D$139</definedName>
    <definedName name="carry_flag_ca" localSheetId="12">Calibrations!$D$140</definedName>
    <definedName name="sparger_ca" localSheetId="12">Calibrations!$D$141</definedName>
    <definedName name="P_atm_ca" localSheetId="12">Calibrations!$D$142</definedName>
  </definedNames>
  <calcPr fullCalcOnLoad="1"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<sst xmlns="http://schemas.openxmlformats.org/spreadsheetml/2006/main" count="4747" uniqueCount="3370">
  <si>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</si>
  <si>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</si>
  <si>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</si>
  <si>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</si>
  <si>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</si>
  <si>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</si>
  <si>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</si>
  <si>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</si>
  <si>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</si>
  <si>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</si>
  <si>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</si>
  <si>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</si>
  <si>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</si>
  <si>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</si>
  <si>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</si>
  <si>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</si>
  <si>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</si>
  <si>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</si>
  <si>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</si>
  <si>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</si>
  <si>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</si>
  <si>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</si>
  <si>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</si>
  <si>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</si>
  <si>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</si>
  <si>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</si>
  <si>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</si>
  <si>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</si>
  <si>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</si>
  <si>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</si>
  <si>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</si>
  <si>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</si>
  <si>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</si>
  <si>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</si>
  <si>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</si>
  <si>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</si>
  <si>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</si>
  <si>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</si>
  <si>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</si>
  <si>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</si>
  <si>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</si>
  <si>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</si>
  <si>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</si>
  <si>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</si>
  <si>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</si>
  <si>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</si>
  <si>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</si>
  <si>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</si>
  <si>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</si>
  <si>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</si>
  <si>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</si>
  <si>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</si>
  <si>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</si>
  <si>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</si>
  <si>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</si>
  <si>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</si>
  <si>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</si>
  <si>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</si>
  <si>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</si>
  <si>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</si>
  <si>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</si>
  <si>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</si>
  <si>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</si>
  <si>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</si>
  <si>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</si>
  <si>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</si>
  <si>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</si>
  <si>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</si>
  <si>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</si>
  <si>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</si>
  <si>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</si>
  <si>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</si>
  <si>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</si>
  <si>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</si>
  <si>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</si>
  <si>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</si>
  <si>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</si>
  <si>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</si>
  <si>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</si>
  <si>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</si>
  <si>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</si>
  <si>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</si>
  <si>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</si>
  <si>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</si>
  <si>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</si>
  <si>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</si>
  <si>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</si>
  <si>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</si>
  <si>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</si>
  <si>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</si>
  <si>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</si>
  <si>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</si>
  <si>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</si>
  <si>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</si>
  <si>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</si>
  <si>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black = formula / derived</t>
  </si>
  <si>
    <t>OK</t>
  </si>
  <si>
    <t>Caution</t>
  </si>
  <si>
    <t>Problem</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</si>
  <si>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</si>
  <si>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</si>
  <si>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</si>
  <si>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</si>
  <si>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</si>
  <si>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</si>
  <si>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</si>
  <si>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</si>
  <si>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</si>
  <si>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</si>
  <si>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</si>
  <si>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</si>
  <si>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</si>
  <si>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</si>
  <si>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</si>
  <si>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</si>
  <si>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</si>
  <si>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</si>
  <si>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</si>
  <si>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</si>
  <si>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</si>
  <si>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</si>
  <si>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</si>
  <si>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</si>
  <si>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</si>
  <si>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</si>
  <si>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</si>
  <si>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</si>
  <si>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</si>
  <si>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</si>
  <si>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</si>
  <si>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</si>
  <si>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</si>
  <si>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</si>
  <si>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</si>
  <si>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</si>
  <si>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</si>
  <si>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</si>
  <si>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</si>
  <si>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</si>
  <si>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</si>
  <si>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</si>
  <si>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</si>
  <si>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</si>
  <si>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</si>
  <si>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</si>
  <si>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</si>
  <si>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</si>
  <si>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</si>
  <si>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</si>
  <si>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</si>
  <si>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</si>
  <si>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</si>
  <si>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</si>
  <si>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</si>
  <si>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</si>
  <si>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</si>
  <si>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</si>
  <si>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</si>
  <si>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</si>
  <si>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</si>
  <si>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</si>
  <si>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</si>
  <si>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</si>
  <si>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</si>
  <si>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</si>
  <si>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</si>
  <si>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</si>
  <si>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</si>
  <si>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</si>
  <si>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</si>
  <si>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</si>
  <si>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</si>
  <si>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</si>
  <si>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</si>
  <si>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</si>
  <si>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</si>
  <si>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</si>
  <si>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</si>
  <si>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</si>
  <si>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</si>
  <si>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</si>
  <si>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</si>
  <si>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</si>
  <si>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</si>
  <si>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</si>
  <si>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</si>
  <si>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</si>
  <si>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</si>
  <si>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</si>
  <si>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</si>
  <si>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</si>
  <si>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</si>
  <si>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</si>
  <si>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</si>
  <si>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</si>
  <si>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</si>
  <si>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</si>
  <si>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</si>
  <si>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</si>
  <si>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</si>
  <si>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</si>
  <si>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</si>
  <si>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</si>
  <si>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</si>
  <si>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</si>
  <si>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</si>
  <si>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</si>
  <si>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</si>
  <si>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</si>
  <si>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</si>
  <si>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</si>
  <si>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</si>
  <si>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</si>
  <si>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</si>
  <si>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</si>
  <si>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</si>
  <si>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</si>
  <si>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</si>
  <si>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</si>
  <si>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</si>
  <si>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</si>
  <si>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</si>
  <si>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</si>
  <si>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</si>
  <si>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</si>
  <si>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</si>
  <si>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</si>
  <si>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</si>
  <si>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</si>
  <si>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</si>
  <si>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</si>
  <si>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</si>
  <si>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</si>
  <si>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</si>
  <si>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</si>
  <si>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</si>
  <si>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</si>
  <si>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</si>
  <si>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</si>
  <si>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</si>
  <si>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</si>
  <si>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</si>
  <si>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</si>
  <si>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</si>
  <si>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</si>
  <si>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</si>
  <si>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</si>
  <si>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</si>
  <si>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</si>
  <si>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</si>
  <si>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</si>
  <si>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</si>
  <si>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</si>
  <si>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</si>
  <si>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</si>
  <si>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</si>
  <si>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</si>
  <si>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</si>
  <si>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</si>
  <si>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</si>
  <si>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</si>
  <si>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</si>
  <si>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</si>
  <si>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</si>
  <si>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</si>
  <si>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</si>
  <si>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</si>
  <si>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</si>
  <si>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</si>
  <si>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</si>
  <si>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</si>
  <si>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</si>
  <si>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</si>
  <si>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</si>
  <si>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</si>
  <si>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</si>
  <si>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</si>
  <si>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</si>
  <si>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</si>
  <si>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</si>
  <si>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</si>
  <si>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</si>
  <si>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</si>
  <si>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</si>
  <si>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</si>
  <si>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</si>
  <si>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</si>
  <si>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</si>
  <si>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</si>
  <si>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</si>
  <si>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</si>
  <si>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</si>
  <si>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</si>
  <si>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</si>
  <si>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</si>
  <si>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</si>
  <si>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</si>
  <si>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</si>
  <si>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Gerrit's Law validity flag</t>
  </si>
  <si>
    <t>I_valid</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</si>
  <si>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</si>
  <si>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</si>
  <si>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</si>
  <si>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</si>
  <si>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</si>
  <si>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</si>
  <si>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</si>
  <si>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</si>
  <si>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</si>
  <si>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</si>
  <si>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</si>
  <si>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</si>
  <si>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</si>
  <si>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</si>
  <si>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</si>
  <si>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</si>
  <si>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</si>
  <si>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</si>
  <si>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</si>
  <si>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</si>
  <si>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</si>
  <si>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</si>
  <si>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</si>
  <si>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</si>
  <si>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</si>
  <si>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</si>
  <si>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</si>
  <si>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</si>
  <si>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</si>
  <si>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</si>
  <si>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</si>
  <si>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</si>
  <si>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</si>
  <si>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</si>
  <si>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</si>
  <si>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</si>
  <si>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</si>
  <si>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</si>
  <si>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</si>
  <si>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</si>
  <si>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</si>
  <si>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</si>
  <si>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</si>
  <si>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</si>
  <si>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</si>
  <si>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</si>
  <si>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</si>
  <si>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</si>
  <si>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</si>
  <si>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</si>
  <si>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</si>
  <si>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</si>
  <si>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</si>
  <si>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</si>
  <si>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</si>
  <si>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</si>
  <si>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</si>
  <si>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</si>
  <si>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</si>
  <si>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</si>
  <si>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</si>
  <si>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</si>
  <si>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</si>
  <si>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</si>
  <si>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</si>
  <si>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</si>
  <si>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</si>
  <si>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</si>
  <si>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</si>
  <si>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</si>
  <si>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</si>
  <si>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</si>
  <si>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</si>
  <si>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</si>
  <si>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</si>
  <si>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</si>
  <si>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</si>
  <si>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</si>
  <si>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</si>
  <si>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</si>
  <si>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</si>
  <si>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</si>
  <si>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</si>
  <si>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</si>
  <si>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</si>
  <si>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</si>
  <si>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</si>
  <si>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</si>
  <si>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</si>
  <si>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</si>
  <si>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</si>
  <si>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</si>
  <si>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</si>
  <si>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</si>
  <si>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</si>
  <si>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</si>
  <si>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</si>
  <si>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</si>
  <si>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</si>
  <si>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</si>
  <si>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</si>
  <si>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</si>
  <si>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</si>
  <si>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</si>
  <si>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</si>
  <si>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</si>
  <si>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</si>
  <si>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</si>
  <si>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</si>
  <si>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</si>
  <si>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</si>
  <si>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</si>
  <si>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</si>
  <si>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</si>
  <si>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</si>
  <si>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</si>
  <si>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</si>
  <si>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</si>
  <si>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</si>
  <si>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</si>
  <si>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</si>
  <si>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</si>
  <si>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</si>
  <si>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</si>
  <si>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</si>
  <si>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</si>
  <si>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</si>
  <si>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</si>
  <si>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</si>
  <si>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</si>
  <si>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</si>
  <si>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</si>
  <si>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</si>
  <si>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</si>
  <si>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</si>
  <si>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</si>
  <si>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</si>
  <si>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</si>
  <si>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</si>
  <si>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</si>
  <si>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</si>
  <si>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</si>
  <si>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</si>
  <si>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</si>
  <si>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</si>
  <si>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</si>
  <si>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</si>
  <si>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</si>
  <si>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</si>
  <si>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</si>
  <si>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</si>
  <si>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</si>
  <si>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</si>
  <si>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</si>
  <si>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</si>
  <si>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</si>
  <si>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</si>
  <si>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</si>
  <si>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</si>
  <si>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</si>
  <si>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</si>
  <si>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</si>
  <si>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</si>
  <si>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</si>
  <si>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</si>
  <si>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</si>
  <si>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</si>
  <si>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</si>
  <si>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</si>
  <si>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</si>
  <si>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</si>
  <si>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</si>
  <si>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</si>
  <si>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</si>
  <si>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</si>
  <si>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</si>
  <si>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</si>
  <si>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</si>
  <si>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</si>
  <si>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</si>
  <si>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</si>
  <si>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</si>
  <si>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</si>
  <si>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</si>
  <si>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</si>
  <si>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</si>
  <si>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</si>
  <si>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</si>
  <si>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</si>
  <si>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</si>
  <si>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</si>
  <si>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</si>
  <si>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</si>
  <si>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</si>
  <si>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</si>
  <si>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</si>
  <si>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</si>
  <si>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</si>
  <si>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</si>
  <si>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</si>
  <si>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</si>
  <si>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</si>
  <si>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</si>
  <si>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</si>
  <si>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</si>
  <si>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</si>
  <si>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</si>
  <si>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</si>
  <si>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</si>
  <si>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</si>
  <si>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</si>
  <si>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</si>
  <si>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</si>
  <si>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</si>
  <si>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</si>
  <si>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</si>
  <si>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</si>
  <si>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</si>
  <si>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</si>
  <si>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</si>
  <si>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</si>
  <si>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</si>
  <si>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</si>
  <si>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</si>
  <si>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</si>
  <si>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</si>
  <si>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</si>
  <si>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</si>
  <si>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</si>
  <si>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</si>
  <si>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</si>
  <si>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</si>
  <si>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</si>
  <si>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</si>
  <si>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</si>
  <si>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</si>
  <si>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</si>
  <si>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</si>
  <si>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</si>
  <si>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</si>
  <si>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</si>
  <si>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</si>
  <si>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</si>
  <si>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</si>
  <si>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</si>
  <si>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</si>
  <si>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</si>
  <si>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</si>
  <si>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</si>
  <si>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</si>
  <si>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</si>
  <si>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</si>
  <si>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</si>
  <si>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</si>
  <si>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</si>
  <si>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</si>
  <si>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</si>
  <si>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</si>
  <si>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</si>
  <si>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</si>
  <si>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</si>
  <si>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</si>
  <si>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</si>
  <si>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</si>
  <si>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</si>
  <si>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</si>
  <si>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</si>
  <si>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</si>
  <si>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</si>
  <si>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</si>
  <si>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</si>
  <si>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</si>
  <si>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</si>
  <si>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</si>
  <si>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</si>
  <si>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</si>
  <si>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</si>
  <si>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</si>
  <si>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O₂ strip rate time-averaged</t>
  </si>
  <si>
    <t>strip_avg</t>
  </si>
  <si>
    <t>x duty cycle.</t>
  </si>
  <si>
    <t>Strip capacity : excess-O₂</t>
  </si>
  <si>
    <t>strip_ratio</t>
  </si>
  <si>
    <t>Bubble strip : surplus. ≪1 — the §11 surface path is the real route.</t>
  </si>
  <si>
    <t>Required time-avg kLa</t>
  </si>
  <si>
    <t>kLa_req</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</si>
  <si>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</si>
  <si>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</si>
  <si>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</si>
  <si>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</si>
  <si>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</si>
  <si>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</si>
  <si>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</si>
  <si>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</si>
  <si>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</si>
  <si>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</si>
  <si>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</si>
  <si>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</si>
  <si>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</si>
  <si>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</si>
  <si>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</si>
  <si>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</si>
  <si>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</si>
  <si>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</si>
  <si>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</si>
  <si>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</si>
  <si>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</si>
  <si>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</si>
  <si>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</si>
  <si>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</si>
  <si>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</si>
  <si>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</si>
  <si>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</si>
  <si>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</si>
  <si>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</si>
  <si>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</si>
  <si>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</si>
  <si>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</si>
  <si>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</si>
  <si>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</si>
  <si>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</si>
  <si>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</si>
  <si>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</si>
  <si>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</si>
  <si>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</si>
  <si>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</si>
  <si>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</si>
  <si>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</si>
  <si>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</si>
  <si>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</si>
  <si>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</si>
  <si>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</si>
  <si>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</si>
  <si>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</si>
  <si>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</si>
  <si>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</si>
  <si>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</si>
  <si>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</si>
  <si>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</si>
  <si>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</si>
  <si>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</si>
  <si>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</si>
  <si>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</si>
  <si>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</si>
  <si>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</si>
  <si>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</si>
  <si>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</si>
  <si>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</si>
  <si>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</si>
  <si>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</si>
  <si>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</si>
  <si>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</si>
  <si>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</si>
  <si>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</si>
  <si>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</si>
  <si>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</si>
  <si>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</si>
  <si>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</si>
  <si>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</si>
  <si>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</si>
  <si>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</si>
  <si>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</si>
  <si>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</si>
  <si>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</si>
  <si>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</si>
  <si>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</si>
  <si>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</si>
  <si>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</si>
  <si>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</si>
  <si>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</si>
  <si>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</si>
  <si>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</si>
  <si>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</si>
  <si>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</si>
  <si>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</si>
  <si>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</si>
  <si>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</si>
  <si>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</si>
  <si>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</si>
  <si>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</si>
  <si>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</si>
  <si>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</si>
  <si>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</si>
  <si>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</si>
  <si>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</si>
  <si>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</si>
  <si>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</si>
  <si>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</si>
  <si>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</si>
  <si>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</si>
  <si>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</si>
  <si>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</si>
  <si>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</si>
  <si>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</si>
  <si>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</si>
  <si>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</si>
  <si>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</si>
  <si>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</si>
  <si>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</si>
  <si>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</si>
  <si>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</si>
  <si>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</si>
  <si>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</si>
  <si>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</si>
  <si>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</si>
  <si>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</si>
  <si>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</si>
  <si>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</si>
  <si>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</si>
  <si>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</si>
  <si>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</si>
  <si>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</si>
  <si>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</si>
  <si>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</si>
  <si>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</si>
  <si>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</si>
  <si>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</si>
  <si>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</si>
  <si>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</si>
  <si>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</si>
  <si>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</si>
  <si>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</si>
  <si>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</si>
  <si>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</si>
  <si>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</si>
  <si>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</si>
  <si>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</si>
  <si>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</si>
  <si>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</si>
  <si>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</si>
  <si>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</si>
  <si>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</si>
  <si>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</si>
  <si>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</si>
  <si>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</si>
  <si>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</si>
  <si>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</si>
  <si>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</si>
  <si>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</si>
  <si>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</si>
  <si>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</si>
  <si>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</si>
  <si>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</si>
  <si>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</si>
  <si>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</si>
  <si>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</si>
  <si>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</si>
  <si>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</si>
  <si>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</si>
  <si>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</si>
  <si>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</si>
  <si>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</si>
  <si>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</si>
  <si>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</si>
  <si>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</si>
  <si>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</si>
  <si>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</si>
  <si>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</si>
  <si>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</si>
  <si>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</si>
  <si>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</si>
  <si>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</si>
  <si>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</si>
  <si>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</si>
  <si>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</si>
  <si>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</si>
  <si>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</si>
  <si>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</si>
  <si>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</si>
  <si>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</si>
  <si>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</si>
  <si>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</si>
  <si>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</si>
  <si>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</si>
  <si>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</si>
  <si>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</si>
  <si>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</si>
  <si>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</si>
  <si>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</si>
  <si>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</si>
  <si>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</si>
  <si>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</si>
  <si>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</si>
  <si>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</si>
  <si>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</si>
  <si>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</si>
  <si>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</si>
  <si>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</si>
  <si>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</si>
  <si>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</si>
  <si>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</si>
  <si>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</si>
  <si>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</si>
  <si>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</si>
  <si>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</si>
  <si>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</si>
  <si>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</si>
  <si>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</si>
  <si>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</si>
  <si>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</si>
  <si>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</si>
  <si>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</si>
  <si>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</si>
  <si>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</si>
  <si>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</si>
  <si>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</si>
  <si>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</si>
  <si>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</si>
  <si>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</si>
  <si>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</si>
  <si>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</si>
  <si>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</si>
  <si>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</si>
  <si>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</si>
  <si>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</si>
  <si>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</si>
  <si>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</si>
  <si>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</si>
  <si>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</si>
  <si>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</si>
  <si>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</si>
  <si>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</si>
  <si>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</si>
  <si>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</si>
  <si>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</si>
  <si>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</si>
  <si>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</si>
  <si>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</si>
  <si>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</si>
  <si>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UdG — chloride</t>
  </si>
  <si>
    <t>Cl_udg</t>
  </si>
  <si>
    <t>mol/L</t>
  </si>
  <si>
    <t>trace-metal Cl excluded (negligible)</t>
  </si>
  <si>
    <t>(sel) strong-ion difference</t>
  </si>
  <si>
    <t>pH_SID</t>
  </si>
  <si>
    <t>mol/L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</si>
  <si>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</si>
  <si>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</si>
  <si>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</si>
  <si>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</si>
  <si>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</si>
  <si>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</si>
  <si>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</si>
  <si>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</si>
  <si>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</si>
  <si>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</si>
  <si>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</si>
  <si>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</si>
  <si>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</si>
  <si>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</si>
  <si>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</si>
  <si>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</si>
  <si>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</si>
  <si>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</si>
  <si>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</si>
  <si>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</si>
  <si>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</si>
  <si>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</si>
  <si>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</si>
  <si>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</si>
  <si>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</si>
  <si>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</si>
  <si>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</si>
  <si>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</si>
  <si>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</si>
  <si>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</si>
  <si>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</si>
  <si>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</si>
  <si>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</si>
  <si>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</si>
  <si>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</si>
  <si>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</si>
  <si>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</si>
  <si>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</si>
  <si>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</si>
  <si>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</si>
  <si>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</si>
  <si>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</si>
  <si>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</si>
  <si>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</si>
  <si>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</si>
  <si>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</si>
  <si>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</si>
  <si>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</si>
  <si>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</si>
  <si>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</si>
  <si>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</si>
  <si>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</si>
  <si>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</si>
  <si>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</si>
  <si>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</si>
  <si>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</si>
  <si>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</si>
  <si>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</si>
  <si>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</si>
  <si>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</si>
  <si>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</si>
  <si>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</si>
  <si>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</si>
  <si>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</si>
  <si>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</si>
  <si>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</si>
  <si>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</si>
  <si>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</si>
  <si>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</si>
  <si>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</si>
  <si>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</si>
  <si>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</si>
  <si>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</si>
  <si>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</si>
  <si>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</si>
  <si>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</si>
  <si>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</si>
  <si>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</si>
  <si>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</si>
  <si>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</si>
  <si>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</si>
  <si>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</si>
  <si>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</si>
  <si>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</si>
  <si>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</si>
  <si>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</si>
  <si>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</si>
  <si>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</si>
  <si>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</si>
  <si>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Bench-characterise the solenoid pulse floor</t>
  </si>
  <si>
    <t>LOW</t>
  </si>
  <si>
    <t>low</t>
  </si>
  <si>
    <t>MED</t>
  </si>
  <si>
    <t>low</t>
  </si>
  <si>
    <t>Calibrate flow for each reactor</t>
  </si>
  <si>
    <t>MED</t>
  </si>
  <si>
    <t>low</t>
  </si>
  <si>
    <t>Measure / confirm sinter porosity</t>
  </si>
  <si>
    <t>LOW</t>
  </si>
  <si>
    <t>low</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</si>
  <si>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</si>
  <si>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</si>
  <si>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</si>
  <si>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</si>
  <si>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</si>
  <si>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</si>
  <si>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</si>
  <si>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</si>
  <si>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</si>
  <si>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</si>
  <si>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</si>
  <si>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</si>
  <si>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</si>
  <si>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</si>
  <si>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</si>
  <si>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</si>
  <si>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</si>
  <si>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</si>
  <si>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</si>
  <si>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</si>
  <si>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</si>
  <si>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</si>
  <si>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</si>
  <si>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</si>
  <si>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</si>
  <si>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</si>
  <si>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</si>
  <si>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</si>
  <si>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</si>
  <si>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</si>
  <si>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</si>
  <si>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</si>
  <si>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</si>
  <si>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</si>
  <si>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</si>
  <si>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</si>
  <si>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</si>
  <si>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</si>
  <si>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</si>
  <si>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</si>
  <si>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</si>
  <si>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</si>
  <si>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</si>
  <si>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</si>
  <si>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</si>
  <si>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</si>
  <si>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</si>
  <si>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</si>
  <si>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</si>
  <si>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</si>
  <si>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</si>
  <si>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</si>
  <si>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</si>
  <si>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</si>
  <si>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</si>
  <si>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</si>
  <si>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</si>
  <si>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</si>
  <si>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</si>
  <si>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</si>
  <si>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</si>
  <si>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</si>
  <si>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</si>
  <si>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</si>
  <si>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</si>
  <si>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</si>
  <si>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</si>
  <si>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</si>
  <si>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</si>
  <si>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</si>
  <si>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</si>
  <si>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</si>
  <si>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</si>
  <si>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</si>
  <si>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</si>
  <si>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</si>
  <si>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</si>
  <si>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</si>
  <si>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</si>
  <si>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</si>
  <si>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</si>
  <si>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</si>
  <si>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</si>
  <si>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</si>
  <si>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</si>
  <si>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</si>
  <si>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</si>
  <si>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</si>
  <si>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</si>
  <si>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</si>
  <si>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</si>
  <si>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</si>
  <si>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</si>
  <si>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</si>
  <si>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</si>
  <si>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</si>
  <si>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</si>
  <si>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</si>
  <si>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</si>
  <si>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</si>
  <si>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</si>
  <si>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</si>
  <si>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</si>
  <si>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</si>
  <si>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</si>
  <si>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</si>
  <si>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</si>
  <si>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</si>
  <si>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</si>
  <si>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</si>
  <si>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</si>
  <si>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</si>
  <si>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</si>
  <si>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</si>
  <si>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</si>
  <si>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</si>
  <si>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</si>
  <si>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</si>
  <si>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</si>
  <si>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</si>
  <si>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</si>
  <si>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</si>
  <si>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</si>
  <si>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</si>
  <si>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</si>
  <si>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</si>
  <si>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</si>
  <si>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</si>
  <si>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</si>
  <si>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</si>
  <si>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</si>
  <si>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</si>
  <si>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</si>
  <si>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</si>
  <si>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</si>
  <si>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</si>
  <si>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</si>
  <si>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</si>
  <si>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</si>
  <si>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</si>
  <si>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</si>
  <si>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</si>
  <si>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</si>
  <si>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</si>
  <si>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</si>
  <si>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</si>
  <si>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</si>
  <si>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</si>
  <si>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</si>
  <si>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</si>
  <si>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</si>
  <si>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</si>
  <si>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</si>
  <si>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</si>
  <si>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</si>
  <si>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</si>
  <si>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</si>
  <si>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</si>
  <si>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</si>
  <si>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</si>
  <si>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</si>
  <si>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</si>
  <si>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</si>
  <si>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</si>
  <si>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</si>
  <si>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</si>
  <si>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</si>
  <si>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</si>
  <si>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</si>
  <si>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</si>
  <si>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</si>
  <si>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</si>
  <si>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</si>
  <si>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</si>
  <si>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</si>
  <si>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</si>
  <si>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</si>
  <si>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</si>
  <si>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</si>
  <si>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</si>
  <si>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</si>
  <si>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</si>
  <si>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</si>
  <si>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</si>
  <si>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</si>
  <si>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</si>
  <si>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</si>
  <si>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</si>
  <si>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</si>
  <si>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</si>
  <si>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</si>
  <si>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</si>
  <si>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</si>
  <si>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</si>
  <si>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</si>
  <si>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</si>
  <si>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</si>
  <si>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</si>
  <si>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</si>
  <si>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</si>
  <si>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</si>
  <si>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</si>
  <si>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</si>
  <si>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</si>
  <si>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</si>
  <si>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</si>
  <si>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</si>
  <si>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</si>
  <si>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</si>
  <si>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</si>
  <si>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</si>
  <si>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</si>
  <si>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</si>
  <si>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</si>
  <si>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</si>
  <si>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</si>
  <si>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</si>
  <si>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</si>
  <si>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</si>
  <si>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</si>
  <si>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</si>
  <si>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</si>
  <si>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</si>
  <si>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</si>
  <si>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</si>
  <si>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</si>
  <si>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</si>
  <si>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</si>
  <si>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</si>
  <si>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</si>
  <si>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</si>
  <si>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</si>
  <si>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</si>
  <si>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</si>
  <si>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</si>
  <si>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</si>
  <si>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</si>
  <si>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</si>
  <si>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</si>
  <si>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</si>
  <si>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</si>
  <si>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</si>
  <si>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</si>
  <si>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</si>
  <si>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</si>
  <si>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</si>
  <si>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</si>
  <si>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</si>
  <si>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</si>
  <si>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</si>
  <si>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</si>
  <si>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</si>
  <si>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</si>
  <si>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</si>
  <si>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</si>
  <si>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</si>
  <si>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</si>
  <si>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</si>
  <si>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</si>
  <si>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</si>
  <si>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</si>
  <si>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</si>
  <si>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</si>
  <si>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</si>
  <si>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</si>
  <si>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</si>
  <si>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</si>
  <si>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</si>
  <si>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</si>
  <si>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</si>
  <si>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</si>
  <si>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</si>
  <si>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</si>
  <si>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</si>
  <si>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</si>
  <si>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</si>
  <si>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</si>
  <si>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</si>
  <si>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</si>
  <si>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</si>
  <si>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</si>
  <si>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</si>
  <si>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</si>
  <si>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</si>
  <si>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</si>
  <si>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</si>
  <si>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</si>
  <si>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</si>
  <si>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</si>
  <si>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</si>
  <si>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</si>
  <si>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</si>
  <si>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</si>
  <si>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</si>
  <si>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</si>
  <si>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</si>
  <si>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</si>
  <si>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</si>
  <si>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</si>
  <si>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</si>
  <si>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</si>
  <si>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</si>
  <si>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</si>
  <si>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</si>
  <si>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</si>
  <si>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</si>
  <si>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</si>
  <si>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</si>
  <si>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</si>
  <si>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</si>
  <si>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</si>
  <si>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</si>
  <si>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</si>
  <si>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</si>
  <si>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</si>
  <si>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</si>
  <si>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</si>
  <si>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</si>
  <si>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</si>
  <si>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</si>
  <si>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</si>
  <si>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</si>
  <si>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</si>
  <si>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</si>
  <si>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</si>
  <si>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Headspace mass</t>
  </si>
  <si>
    <t>Body mass</t>
  </si>
  <si>
    <t>V total (computed)</t>
  </si>
  <si>
    <t>Value in use - total vial volume</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</si>
  <si>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</si>
  <si>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</si>
  <si>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</si>
  <si>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</si>
  <si>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</si>
  <si>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</si>
  <si>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</si>
  <si>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</si>
  <si>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</si>
  <si>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</si>
  <si>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</si>
  <si>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</si>
  <si>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</si>
  <si>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</si>
  <si>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</si>
  <si>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</si>
  <si>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</si>
  <si>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</si>
  <si>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</si>
  <si>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</si>
  <si>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</si>
  <si>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</si>
  <si>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</si>
  <si>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</si>
  <si>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</si>
  <si>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</si>
  <si>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</si>
  <si>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</si>
  <si>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</si>
  <si>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</si>
  <si>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</si>
  <si>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</si>
  <si>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</si>
  <si>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</si>
  <si>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</si>
  <si>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</si>
  <si>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</si>
  <si>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</si>
  <si>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</si>
  <si>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</si>
  <si>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</si>
  <si>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</si>
  <si>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</si>
  <si>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</si>
  <si>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</si>
  <si>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</si>
  <si>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</si>
  <si>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</si>
  <si>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</si>
  <si>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</si>
  <si>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</si>
  <si>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</si>
  <si>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</si>
  <si>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</si>
  <si>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</si>
  <si>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</si>
  <si>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</si>
  <si>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</si>
  <si>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</si>
  <si>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</si>
  <si>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</si>
  <si>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</si>
  <si>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</si>
  <si>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</si>
  <si>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</si>
  <si>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</si>
  <si>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</si>
  <si>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</si>
  <si>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</si>
  <si>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</si>
  <si>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</si>
  <si>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</si>
  <si>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</si>
  <si>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</si>
  <si>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</si>
  <si>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</si>
  <si>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</si>
  <si>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</si>
  <si>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</si>
  <si>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</si>
  <si>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</si>
  <si>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</si>
  <si>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</si>
  <si>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</si>
  <si>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</si>
  <si>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</si>
  <si>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</si>
  <si>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</si>
  <si>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</si>
  <si>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</si>
  <si>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</si>
  <si>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</si>
  <si>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</si>
  <si>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</si>
  <si>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</si>
  <si>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</si>
  <si>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</si>
  <si>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</si>
  <si>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</si>
  <si>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</si>
  <si>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</si>
  <si>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</si>
  <si>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</si>
  <si>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</si>
  <si>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</si>
  <si>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</si>
  <si>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</si>
  <si>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</si>
  <si>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</si>
  <si>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</si>
  <si>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</si>
  <si>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</si>
  <si>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</si>
  <si>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</si>
  <si>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</si>
  <si>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</si>
  <si>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</si>
  <si>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</si>
  <si>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</si>
  <si>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</si>
  <si>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</si>
  <si>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</si>
  <si>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</si>
  <si>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</si>
  <si>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</si>
  <si>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</si>
  <si>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</si>
  <si>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</si>
  <si>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</si>
  <si>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</si>
  <si>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</si>
  <si>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</si>
  <si>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</si>
  <si>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</si>
  <si>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</si>
  <si>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</si>
  <si>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</si>
  <si>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</si>
  <si>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</si>
  <si>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</si>
  <si>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</si>
  <si>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</si>
  <si>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</si>
  <si>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</si>
  <si>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</si>
  <si>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</si>
  <si>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</si>
  <si>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</si>
  <si>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</si>
  <si>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</si>
  <si>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</si>
  <si>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</si>
  <si>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</si>
  <si>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</si>
  <si>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</si>
  <si>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</si>
  <si>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</si>
  <si>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</si>
  <si>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</si>
  <si>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</si>
  <si>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</si>
  <si>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</si>
  <si>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</si>
  <si>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</si>
  <si>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</si>
  <si>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</si>
  <si>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</si>
  <si>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</si>
  <si>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</si>
  <si>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</si>
  <si>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</si>
  <si>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</si>
  <si>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</si>
  <si>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</si>
  <si>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</si>
  <si>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</si>
  <si>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</si>
  <si>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</si>
  <si>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</si>
  <si>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</si>
  <si>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</si>
  <si>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</si>
  <si>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</si>
  <si>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</si>
  <si>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</si>
  <si>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</si>
  <si>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</si>
  <si>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</si>
  <si>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</si>
  <si>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</si>
  <si>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</si>
  <si>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</si>
  <si>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</si>
  <si>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</si>
  <si>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</si>
  <si>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</si>
  <si>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</si>
  <si>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</si>
  <si>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</si>
  <si>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</si>
  <si>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</si>
  <si>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</si>
  <si>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</si>
  <si>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</si>
  <si>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</si>
  <si>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</si>
  <si>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</si>
  <si>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</si>
  <si>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</si>
  <si>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</si>
  <si>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</si>
  <si>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</si>
  <si>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</si>
  <si>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</si>
  <si>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</si>
  <si>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</si>
  <si>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</si>
  <si>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</si>
  <si>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</si>
  <si>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</si>
  <si>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</si>
  <si>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</si>
  <si>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</si>
  <si>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</si>
  <si>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</si>
  <si>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</si>
  <si>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</si>
  <si>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</si>
  <si>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</si>
  <si>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</si>
  <si>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</si>
  <si>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</si>
  <si>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</si>
  <si>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</si>
  <si>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</si>
  <si>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</si>
  <si>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</si>
  <si>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</si>
  <si>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</si>
  <si>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</si>
  <si>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</si>
  <si>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</si>
  <si>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</si>
  <si>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</si>
  <si>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</si>
  <si>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</si>
  <si>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</si>
  <si>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</si>
  <si>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</si>
  <si>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</si>
  <si>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</si>
  <si>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</si>
  <si>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</si>
  <si>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</si>
  <si>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</si>
  <si>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</si>
  <si>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</si>
  <si>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</si>
  <si>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</si>
  <si>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</si>
  <si>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</si>
  <si>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</si>
  <si>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</si>
  <si>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</si>
  <si>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</si>
  <si>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</si>
  <si>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</si>
  <si>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</si>
  <si>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</si>
  <si>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</si>
  <si>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</si>
  <si>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</si>
  <si>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</si>
  <si>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</si>
  <si>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</si>
  <si>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</si>
  <si>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</si>
  <si>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</si>
  <si>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</si>
  <si>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</si>
  <si>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</si>
  <si>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</si>
  <si>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</si>
  <si>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</si>
  <si>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</si>
  <si>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</si>
  <si>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</si>
  <si>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</si>
  <si>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</si>
  <si>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</si>
  <si>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</si>
  <si>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</si>
  <si>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</si>
  <si>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</si>
  <si>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</si>
  <si>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</si>
  <si>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</si>
  <si>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</si>
  <si>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</si>
  <si>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</si>
  <si>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</si>
  <si>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</si>
  <si>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</si>
  <si>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</si>
  <si>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</si>
  <si>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</si>
  <si>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</si>
  <si>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</si>
  <si>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</si>
  <si>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</si>
  <si>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</si>
  <si>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</si>
  <si>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</si>
  <si>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</si>
  <si>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</si>
  <si>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</si>
  <si>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</si>
  <si>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</si>
  <si>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</si>
  <si>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</si>
  <si>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</si>
  <si>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</si>
  <si>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</si>
  <si>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</si>
  <si>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</si>
  <si>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</si>
  <si>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</si>
  <si>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</si>
  <si>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</si>
  <si>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</si>
  <si>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</si>
  <si>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</si>
  <si>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</si>
  <si>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</si>
  <si>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</si>
  <si>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</si>
  <si>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</si>
  <si>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</si>
  <si>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</si>
  <si>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</si>
  <si>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</si>
  <si>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</si>
  <si>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</si>
  <si>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</si>
  <si>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</si>
  <si>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</si>
  <si>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</si>
  <si>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</si>
  <si>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</si>
  <si>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</si>
  <si>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</si>
  <si>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</si>
  <si>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</si>
  <si>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</si>
  <si>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</si>
  <si>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</si>
  <si>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</si>
  <si>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</si>
  <si>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</si>
  <si>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</si>
  <si>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</si>
  <si>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</si>
  <si>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</si>
  <si>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</si>
  <si>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</si>
  <si>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</si>
  <si>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</si>
  <si>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</si>
  <si>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</si>
  <si>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</si>
  <si>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</si>
  <si>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</si>
  <si>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</si>
  <si>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</si>
  <si>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</si>
  <si>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</si>
  <si>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</si>
  <si>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</si>
  <si>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cl_per_N</t>
  </si>
  <si>
    <t>mg Cl₂/mg N</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</si>
  <si>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</si>
  <si>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</si>
  <si>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</si>
  <si>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</si>
  <si>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</si>
  <si>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</si>
  <si>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Measure the electrode mass-transfer coefficient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</si>
  <si>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</si>
  <si>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</si>
  <si>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</si>
  <si>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</si>
  <si>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</si>
  <si>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</si>
  <si>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</si>
  <si>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</si>
  <si>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</si>
  <si>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</si>
  <si>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</si>
  <si>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</si>
  <si>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</si>
  <si>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</si>
  <si>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</si>
  <si>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</si>
  <si>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</si>
  <si>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</si>
  <si>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</si>
  <si>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</si>
  <si>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res_spg_int</t>
  </si>
  <si>
    <t>CO₂ sparge interval (as run)</t>
  </si>
  <si>
    <t>res_spg_int_run</t>
  </si>
  <si>
    <t>chk_geom</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</si>
  <si>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</si>
  <si>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</si>
  <si>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</si>
  <si>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</si>
  <si>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</si>
  <si>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</si>
  <si>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</si>
  <si>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</si>
  <si>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</si>
  <si>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</si>
  <si>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</si>
  <si>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chk_bubble</t>
  </si>
  <si>
    <t>chk_CO2_supply</t>
  </si>
  <si>
    <t>chk_pulse_floor</t>
  </si>
  <si>
    <t>The optimal pulse must exceed the shortest reliable sparge (Calibrations tab CO₂-flow Min pulse, else CO2 flows column I, else the default on Mass Transfer D396).</t>
  </si>
  <si>
    <t>chk_od_window</t>
  </si>
  <si>
    <t>chk_carryover</t>
  </si>
  <si>
    <t>chk_tip</t>
  </si>
  <si>
    <t>chk_media_vol</t>
  </si>
  <si>
    <t>chk_level</t>
  </si>
  <si>
    <t>chk_led_law</t>
  </si>
  <si>
    <t>chk_DO_data</t>
  </si>
  <si>
    <t>Cycle-average pH (activity scale, as a probe reads)</t>
  </si>
  <si>
    <t>res_pH</t>
  </si>
  <si>
    <t>res_Cl2</t>
  </si>
  <si>
    <t>Cycle-mean DO (sawtooth, sizing phase)</t>
  </si>
  <si>
    <t>res_DO_ss</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</si>
  <si>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</si>
  <si>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</si>
  <si>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</si>
  <si>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</si>
  <si>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</si>
  <si>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</si>
  <si>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</si>
  <si>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</si>
  <si>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</si>
  <si>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</si>
  <si>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</si>
  <si>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</si>
  <si>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</si>
  <si>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</si>
  <si>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</si>
  <si>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</si>
  <si>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</si>
  <si>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</si>
  <si>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</si>
  <si>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</si>
  <si>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</si>
  <si>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</si>
  <si>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</si>
  <si>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</si>
  <si>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</si>
  <si>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</si>
  <si>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</si>
  <si>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</si>
  <si>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</si>
  <si>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</si>
  <si>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As-run duty ÷ optimised duty</t>
  </si>
  <si>
    <t>Vent model</t>
  </si>
  <si>
    <t>vent_model_sel</t>
  </si>
  <si>
    <t>Open vent</t>
  </si>
  <si>
    <t>O₂ sizing phase</t>
  </si>
  <si>
    <t>O2_phase_sel</t>
  </si>
  <si>
    <t>Growth</t>
  </si>
  <si>
    <t>Vent air ingress in use</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</si>
  <si>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</si>
  <si>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</si>
  <si>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</si>
  <si>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</si>
  <si>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</si>
  <si>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</si>
  <si>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</si>
  <si>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</si>
  <si>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</si>
  <si>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Peak DO under the inhibition ceiling? — lag</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</si>
  <si>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</si>
  <si>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</si>
  <si>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</si>
  <si>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</si>
  <si>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</si>
  <si>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</si>
  <si>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</si>
  <si>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</si>
  <si>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</si>
  <si>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</si>
  <si>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</si>
  <si>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</si>
  <si>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</si>
  <si>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</si>
  <si>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Headspace sag per cycle if the vent held a vacuum</t>
  </si>
  <si>
    <t>Upper bound on the per-cycle pressure deficit (fraction of 1 atm) that the "Outflow only" model implies at the schedule in use; 0.05 = 5 %.</t>
  </si>
  <si>
    <t>Outflow-only headspace physically plausible?</t>
  </si>
  <si>
    <t>CO₂ absorbed per pulse : carbon demand (dissolved, not delivered)</t>
  </si>
  <si>
    <t>res_CO2_uptake</t>
  </si>
  <si>
    <t>Carryover — superficial-velocity rule of thumb (secondary)</t>
  </si>
  <si>
    <t>chk_carry_usg</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</si>
  <si>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</si>
  <si>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</si>
  <si>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</si>
  <si>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</si>
  <si>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</si>
  <si>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</si>
  <si>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</si>
  <si>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</si>
  <si>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</si>
  <si>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</si>
  <si>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</si>
  <si>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</si>
  <si>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</si>
  <si>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</si>
  <si>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</si>
  <si>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</si>
  <si>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</si>
  <si>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</si>
  <si>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</si>
  <si>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</si>
  <si>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</si>
  <si>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</si>
  <si>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</si>
  <si>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</si>
  <si>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</si>
  <si>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</si>
  <si>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</si>
  <si>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</si>
  <si>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</si>
  <si>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</si>
  <si>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</si>
  <si>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</si>
  <si>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</si>
  <si>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</si>
  <si>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</si>
  <si>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</si>
  <si>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</si>
  <si>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</si>
  <si>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</si>
  <si>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</si>
  <si>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</si>
  <si>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</si>
  <si>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</si>
  <si>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</si>
  <si>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</si>
  <si>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</si>
  <si>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</si>
  <si>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</si>
  <si>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</si>
  <si>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</si>
  <si>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</si>
  <si>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</si>
  <si>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</si>
  <si>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</si>
  <si>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</si>
  <si>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</si>
  <si>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</si>
  <si>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</si>
  <si>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</si>
  <si>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</si>
  <si>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</si>
  <si>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</si>
  <si>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</si>
  <si>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</si>
  <si>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</si>
  <si>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</si>
  <si>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</si>
  <si>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</si>
  <si>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</si>
  <si>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</si>
  <si>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</si>
  <si>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</si>
  <si>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</si>
  <si>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</si>
  <si>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</si>
  <si>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</si>
  <si>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</si>
  <si>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</si>
  <si>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</si>
  <si>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</si>
  <si>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</si>
  <si>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</si>
  <si>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</si>
  <si>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</si>
  <si>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</si>
  <si>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</si>
  <si>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</si>
  <si>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</si>
  <si>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</si>
  <si>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</si>
  <si>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</si>
  <si>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</si>
  <si>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</si>
  <si>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</si>
  <si>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</si>
  <si>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</si>
  <si>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</si>
  <si>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</si>
  <si>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</si>
  <si>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</si>
  <si>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</si>
  <si>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</si>
  <si>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</si>
  <si>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</si>
  <si>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</si>
  <si>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</si>
  <si>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</si>
  <si>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</si>
  <si>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</si>
  <si>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</si>
  <si>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</si>
  <si>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</si>
  <si>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</si>
  <si>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</si>
  <si>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</si>
  <si>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</si>
  <si>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</si>
  <si>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</si>
  <si>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</si>
  <si>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</si>
  <si>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</si>
  <si>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</si>
  <si>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</si>
  <si>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</si>
  <si>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</si>
  <si>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</si>
  <si>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</si>
  <si>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</si>
  <si>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</si>
  <si>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</si>
  <si>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</si>
  <si>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</si>
  <si>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</si>
  <si>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</si>
  <si>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</si>
  <si>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</si>
  <si>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</si>
  <si>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</si>
  <si>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</si>
  <si>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</si>
  <si>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</si>
  <si>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</si>
  <si>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</si>
  <si>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</si>
  <si>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</si>
  <si>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</si>
  <si>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</si>
  <si>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</si>
  <si>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</si>
  <si>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</si>
  <si>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</si>
  <si>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</si>
  <si>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</si>
  <si>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</si>
  <si>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</si>
  <si>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</si>
  <si>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</si>
  <si>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</si>
  <si>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</si>
  <si>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</si>
  <si>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</si>
  <si>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</si>
  <si>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</si>
  <si>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</si>
  <si>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</si>
  <si>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</si>
  <si>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</si>
  <si>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</si>
  <si>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</si>
  <si>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</si>
  <si>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</si>
  <si>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</si>
  <si>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</si>
  <si>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</si>
  <si>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</si>
  <si>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</si>
  <si>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</si>
  <si>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</si>
  <si>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</si>
  <si>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</si>
  <si>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</si>
  <si>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</si>
  <si>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</si>
  <si>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</si>
  <si>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</si>
  <si>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</si>
  <si>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</si>
  <si>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</si>
  <si>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</si>
  <si>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</si>
  <si>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</si>
  <si>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</si>
  <si>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</si>
  <si>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</si>
  <si>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</si>
  <si>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</si>
  <si>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</si>
  <si>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</si>
  <si>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</si>
  <si>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</si>
  <si>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</si>
  <si>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</si>
  <si>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</si>
  <si>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</si>
  <si>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</si>
  <si>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</si>
  <si>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</si>
  <si>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</si>
  <si>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</si>
  <si>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</si>
  <si>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</si>
  <si>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</si>
  <si>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</si>
  <si>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</si>
  <si>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</si>
  <si>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</si>
  <si>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</si>
  <si>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</si>
  <si>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</si>
  <si>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</si>
  <si>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</si>
  <si>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</si>
  <si>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</si>
  <si>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</si>
  <si>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</si>
  <si>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</si>
  <si>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</si>
  <si>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</si>
  <si>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</si>
  <si>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</si>
  <si>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</si>
  <si>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</si>
  <si>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</si>
  <si>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</si>
  <si>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</si>
  <si>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</si>
  <si>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</si>
  <si>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</si>
  <si>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</si>
  <si>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</si>
  <si>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</si>
  <si>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</si>
  <si>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</si>
  <si>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</si>
  <si>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</si>
  <si>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</si>
  <si>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</si>
  <si>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</si>
  <si>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</si>
  <si>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</si>
  <si>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</si>
  <si>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</si>
  <si>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</si>
  <si>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H₂ headspace flammability verdict</t>
  </si>
  <si>
    <t>Hazard verdict (lag-phase headspace flammability), not a data gap.</t>
  </si>
  <si>
    <t>TARGET DISSOLVED-OXYGEN FRACTION (one definition, used by every guard)</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</si>
  <si>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</si>
  <si>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</si>
  <si>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</si>
  <si>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</si>
  <si>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</si>
  <si>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</si>
  <si>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</si>
  <si>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</si>
  <si>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</si>
  <si>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</si>
  <si>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</si>
  <si>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</si>
  <si>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</si>
  <si>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</si>
  <si>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</si>
  <si>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</si>
  <si>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</si>
  <si>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</si>
  <si>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</si>
  <si>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</si>
  <si>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</si>
  <si>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</si>
  <si>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</si>
  <si>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</si>
  <si>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</si>
  <si>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</si>
  <si>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</si>
  <si>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</si>
  <si>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</si>
  <si>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</si>
  <si>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</si>
  <si>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</si>
  <si>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</si>
  <si>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</si>
  <si>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</si>
  <si>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</si>
  <si>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</si>
  <si>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</si>
  <si>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</si>
  <si>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</si>
  <si>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</si>
  <si>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</si>
  <si>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</si>
  <si>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</si>
  <si>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</si>
  <si>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</si>
  <si>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</si>
  <si>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</si>
  <si>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</si>
  <si>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</si>
  <si>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</si>
  <si>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</si>
  <si>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</si>
  <si>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</si>
  <si>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</si>
  <si>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</si>
  <si>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</si>
  <si>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</si>
  <si>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</si>
  <si>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</si>
  <si>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</si>
  <si>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</si>
  <si>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</si>
  <si>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</si>
  <si>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</si>
  <si>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</si>
  <si>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</si>
  <si>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</si>
  <si>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</si>
  <si>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</si>
  <si>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</si>
  <si>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</si>
  <si>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</si>
  <si>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</si>
  <si>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</si>
  <si>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</si>
  <si>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</si>
  <si>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</si>
  <si>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</si>
  <si>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</si>
  <si>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</si>
  <si>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</si>
  <si>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</si>
  <si>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</si>
  <si>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</si>
  <si>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</si>
  <si>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</si>
  <si>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</si>
  <si>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</si>
  <si>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</si>
  <si>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</si>
  <si>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</si>
  <si>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</si>
  <si>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</si>
  <si>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</si>
  <si>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</si>
  <si>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</si>
  <si>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</si>
  <si>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</si>
  <si>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</si>
  <si>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headspace O₂ just before a pulse (lag)</t>
  </si>
  <si>
    <t>y_O2_end_b</t>
  </si>
  <si>
    <t>Import from Mass Transfer!D358 (y_O2_end_l, sawtooth top).</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</si>
  <si>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</si>
  <si>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</si>
  <si>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</si>
  <si>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</si>
  <si>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</si>
  <si>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</si>
  <si>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</si>
  <si>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</si>
  <si>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</si>
  <si>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</si>
  <si>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</si>
  <si>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</si>
  <si>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</si>
  <si>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</si>
  <si>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</si>
  <si>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(import) Stir-bar speed</t>
  </si>
  <si>
    <t>→ Summary (stir_rpm_set). Pioreactor stir setpoint. RPM floor ~125 (stalls below).</t>
  </si>
  <si>
    <t>Mean time to deliver one headspace volume of CO₂: the interval × headspace ÷ pulse volume (D411).</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</si>
  <si>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</si>
  <si>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</si>
  <si>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</si>
  <si>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</si>
  <si>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</si>
  <si>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</si>
  <si>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</si>
  <si>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</si>
  <si>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</si>
  <si>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</si>
  <si>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</si>
  <si>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</si>
  <si>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</si>
  <si>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</si>
  <si>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</si>
  <si>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</si>
  <si>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</si>
  <si>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</si>
  <si>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</si>
  <si>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</si>
  <si>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</si>
  <si>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</si>
  <si>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</si>
  <si>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</si>
  <si>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</si>
  <si>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</si>
  <si>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</si>
  <si>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</si>
  <si>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</si>
  <si>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</si>
  <si>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</si>
  <si>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</si>
  <si>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</si>
  <si>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</si>
  <si>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</si>
  <si>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</si>
  <si>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</si>
  <si>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</si>
  <si>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</si>
  <si>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</si>
  <si>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</si>
  <si>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</si>
  <si>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</si>
  <si>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</si>
  <si>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</si>
  <si>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</si>
  <si>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</si>
  <si>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</si>
  <si>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</si>
  <si>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</si>
  <si>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</si>
  <si>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</si>
  <si>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</si>
  <si>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</si>
  <si>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</si>
  <si>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</si>
  <si>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</si>
  <si>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</si>
  <si>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</si>
  <si>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</si>
  <si>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</si>
  <si>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</si>
  <si>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</si>
  <si>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</si>
  <si>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</si>
  <si>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</si>
  <si>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</si>
  <si>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</si>
  <si>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</si>
  <si>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</si>
  <si>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</si>
  <si>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pulse_res</t>
  </si>
  <si>
    <t>Optimal pulse rounded to the command resolution</t>
  </si>
  <si>
    <t>spg_dur_run</t>
  </si>
  <si>
    <t>HEADSPACE BALANCE — one vent model shared by the O₂ block (§177), the CO₂ pool (§190) and the lag-phase flammability block (Biology rows 83–88)</t>
  </si>
  <si>
    <t>(import) Vent model</t>
  </si>
  <si>
    <t>vent_model</t>
  </si>
  <si>
    <t>Import from Summary!D11.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</si>
  <si>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</si>
  <si>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</si>
  <si>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</si>
  <si>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</si>
  <si>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</si>
  <si>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</si>
  <si>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</si>
  <si>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</si>
  <si>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</si>
  <si>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</si>
  <si>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</si>
  <si>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</si>
  <si>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</si>
  <si>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</si>
  <si>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</si>
  <si>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</si>
  <si>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</si>
  <si>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</si>
  <si>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</si>
  <si>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</si>
  <si>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</si>
  <si>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</si>
  <si>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</si>
  <si>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</si>
  <si>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</si>
  <si>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</si>
  <si>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</si>
  <si>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</si>
  <si>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</si>
  <si>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</si>
  <si>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</si>
  <si>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</si>
  <si>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</si>
  <si>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</si>
  <si>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</si>
  <si>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</si>
  <si>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</si>
  <si>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</si>
  <si>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</si>
  <si>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</si>
  <si>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</si>
  <si>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</si>
  <si>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</si>
  <si>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</si>
  <si>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</si>
  <si>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</si>
  <si>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</si>
  <si>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</si>
  <si>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</si>
  <si>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</si>
  <si>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</si>
  <si>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</si>
  <si>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</si>
  <si>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flush_vol_opt</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</si>
  <si>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</si>
  <si>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</si>
  <si>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</si>
  <si>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</si>
  <si>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</si>
  <si>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</si>
  <si>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</si>
  <si>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</si>
  <si>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</si>
  <si>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</si>
  <si>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</si>
  <si>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</si>
  <si>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</si>
  <si>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</si>
  <si>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</si>
  <si>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</si>
  <si>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</si>
  <si>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</si>
  <si>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</si>
  <si>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</si>
  <si>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</si>
  <si>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</si>
  <si>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</si>
  <si>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</si>
  <si>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</si>
  <si>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</si>
  <si>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</si>
  <si>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</si>
  <si>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</si>
  <si>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</si>
  <si>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</si>
  <si>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</si>
  <si>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</si>
  <si>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</si>
  <si>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</si>
  <si>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</si>
  <si>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</si>
  <si>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</si>
  <si>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</si>
  <si>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</si>
  <si>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</si>
  <si>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</si>
  <si>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</si>
  <si>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</si>
  <si>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</si>
  <si>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</si>
  <si>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</si>
  <si>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</si>
  <si>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</si>
  <si>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</si>
  <si>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</si>
  <si>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</si>
  <si>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</si>
  <si>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</si>
  <si>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</si>
  <si>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</si>
  <si>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</si>
  <si>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</si>
  <si>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</si>
  <si>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</si>
  <si>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</si>
  <si>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</si>
  <si>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</si>
  <si>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</si>
  <si>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</si>
  <si>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</si>
  <si>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</si>
  <si>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</si>
  <si>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</si>
  <si>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</si>
  <si>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</si>
  <si>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</si>
  <si>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</si>
  <si>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</si>
  <si>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</si>
  <si>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</si>
  <si>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</si>
  <si>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</si>
  <si>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</si>
  <si>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</si>
  <si>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</si>
  <si>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</si>
  <si>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</si>
  <si>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</si>
  <si>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</si>
  <si>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</si>
  <si>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</si>
  <si>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</si>
  <si>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</si>
  <si>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</si>
  <si>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</si>
  <si>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</si>
  <si>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</si>
  <si>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</si>
  <si>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</si>
  <si>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</si>
  <si>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</si>
  <si>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</si>
  <si>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</si>
  <si>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</si>
  <si>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</si>
  <si>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</si>
  <si>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</si>
  <si>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</si>
  <si>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</si>
  <si>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</si>
  <si>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</si>
  <si>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</si>
  <si>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</si>
  <si>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</si>
  <si>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</si>
  <si>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</si>
  <si>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</si>
  <si>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</si>
  <si>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</si>
  <si>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</si>
  <si>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</si>
  <si>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</si>
  <si>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</si>
  <si>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</si>
  <si>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</si>
  <si>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</si>
  <si>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</si>
  <si>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</si>
  <si>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</si>
  <si>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</si>
  <si>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</si>
  <si>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</si>
  <si>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</si>
  <si>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</si>
  <si>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</si>
  <si>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</si>
  <si>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</si>
  <si>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</si>
  <si>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</si>
  <si>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</si>
  <si>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</si>
  <si>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</si>
  <si>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</si>
  <si>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</si>
  <si>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</si>
  <si>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</si>
  <si>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</si>
  <si>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</si>
  <si>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</si>
  <si>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</si>
  <si>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</si>
  <si>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</si>
  <si>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</si>
  <si>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</si>
  <si>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</si>
  <si>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</si>
  <si>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</si>
  <si>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</si>
  <si>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</si>
  <si>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</si>
  <si>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</si>
  <si>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</si>
  <si>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</si>
  <si>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</si>
  <si>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</si>
  <si>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</si>
  <si>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</si>
  <si>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</si>
  <si>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H2_HOR_mt</t>
  </si>
  <si>
    <t>Import from Electrochemistry!D149 (r_H2_HOR; 0 while f_HOR_anode is a data gap).</t>
  </si>
  <si>
    <t>Headspace H₂ just before a pulse — lag</t>
  </si>
  <si>
    <t>y_H2_end_l</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</si>
  <si>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</si>
  <si>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</si>
  <si>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</si>
  <si>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</si>
  <si>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</si>
  <si>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</si>
  <si>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</si>
  <si>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</si>
  <si>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</si>
  <si>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</si>
  <si>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</si>
  <si>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</si>
  <si>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</si>
  <si>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</si>
  <si>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</si>
  <si>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</si>
  <si>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</si>
  <si>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</si>
  <si>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</si>
  <si>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</si>
  <si>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</si>
  <si>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</si>
  <si>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</si>
  <si>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</si>
  <si>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</si>
  <si>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</si>
  <si>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</si>
  <si>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</si>
  <si>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</si>
  <si>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</si>
  <si>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</si>
  <si>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</si>
  <si>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</si>
  <si>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</si>
  <si>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</si>
  <si>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</si>
  <si>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</si>
  <si>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</si>
  <si>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</si>
  <si>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</si>
  <si>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</si>
  <si>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</si>
  <si>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</si>
  <si>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</si>
  <si>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</si>
  <si>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</si>
  <si>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</si>
  <si>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</si>
  <si>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</si>
  <si>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</si>
  <si>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</si>
  <si>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</si>
  <si>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</si>
  <si>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</si>
  <si>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</si>
  <si>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</si>
  <si>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</si>
  <si>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</si>
  <si>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</si>
  <si>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</si>
  <si>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</si>
  <si>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</si>
  <si>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</si>
  <si>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</si>
  <si>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</si>
  <si>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</si>
  <si>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</si>
  <si>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</si>
  <si>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</si>
  <si>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</si>
  <si>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</si>
  <si>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</si>
  <si>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</si>
  <si>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</si>
  <si>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</si>
  <si>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</si>
  <si>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</si>
  <si>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</si>
  <si>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</si>
  <si>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</si>
  <si>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</si>
  <si>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</si>
  <si>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</si>
  <si>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</si>
  <si>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</si>
  <si>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</si>
  <si>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</si>
  <si>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</si>
  <si>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</si>
  <si>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</si>
  <si>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</si>
  <si>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</si>
  <si>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</si>
  <si>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</si>
  <si>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</si>
  <si>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</si>
  <si>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</si>
  <si>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</si>
  <si>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</si>
  <si>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</si>
  <si>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</si>
  <si>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</si>
  <si>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</si>
  <si>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</si>
  <si>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</si>
  <si>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</si>
  <si>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</si>
  <si>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</si>
  <si>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</si>
  <si>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</si>
  <si>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</si>
  <si>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</si>
  <si>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</si>
  <si>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</si>
  <si>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</si>
  <si>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</si>
  <si>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</si>
  <si>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</si>
  <si>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</si>
  <si>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</si>
  <si>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</si>
  <si>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</si>
  <si>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</si>
  <si>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</si>
  <si>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</si>
  <si>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</si>
  <si>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</si>
  <si>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</si>
  <si>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</si>
  <si>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</si>
  <si>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</si>
  <si>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</si>
  <si>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</si>
  <si>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</si>
  <si>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</si>
  <si>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</si>
  <si>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</si>
  <si>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g/L</t>
  </si>
  <si>
    <t>Same, as extra alkalinity</t>
  </si>
  <si>
    <t>mM</t>
  </si>
  <si>
    <t>Any strong base counts (NaHCO₃, KHCO₃, NaOH). Using nitrate or urea instead of NH₄⁺ also avoids the acid released as the culture takes up ammonium.</t>
  </si>
  <si>
    <t>Step 10: confirms the open-line calibration holds with the sinter and liquid back-pressure of the real setup.</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</si>
  <si>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</si>
  <si>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</si>
  <si>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</si>
  <si>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</si>
  <si>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</si>
  <si>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</si>
  <si>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</si>
  <si>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</si>
  <si>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</si>
  <si>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</si>
  <si>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</si>
  <si>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</si>
  <si>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</si>
  <si>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</si>
  <si>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</si>
  <si>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</si>
  <si>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</si>
  <si>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</si>
  <si>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</si>
  <si>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</si>
  <si>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</si>
  <si>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</si>
  <si>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</si>
  <si>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</si>
  <si>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</si>
  <si>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</si>
  <si>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</si>
  <si>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</si>
  <si>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</si>
  <si>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</si>
  <si>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</si>
  <si>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</si>
  <si>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</si>
  <si>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</si>
  <si>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</si>
  <si>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</si>
  <si>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</si>
  <si>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</si>
  <si>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</si>
  <si>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</si>
  <si>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</si>
  <si>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</si>
  <si>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</si>
  <si>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</si>
  <si>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</si>
  <si>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</si>
  <si>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</si>
  <si>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</si>
  <si>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</si>
  <si>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</si>
  <si>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</si>
  <si>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</si>
  <si>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</si>
  <si>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</si>
  <si>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</si>
  <si>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</si>
  <si>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</si>
  <si>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</si>
  <si>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</si>
  <si>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</si>
  <si>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</si>
  <si>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</si>
  <si>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</si>
  <si>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</si>
  <si>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</si>
  <si>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</si>
  <si>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</si>
  <si>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</si>
  <si>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</si>
  <si>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</si>
  <si>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</si>
  <si>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</si>
  <si>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</si>
  <si>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</si>
  <si>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</si>
  <si>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</si>
  <si>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</si>
  <si>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</si>
  <si>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</si>
  <si>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</si>
  <si>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</si>
  <si>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</si>
  <si>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</si>
  <si>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</si>
  <si>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</si>
  <si>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</si>
  <si>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</si>
  <si>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</si>
  <si>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</si>
  <si>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</si>
  <si>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</si>
  <si>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</si>
  <si>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</si>
  <si>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</si>
  <si>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</si>
  <si>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</si>
  <si>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</si>
  <si>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</si>
  <si>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</si>
  <si>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</si>
  <si>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</si>
  <si>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</si>
  <si>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</si>
  <si>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</si>
  <si>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</si>
  <si>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</si>
  <si>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</si>
  <si>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</si>
  <si>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</si>
  <si>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Ionic strength follows the workbook as-weighed convention; acid contributes 2H+ + SO4²-. Speciation changes are not resolved here.</t>
  </si>
  <si>
    <t>LED channel D %, the AEP-Plugin 'electrolysis_power' setting (runtime-clamped 0–10 %); drives the electrolysis current via Gerrit's Law. The model needs 3–10 % (fit range ∩ plugin clamp), which the D6 validation enforces.</t>
  </si>
  <si>
    <t>"Outflow only" = check valve or sealed cap that holds a vacuum (no air ever enters). "Open vent" = a plain needle or tube with no forced flow (air drawn back after each pulse; Q_backdraw, Mass Transfer D385, an estimate). "Air exchange" = measured bidirectional exchange at Q_vent (Mass Transfer D142). The MEP0.3 and AEP0.1.1 caps vent through 2 × 1/16" ID tubes to 0.2 µm PTFE filters, AEP0.2 through needles to the same filters, with no check valve: Open vent (owner, T5). Anything else → #N/A throughout.</t>
  </si>
  <si>
    <t>"Growth" sizes the headline schedule (rows 18–21) on the O₂ surplus after knallgas uptake; "Lag" on the whole net electrolytic O₂ plus H₂ (no uptake yet). Anything else → #N/A. Both phases are shown either way, and the start-up schedule (rows 31 and 33) is always the lag one. If the chosen phase’s DO target is unreachable (rows 65–66), the schedule falls back to the legacy O₂ flush guard (Mass Transfer D89).</t>
  </si>
  <si>
    <t>Added NaHCO₃ (on top of the recipe)</t>
  </si>
  <si>
    <t>NaHCO3_add_gL</t>
  </si>
  <si>
    <t>NaHCO₃ added to the medium; blank = none. It feeds the charge balance, ionic strength, conductivity and CO₂ storage (Chemistry D44, D185, D180, D296), so pH, DO and the schedule respond. Row 80 then shows what is still needed. After a large addition (pH up by more than 0.1) re-enter the DIC reference pH, Chemistry D291 (D310 says when).</t>
  </si>
  <si>
    <t>N₂ dose (mean flow of timed pulses)</t>
  </si>
  <si>
    <t>N2_sweep_set</t>
  </si>
  <si>
    <t>Blank = none, the owner’s preference: fix the medium first (rows 80–81). If N₂ must be used it is pulsed apart from the CO₂ pulses (owner, T7); the balance takes its mean flow as an inert inflow with no O₂ or CO₂ (Mass Transfer D424–D425), exact for the mean-field fractions; the sawtooth of a separate N₂ flush is a model improvement (row 135).</t>
  </si>
  <si>
    <t>Solenoid command resolution</t>
  </si>
  <si>
    <t>pulse_res_set</t>
  </si>
  <si>
    <t>Smallest step the AEP-Plugin solenoid timer is commanded in; the pulse is rounded to it (row 19). Same solenoid as ed04, whose logged pulses (0.2, 0.25, 0.4, 0.6 s) are all 0.05 s multiples (owner, T8).</t>
  </si>
  <si>
    <t>Pulse actually evaluated by every operating check below. Summary override wins, then Manual mode, otherwise the optimum rounded to the pulse resolution.</t>
  </si>
  <si>
    <t>Time between doses: the shortest of the carbon-limited, headspace-O₂-dilution and pH-ceiling intervals (rows 28–30), plus the H₂ flammability screen when the schedule is sized on Lag (row 12); row 22 says which binds. Sized for the vent model in row 11 and the pulse in row 19.</t>
  </si>
  <si>
    <t>Interval actually evaluated below, in decimal minutes. Default converts the commanded pulse to the ideal delivery duty and rounds down to 0.01 min; overrides and Manual mode are evaluated directly.</t>
  </si>
  <si>
    <t>Binding constraint on the interval</t>
  </si>
  <si>
    <t>res_binding</t>
  </si>
  <si>
    <t>Which upper bound sets row 20: carbon supply, headspace-O₂ dilution, the pH ceiling (rows 28–30) or, when sized on Lag, the H₂ flammability screen; an invalid selector or an unreachable target is named here instead.</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</si>
  <si>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159–162.</t>
  </si>
  <si>
    <t>Time-mean dissolved O₂ of the sawtooth model at the schedule in use, on the sizing phase; near the target by construction when O₂ dilution binds. Both phases, mean and peak: rows 59–62.</t>
  </si>
  <si>
    <t>SCHEDULE BOUNDS AND THE START-UP (LAG-PHASE) SCHEDULE</t>
  </si>
  <si>
    <t>res_spg_int_DO</t>
  </si>
  <si>
    <t>Longest interval that still dilutes headspace O₂ enough to hold the DO target on the sizing phase (row 12). #N/A = the target is unreachable at this surface kLa.</t>
  </si>
  <si>
    <t>pH-ceiling interval (longest keeping pH at or under the band ceiling)</t>
  </si>
  <si>
    <t>res_spg_int_pH</t>
  </si>
  <si>
    <t>Longest interval keeping pH at or under the band ceiling, for the pulse in use. Far above the other bounds, or "no pH bound", unless N₂ dilutes the headspace; then it stops pH overshooting the band once CO₂ no longer has to dilute O₂. Row 55 warns if a long interval lets the carbon pool run dry.</t>
  </si>
  <si>
    <t>Start-up (lag-phase) interval, same pulse</t>
  </si>
  <si>
    <t>res_spg_int_su</t>
  </si>
  <si>
    <t>Owner asked for both schedules (T4). Until uptake starts: the shortest of the lag O₂ bound (the legacy guard when the lag DO target is unreachable), the interval clearing the start-up hazard screen (Mass Transfer D581), the lag pH ceiling and the carbon bound. Sized on Growth it assumes no cathodic O₂ loss, an upper bound on the lag O₂ and H₂ sources, because the start-up DO differs from the lag reference (Electrochemistry D129); select Lag in row 12 to size and evaluate every output on the lag phase itself.</t>
  </si>
  <si>
    <t>res_duty_ratio</t>
  </si>
  <si>
    <t>Delivered CO₂ duty of the schedule as run (rows 19 and 21) against the sized duty; 1 = rounding the interval has not moved the CO₂ dose. The sizing already uses the commanded pulse (Mass Transfer D320), so a ratio near 1 also means the DO target holds.</t>
  </si>
  <si>
    <t>Start-up schedule: lag-phase DO and H₂</t>
  </si>
  <si>
    <t>res_su_state</t>
  </si>
  <si>
    <t>The lag sawtooth at the start-up interval, on start-up sources that assume no cathodic O₂ loss (Mass Transfer D572) unless the schedule is sized on Lag; rows 61–62 show the lag phase at the headline schedule instead.</t>
  </si>
  <si>
    <t>Red until the vial headspace is measured (vial-geometry.md); while red, the pulse above is provisional (~4x uncertain). Once a headspace and its working fill are included on the Calibrations tab it reads OK, because the measured headspace replaces the cylinder approximation.</t>
  </si>
  <si>
    <t>Nominal lag-phase hazard screen, not safety certification. Predictions depend on unmeasured vent/transfer behaviour; validate mixture-specific limits, sampling and gas clearance before operation.</t>
  </si>
  <si>
    <t>Ratio of CO₂ delivered to carbon demand (should be ≥ 1), with the absorbed ratio beside it (row 77): delivered counts gas the pulse expels unabsorbed, absorbed does not.</t>
  </si>
  <si>
    <t>Pulse flow against the measured no-carryover maximum for this reactor (CO2 flows column M). Reads "not measured" (amber) until one is recorded; the superficial-velocity rule of thumb is row 51.</t>
  </si>
  <si>
    <t>Secondary to row 45: gas velocity against the provisional 50 mm/s entrainment rule of thumb. It cannot fail at bench flows; row 45 tests the measured limit.</t>
  </si>
  <si>
    <t>chk_DO_pH</t>
  </si>
  <si>
    <t>The vent model couples the two: when O₂ dilution binds, CO₂ is doing the O₂ dilution, so the DO-limited interval sets the pH (row 22 says which bound binds). Tests both band edges (rows 160–161) at the evaluated schedule, including any override in G18/G20. Red = the two targets conflict: fix the medium (rows 80–81) or measure the vent. Amber "watch" = the DIC or lag-DO reference needs re-entering first (Chemistry D310, Electrochemistry D134). #N/A = a selector (D2–D5, D11, D12) is not a listed value.</t>
  </si>
  <si>
    <t>chk_hs_sag</t>
  </si>
  <si>
    <t>chk_hs_sag_ok</t>
  </si>
  <si>
    <t>"HEADSPACE SAGS" = the check-valve model needs more vacuum than a real cap holds: switch D11 to Open vent or Air exchange. With an open vent or air exchange it reads UNVERIFIED, because the air ingress is assumed until the vent back-draw is measured (row 121); OK when an N₂ dose covers the per-cycle deficit.</t>
  </si>
  <si>
    <t>Carbon pool stays above air equilibrium through the cycle?</t>
  </si>
  <si>
    <t>chk_pool</t>
  </si>
  <si>
    <t>Pulse-start dissolved CO₂ against air equilibrium at the schedule in use; WATCH = fixation empties the pool within the cycle (only reachable with a long, N₂-relaxed interval).</t>
  </si>
  <si>
    <t>DISSOLVED O₂ AND HEADSPACE BY PHASE (both shown; row 12 picks which sizes the headline schedule)</t>
  </si>
  <si>
    <t>0 for "Outflow only"; Q_backdraw (Mass Transfer D385, an estimate) for "Open vent"; the measured Q_vent (Mass Transfer D142) for "Air exchange". The single number that reconciles the O₂, CO₂ and flammability blocks — measure it.</t>
  </si>
  <si>
    <t>Red = the growth-phase sawtooth peaks above the organism’s inhibition limit: its toxic DO when known, otherwise the 0.30 atm ceiling (Mass Transfer D565).</t>
  </si>
  <si>
    <t>Red = the lag-phase peak breaches that limit at the schedule in use; the culture would then be inhibited before it can take up O₂ (Mass Transfer D565).</t>
  </si>
  <si>
    <t>Lag phase; with the H₂ fraction below it, the flammability basis of row 40.</t>
  </si>
  <si>
    <t>Dissolved CO₂ at the lowest point of the dosing cycle vs RuBisCO Km (was the in-sparge saturation peak, which a sub-second pulse never reaches); large = ample carbon. Complements the supply:demand ratio (D42).</t>
  </si>
  <si>
    <t>Shown beside D42: CO₂ the liquid takes up after each pulse (incl. bicarbonate), per hour, over fixation. Informative, not pass/fail: below 1 the culture also draws on headspace CO₂ between pulses. Carbon sufficiency is row 76.</t>
  </si>
  <si>
    <t>MEDIA DESIGN — fix the medium first (owner, T7); N₂ only if it must, pulsed apart from CO₂</t>
  </si>
  <si>
    <t>NaHCO₃ still needed to lift pH to the target (first-order)</t>
  </si>
  <si>
    <t>Alkalinity still needed, on top of the recipe and any NaHCO₃ in D13, for a probe pH of Chemistry D303 (the 6.5 band floor by default) at today’s dissolved CO₂. Enter it in D13 to see the coupled result; re-read, as CO₂ storage moves with it.</t>
  </si>
  <si>
    <t>N₂ (mean of timed pulses) that holds the DO target at the carbon-limited interval</t>
  </si>
  <si>
    <t>Sizing phase (row 12): the N₂ that removes the DO bound on the CO₂ schedule. With it in row 14 the pH ceiling (row 30) then usually sets the interval. #N/A = the DO target is unreachable at this surface kLa, which no N₂ fixes.</t>
  </si>
  <si>
    <t>N₂ (mean of timed pulses) that keeps lag-phase H₂ below the LFL</t>
  </si>
  <si>
    <t>Mean-field, with no CO₂ at all; the pre-pulse sawtooth peaks higher, so treat it as a lower bound and re-read row 40 with it entered. A screen, not a mixture safety certification.</t>
  </si>
  <si>
    <t>Below this, no sparge interval holds the target dissolved O₂ on the sizing phase. Per hour, the unit you measure in and the Calibrations tab takes (Calibrations D46). Both phases and their margins: rows 65–68.</t>
  </si>
  <si>
    <t>Calculated today as 1 − the chlorine, peroxide-oxidation, anodic H₂-oxidation and metal-dissolution shares (Electrochemistry D104), with the last two unmeasured; any anodic metal dissolution comes straight off it, and the corrosion suspicion on Chemistry D163 needs exactly this number. Needs an accepted per-electrode measurement, not a mixed-gas screen.</t>
  </si>
  <si>
    <t>Calipers on the vial body; drives the headspace and displacement budget alongside the total volume (row 107).</t>
  </si>
  <si>
    <t>Organism DO thresholds</t>
  </si>
  <si>
    <t>Minimum, optimum and impairment DO for the organism in use: all four are data gaps for X. tagetidis, and the C. necator optimum and impairment that set the fallback target fraction (Biology D61) are provisional working values (row 38 is the minimum check).</t>
  </si>
  <si>
    <t>Each reactor needs its own CO₂ flow calibration; only ed04 has one (row 128 for the reactor actually in use).</t>
  </si>
  <si>
    <t>Sets bubble size, and only matters when the sparger is a sintered frit; grade 0 (Gerrit’s disc) is assumed today.</t>
  </si>
  <si>
    <t>Enters every Henry solubility and gas-volume conversion through P_atm (blank = 101 325 Pa): small near sea level, larger at altitude. It does not move the O₂ inhibition criterion, a fixed 0.30 atm partial pressure (Biology D26).</t>
  </si>
  <si>
    <t>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</si>
  <si>
    <t>Cu/Ni/Fe by ICP or a colorimetric kit. The operating anode sits well above the Cu²⁺/Cu equilibrium (row 101), so dissolution is thermodynamically allowed; this is the unmodelled prime suspect for the Exp-2 death and it also closes the anodic charge budget.</t>
  </si>
  <si>
    <t>Characterise the headspace vent</t>
  </si>
  <si>
    <t>The vent is confirmed open (row 11; owner, T5), so the measurement is now its back-draw flow (Q_backdraw, Mass Transfer D385), the single biggest input after the vent type: the interval moves several-fold across plausible ingress. Pressure-decay test or a headspace O₂ tracer.</t>
  </si>
  <si>
    <t>Abiotic DO trace under the schedule</t>
  </si>
  <si>
    <t>One run with no cells at 3 % logging DO with an optical spot: tests the whole headspace balance against the lag-phase predictions (rows 61–62).</t>
  </si>
  <si>
    <t>Headspace H₂/O₂ during lag (safety)</t>
  </si>
  <si>
    <t>Safety. The model puts the lag-phase headspace at about 9 % H₂ (D40), above the 4 % lower flammable limit, until the cells take up H₂.</t>
  </si>
  <si>
    <t>Off-gas H₂ at steady growth</t>
  </si>
  <si>
    <t>H₂ fraction in the vent gas × vent flow, against the H₂ the current makes, gives the H₂ uptake fraction behind the growth O₂ surplus (up to ±200 % on the schedule). Row 109 measures the same ratio in sealed bottles.</t>
  </si>
  <si>
    <t>Free and combined chlorine (DPD)</t>
  </si>
  <si>
    <t>Settles the monochloramine lifetime (Chemistry D142, entered in the Calibrations monochloramine section): over 1 min to 5 h it moves the UdG interval from 9.4 to 7.6 min against 8.1 min at the 1 h default (about +15 %/−7 %). Also confirm the CaCl₂ hydrate state (−24 % on every chlorine figure).</t>
  </si>
  <si>
    <t>Sparger-attached flow check</t>
  </si>
  <si>
    <t>No-carryover maximum flow</t>
  </si>
  <si>
    <t>Record the highest flow without liquid carryover for each reactor in CO2 flows column M; D45 reads "not measured" until then.</t>
  </si>
  <si>
    <t>CO₂ flow of the reactor in use</t>
  </si>
  <si>
    <t>D2 is ed04, the only reactor with a flow calibration, and its MEP0.3 geometry (20 mL vial, 16 mL max). For an AEP0.2 build (ed06–ed08), calibrate that reactor and select it in D2.</t>
  </si>
  <si>
    <t>AMYBO03 conductivity at the operating temperature</t>
  </si>
  <si>
    <t>The ohmic term uses a Kohlrausch sum × a finite-strength factor (0.78) anchored near I ≈ 0.1 M; AMYBO03 is about 0.2 M. A conductivity-meter reading at 30 °C replaces both (Chemistry D178–D180).</t>
  </si>
  <si>
    <t>Low-power current curve below 3 %</t>
  </si>
  <si>
    <t>Gerrit’s Law is fitted and validated for 3–10 %; below that the model refuses to run. Needed before a start-up current ramp can be modelled (row 138).</t>
  </si>
  <si>
    <t>Electrochemist review of the calculated electrochemistry</t>
  </si>
  <si>
    <t>Weakest inputs: the anodic exchange-current density (four decades in the literature) and the electrode mass-transfer coefficient. Rows 94–103 are the numbers to hand over.</t>
  </si>
  <si>
    <t>Waits on</t>
  </si>
  <si>
    <t>Separate N₂ flush in the sawtooth</t>
  </si>
  <si>
    <t>Owner: only if N₂ is used at all (T7 prefers fixing the medium)</t>
  </si>
  <si>
    <t>Row 14 enters N₂ by its mean flow. That is exact for the mean-field fractions but not for the sawtooth: a separate N₂ flush lets H₂ and O₂ build for longer between flushes, so the pre-pulse peaks can be substantially higher than the continuous surrogate shows. Model the flush before relying on pulsed N₂.</t>
  </si>
  <si>
    <t>Nitrate or urea instead of NH₄⁺</t>
  </si>
  <si>
    <t>Owner: nitrogen source; a measured uptake rate</t>
  </si>
  <si>
    <t>Ammonium uptake releases acid as the culture grows, which the model does not see: it holds NH₄⁺ at its recipe value. Part of fixing the medium (T7).</t>
  </si>
  <si>
    <t>Measured solenoid floor (flow-calibration step 9)</t>
  </si>
  <si>
    <t>Pulse length (row 18) is a rule of thumb: about one headspace volume per pulse. A twin trial at a 0.25 s floor held pH and growth DO on about 7 % less CO₂ but raised lag-phase DO.</t>
  </si>
  <si>
    <t>Start-up current ramp</t>
  </si>
  <si>
    <t>Measured low-power current curve below 3 %</t>
  </si>
  <si>
    <t>Lag DO stays unreachable at the estimated surface kLa at any interval (row 66), so the remaining lever is less current until uptake starts; the current fit is not valid below 3 %.</t>
  </si>
  <si>
    <t>Carbon bound on the pool trough</t>
  </si>
  <si>
    <t>Owner: trough margin over RuBisCO Km</t>
  </si>
  <si>
    <t>The carbon interval (row 28) is sized on mean supply; row 55 warns when a long interval lets the pool run dry within the cycle. A bound on the trough (Biology D98) would close it.</t>
  </si>
  <si>
    <t>COLOUR THRESHOLDS (the conditional formatting on D23 and D25 reads these cells)</t>
  </si>
  <si>
    <t>Physical cap-to-base depth from the reactor-type table, selected by rx_ver. The Calibrations volume-equivalent depth (D75) is not a physical length and does not replace it.</t>
  </si>
  <si>
    <t>Looked up from the reactor table (tbl_reactor, rows 58–80) by the Summary reactor (D2).</t>
  </si>
  <si>
    <t>Looked up from the reactor-type table (tbl_rxtype, rows 83–87) by the resolved type (D51).</t>
  </si>
  <si>
    <t>Charge against the reactor-type maximum working volume (Geometry D23).</t>
  </si>
  <si>
    <t>Achieved liquid level against the usable depth (D22).</t>
  </si>
  <si>
    <t>Compares the cylinder A_x × D_int with the total vial volume within geom_tol_mL; flags the vial-geometry experiment (Summary row 107) until the true headspace is measured.</t>
  </si>
  <si>
    <t>Fires INCONSISTENT while the headspace comes from the cylinder approximation: the bare cylinder (A_x × usable depth, ~28 mL) overstates the tapered 20 mL vial. Measuring the true headspace (Calibrations rows 63–77) makes it OK, because the measured headspace then replaces the approximation; the cylinder itself still differs from the vial.</t>
  </si>
  <si>
    <t>Empirical current fit only over the intersection of its validated range and the plugin runtime limit. Off and below-range commands return #N/A rather than inventing current from the fit intercept. Above-limit requests also return #N/A; the plugin clamps them.</t>
  </si>
  <si>
    <t>Model domain: gerrit_min through MIN(gerrit_max,power_max), currently 3–10%. Lower-power/start-up behaviour needs measurement; no extrapolated schedule is issued.</t>
  </si>
  <si>
    <t>Anodic O₂ faradaic efficiency: an accepted per-electrode measurement from the Calibrations tab if there is one, otherwise CALCULATED (D104) as 1 − the chlorine, metal-dissolution, anodic H₂-oxidation and peroxide-oxidation shares. A mixed-gas screen of the undivided cell cannot separate those contributions (protocols/faradaic-efficiency.md).</t>
  </si>
  <si>
    <t>Anodic O₂ minus cathodic consumption at the design DO (D85), plus the O₂ that peroxide oxidation at the anode (D171) and catalase (D173) give back — the O₂ the dissolved pool receives in growth. The lag phase uses O2_net_lag (D132).</t>
  </si>
  <si>
    <t>Sparger type of the selected electrode assembly, looked up in the electrode table (tbl_electrode).</t>
  </si>
  <si>
    <t>The measured value from the Calibrations tab (electrode mass-transfer section: ferricyanide limiting current scaled to O₂) when a run for this reactor at the Summary rpm and temperature is included; otherwise the swirl-velocity estimate km_O2_default (D165).</t>
  </si>
  <si>
    <t>Production ÷ (catalase clearance + anodic oxidation, D94 + D151): both sinks act on the bulk peroxide. The bulk Fenton route is not modelled: the medium’s Fe(II) is a one-shot capacity oxidised away in minutes.</t>
  </si>
  <si>
    <t>Steady growth against the threshold first; then lag, judged on whether the lag plateau ever reaches the threshold (D98 is finite), not on the 1-hour level alone, which is quoted beside the crossing time.</t>
  </si>
  <si>
    <t>1 − chlorine share − metal-dissolution share − anodic H₂-oxidation share (f_HOR_anode, D145) − peroxide-oxidation share (D170). It remains an UPPER BOUND while the metal and H₂ charges are unmeasured: a corroding anode, or one oxidising crossed-over H₂ (ceiling D148), takes current that this cell still credits to oxygen.</t>
  </si>
  <si>
    <t>Input, not a link: set to the last lag-phase cycle-mean DO (D150 = Mass Transfer D135) and re-enter it when D134 says so. Linking it would close a loop (lag DO → lag O₂ source → lag DO, and through the schedule when it is sized on Lag). Same pattern as Chemistry pH_ref_DIC.</t>
  </si>
  <si>
    <t>Anodic O₂ less the cathodic loss at the lag DO, with the lag peroxide-oxidation correction (D172): the lag-phase O₂ source (Mass Transfer O2_src_l, D310; Biology flammability).</t>
  </si>
  <si>
    <t>Current at the top of the validated band (D166)</t>
  </si>
  <si>
    <t>Peroxide is f_HOOH times the same capped lag ORR oxygen flux used by the H2/O2 budgets (D131). No separate uncapped scaling by the solved lag DO.</t>
  </si>
  <si>
    <t>Buffer ratio scaled to I_at_gerrit_max (j ∝ I at the bulk pH); the credit is withdrawn only above a scaled ratio of 1, so this cell shows whether it still applies at the top of the validated band for the D143 cross-check.</t>
  </si>
  <si>
    <t>Electrode mass-transfer coefficient — O₂ (estimate)</t>
  </si>
  <si>
    <t>km_O2_default</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</si>
  <si>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</si>
  <si>
    <t>Power at which the voltage cross-check is made</t>
  </si>
  <si>
    <t>gerrit_check_pct</t>
  </si>
  <si>
    <t>The top of the band the current law in use is validated on: 25 % (gerrit_max) for Gerrit’s default fit, the 10 % plugin clamp (power_max) for a Calibrations fit, whose accepted points span 3–10 % only.</t>
  </si>
  <si>
    <t>PEROXIDE OXIDATION AT THE ANODE (charge and oxygen balance)</t>
  </si>
  <si>
    <t>Peroxide oxidised at the anode — growth</t>
  </si>
  <si>
    <t>r_H2O2_an_g</t>
  </si>
  <si>
    <t>The anodic share of the peroxide made at the cathode (D93) in a growing culture: the anodic sink (D151) competes with catalase (D94). H₂O₂ → O₂ + 2H⁺ + 2e⁻ draws anodic current and returns one O₂ per H₂O₂.</t>
  </si>
  <si>
    <t>Peroxide oxidised at the anode — lag (plateau)</t>
  </si>
  <si>
    <t>r_H2O2_an_l</t>
  </si>
  <si>
    <t>At the lag plateau (D96, no catalase) every peroxide made is oxidised at the anode, so the anodic turnover equals the lag production (D152).</t>
  </si>
  <si>
    <t>Peroxide-oxidation share of the anodic current — growth</t>
  </si>
  <si>
    <t>f_H2O2_anode</t>
  </si>
  <si>
    <t>Two electrons per H₂O₂, as a fraction of the applied current; taken out of the calculated anodic O₂ efficiency (D104). 0 when etaF_OER is measured, since a measurement already includes it.</t>
  </si>
  <si>
    <t>O₂ returned by peroxide oxidation — growth</t>
  </si>
  <si>
    <t>O2_H2O2_ret_g</t>
  </si>
  <si>
    <t>One O₂ per H₂O₂ oxidised, added back to the growth O₂ source (D29).</t>
  </si>
  <si>
    <t>Lag correction to the anodic O₂ for peroxide oxidation</t>
  </si>
  <si>
    <t>O2_H2O2_lag_adj</t>
  </si>
  <si>
    <t>Added to the lag O₂ source (D132): the lag peroxide turnover returns one O₂ and diverts half an O₂ of OER per H₂O₂, while D22 already carries the growth diversion; net (r_l + r_g)/2.</t>
  </si>
  <si>
    <t>O₂ returned by catalase — growth</t>
  </si>
  <si>
    <t>O2_cat_ret_g</t>
  </si>
  <si>
    <t>Catalase disproportionates the rest of the growth peroxide, 2 H₂O₂ → O₂ + 2 H₂O: half an O₂ back per H₂O₂. A biological return, so it applies whether or not etaF_OER is measured.</t>
  </si>
  <si>
    <t>Upper bound on the lag O₂ source (no cathodic O₂ loss)</t>
  </si>
  <si>
    <t>O2_net_su_max</t>
  </si>
  <si>
    <t>O2_net_lag (D132) at zero cathodic O₂ reduction: no ORR, so no peroxide and the anode’s peroxide diversion (D170) returns to OER. D132 falls as the cathodic loss rises, so this is its ceiling at any lag DO. Sizes the start-up schedule, whose DO differs from DO_lag_ref (D129).</t>
  </si>
  <si>
    <t>Upper bound on the lag H₂ evolution (no cathodic O₂ loss)</t>
  </si>
  <si>
    <t>rH2_su_max</t>
  </si>
  <si>
    <t>All cathodic current to H₂: the ceiling of rH2_lag (D133) at any lag DO.</t>
  </si>
  <si>
    <t>Σ ammonium in the recipe: 2 × (NH₄)₂SO₄ per litre (MC02).</t>
  </si>
  <si>
    <t>Σ ammonium in the recipe: 2 × (NH₄)₂SO₄ per litre (UdG).</t>
  </si>
  <si>
    <t>by media_sel, plus any NaHCO₃ added on Summary D13 (alk_add_M, D318)</t>
  </si>
  <si>
    <t>Monochloramine residence time: the included calibration for this reactor and medium (Calibrations D163) when there is one, otherwise the default (D314). The calibration inverts the model’s own steady state, τ = max(B/(k(C − B)), B/P), from the plateau combined chlorine B, the chloride pool C (D47), the turnover k (D271) and the production P (D315), none of which depends on τ (Calibrations rows 155–162, protocols/chlorine-species.md); dividing by a τ-dependent production rate would be circular.</t>
  </si>
  <si>
    <t>Steady combined chlorine from D311, on HOCl-equivalent mass basis; both the chloride transport/recycling limit and the actual current limit apply.</t>
  </si>
  <si>
    <t>Estimate anchored near I=0.1 M, not calibrated for AMYBO03 at about 0.2 M. Retained 0.78 pending conductivity measurement; sweep 0.66–0.90 is illustrative, not a validated uncertainty bound.</t>
  </si>
  <si>
    <t>(Kohlrausch sum of the recipe + the added NaHCO₃, D318) × finite-strength factor × temperature correction. Feeds the ohmic term of the cell-voltage budget (Electrochemistry).</t>
  </si>
  <si>
    <t>by media_sel, plus the added NaHCO₃ (D318: Na⁺ and HCO₃⁻, each z = 1)</t>
  </si>
  <si>
    <t>Not applicable (#N/A) without chloride. Otherwise HOCl/Cl- couple minus operating anode potential; chloride uses free-ion activity, not total analytical concentration.</t>
  </si>
  <si>
    <t>Monochloramine-formation chlorine per N</t>
  </si>
  <si>
    <t>1:1 NH₂Cl formation, 70.906/14.007 = 5.06 mg Cl₂ per mg ammonium-N: the stoichiometric cap on chlorine bound as monochloramine. Not breakpoint demand, which (oxidation to N₂) needs about 7.6. On a Cl₂ basis; multiply by M_HOCl/M_Cl2 for the HOCl-equivalent basis.</t>
  </si>
  <si>
    <t>Design assumption: below pH 6 HOB growth is taken as severely impaired; the red edge of the Summary D23 colour (was embedded in the rule).</t>
  </si>
  <si>
    <t>Extra alkalinity still needed for the target pH</t>
  </si>
  <si>
    <t>First-order, on top of any NaHCO₃ already entered (Summary D13, which is fully coupled through D44, D185, D180 and D296). Holds dissolved CO₂ and γ at the current schedule, so after entering it re-read: the coupled pH can differ slightly because CO₂ storage and ionic strength move with it.</t>
  </si>
  <si>
    <t>DIC reference tolerance</t>
  </si>
  <si>
    <t>DIC_ref_tol</t>
  </si>
  <si>
    <t>Validity criterion from the DIC linearisation: refresh the reference if solved concentration-scale pH moves by more than this.</t>
  </si>
  <si>
    <t>DIC reference validity</t>
  </si>
  <si>
    <t>DIC_ref_check</t>
  </si>
  <si>
    <t>Check the linearisation at the actual schedule. D291 must be iterated after input changes; no circular reference.</t>
  </si>
  <si>
    <t>Steady combined chlorine inventory</t>
  </si>
  <si>
    <t>Cl_bound</t>
  </si>
  <si>
    <t>Steady B=min(C*k*tau/(1+k*tau), pmax*tau, nitrogen). Free chloride=C-B; zero current gives zero combined chlorine.</t>
  </si>
  <si>
    <t>Chloramine approximation check</t>
  </si>
  <si>
    <t>Cl_model_check</t>
  </si>
  <si>
    <t>The simple chloramine steady state does not resolve breakpoint chemistry after ammonium is exhausted.</t>
  </si>
  <si>
    <t>Monochloramine effective residence (default)</t>
  </si>
  <si>
    <t>tau_NH2Cl_default</t>
  </si>
  <si>
    <t>Time combined chlorine persists before consumption (growth N-uptake, cathodic reduction, dilution). Lit: minutes–hours; system-specific value unknown, so 1 h is a weak central estimate until a DPD run is entered on the Calibrations tab.</t>
  </si>
  <si>
    <t>Efficiency-limited chlorine production (independent of τ)</t>
  </si>
  <si>
    <t>P_Cl_max</t>
  </si>
  <si>
    <t>The production ceiling P in the chloramine steady state (the second term of D311): the CER-efficiency-limited current as mol/L/s. Read with D271 and D47 to turn a DPD plateau into a lifetime (Calibrations rows 155–162).</t>
  </si>
  <si>
    <t>ADDED ALKALINITY (Summary D13) — feeds the charge balance, ionic strength, conductivity and CO₂ storage</t>
  </si>
  <si>
    <t>(import) NaHCO₃ added on Summary</t>
  </si>
  <si>
    <t>Import from Summary!D13 (NaHCO3_add_gL); blank reads as 0.</t>
  </si>
  <si>
    <t>Added alkalinity (strong cation, as NaHCO₃)</t>
  </si>
  <si>
    <t>alk_add_M</t>
  </si>
  <si>
    <t>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</si>
  <si>
    <t>CO₂ THAT HOLDS pH AT THE BAND CEILING (for the pH-ceiling interval, Mass Transfer D432)</t>
  </si>
  <si>
    <t>Band ceiling on the concentration scale</t>
  </si>
  <si>
    <t>pH_hi_c</t>
  </si>
  <si>
    <t>Probe (activity) pH ceiling D237 to the concentration scale the charge balance solves on, as D304.</t>
  </si>
  <si>
    <t>[H⁺] at the ceiling</t>
  </si>
  <si>
    <t>h_hi</t>
  </si>
  <si>
    <t>Concentration scale.</t>
  </si>
  <si>
    <t>Charge balance at the ceiling without the carbonate terms</t>
  </si>
  <si>
    <t>resid_noC_hi</t>
  </si>
  <si>
    <t>The B50 residual with dissolved CO₂ set to zero: the charge the carbonate species must carry for pH to sit exactly at the ceiling.</t>
  </si>
  <si>
    <t>Dissolved CO₂ that holds pH at the band ceiling</t>
  </si>
  <si>
    <t>CO2_pH_hi</t>
  </si>
  <si>
    <t>The residual is linear in dissolved CO₂, so this inverts it exactly (γ and the DIC reference held at the schedule in use). Less dissolved CO₂ than this and pH rises above the band. 0 = the ceiling is out of reach even without CO₂ (no pH bound).</t>
  </si>
  <si>
    <t>Dissolved CO₂ at full dry-basis saturation : RuBisCO Km. Legacy upper bound, superseded by the cycle-trough margin D98 (Summary D76).</t>
  </si>
  <si>
    <t>Conservative screen using nominal air LFL and diluted-mixture LOC with an assumed margin, not a validated H2/O2/CO2/N2 flammability envelope. Below threshold is not safety certification. Validate mixture limits and the actual vent/sweep before unattended use.</t>
  </si>
  <si>
    <t>The Calibrations DO section if a value is included for this organism, otherwise the HOB lookup (row 52 on, column "minimum DO"); #N/A = a data gap, to be measured (Summary row 113).</t>
  </si>
  <si>
    <t>The Calibrations DO section if a value is included for this organism, otherwise the HOB lookup (row 52 on, column "optimum DO"); #N/A = a data gap, to be measured (Summary row 113).</t>
  </si>
  <si>
    <t>The Calibrations DO section if a value is included for this organism, otherwise the HOB lookup (row 52 on, column "impairment DO"); #N/A = a data gap, to be measured (Summary row 113).</t>
  </si>
  <si>
    <t>The Calibrations DO section if a value is included for this organism, otherwise the HOB lookup (row 52 on, column "toxic DO"); #N/A = a data gap, to be measured (Summary row 113).</t>
  </si>
  <si>
    <t>11.5 = Wilde &amp; Schlegel 1982 inhibition datum (the model computes its ceiling via Henry, ~10.7 mg/L at 30 °C). Optimum 2.6 and impairment 3.0 are provisional working values, not sourced measurements (protocols/dissolved-oxygen.md: optimum low, impairment not established).</t>
  </si>
  <si>
    <t>Provisional: C. necator optimum 2.6 ÷ inhibition 11.5 mg/L (row 52); the optimum is a working value, not a sourced measurement, so this stand-in for every unmeasured organism is a weak estimate until the DO-band experiment (Summary row 113).</t>
  </si>
  <si>
    <t>Actual commanded pulse (Mass Transfer spg_dur), also the pulse required for the interval remedy.</t>
  </si>
  <si>
    <t>Interval clearing the nominal lag hazard screen</t>
  </si>
  <si>
    <t>Retention of the actual commanded pulse, not the ideal design pulse.</t>
  </si>
  <si>
    <t>Remedy display resolution</t>
  </si>
  <si>
    <t>remedy_res</t>
  </si>
  <si>
    <t>Display increment: min for interval, mL/min for sweep. Bounds are rounded strictly in the protective direction.</t>
  </si>
  <si>
    <t>(import) non-pulse inflow to the headspace (air + N₂)</t>
  </si>
  <si>
    <t>F_dil_b</t>
  </si>
  <si>
    <t>Import from Mass Transfer!D425 (F_dil): air ingress plus any N₂ sweep (Summary D14).</t>
  </si>
  <si>
    <t>Display of the Tate’s-law bubble diameter in mm for the sparger in use.</t>
  </si>
  <si>
    <t>Bubble O₂ strip at the ceiling driving force (best case). 0 for sub-mm bubbles (fine sinter, bubble model out of range — see bubble_regime). Evaluated at the generic 0.30 atm ceiling (D6), as a transfer capacity, not at the organism limit.</t>
  </si>
  <si>
    <t>kLa that would exactly strip the excess at the ceiling. Evaluated at the generic 0.30 atm ceiling (D6), as a transfer capacity, not at the organism limit.</t>
  </si>
  <si>
    <t>As D65, with the bubble strip growing in proportion to DO as it rises (first order: rate D55 × DO/D6, so t = −ln(1 − strip at the organism ceiling ÷ source)/k). "never" = the strip at the organism ceiling (D565) matches the source. Bubbles meet fresh CO₂, so no back-pressure term is needed.</t>
  </si>
  <si>
    <t>O₂ removable across the stirred surface at ceiling driving force — a FEASIBILITY CEILING for surf_ratio / O2_removal_ratio only. NEVER subtracted inside a safety guard (kL_surf is a ~375%-uncertain best-case proxy); the guards size on O2_src_guard (D132) with this credit withheld. Evaluated at the generic 0.30 atm ceiling (D6), as a transfer capacity, not at the organism limit.</t>
  </si>
  <si>
    <t>Lag/establishment: no biological O₂ uptake yet, so the whole lag O₂ source (D394) accumulates up to the organism ceiling (D565). Worst case.</t>
  </si>
  <si>
    <t>O₂ time-to-ceiling, zero headspace O₂ (hypothetical)</t>
  </si>
  <si>
    <t>CAPACITY DIAGNOSTIC ONLY: the lag rise (D79) with both removal paths acting first order against an O₂-free headspace (zero back-pressure). The real headspace holds O₂ and pushes back, so the lag ceiling verdict is the lag peak (D363, Summary row 62); a non-crossing here is never a pass.</t>
  </si>
  <si>
    <t>Set by the Summary 'Your setting' override (G18/G20) when filled; otherwise this Manual/Optimal selector + the manual cells below apply. Optimal = recommended schedule.</t>
  </si>
  <si>
    <t>Your pulse length when sched_mode=Manual. Easiest: type into the Summary 'Your setting' column (G18) instead — it overrides everything.</t>
  </si>
  <si>
    <t>Your interval when sched_mode=Manual. Easiest: type into the Summary 'Your setting' column (G20) instead — it overrides everything.</t>
  </si>
  <si>
    <t>ANSWER. The shortest of the upper bounds on the interval: carbon supply (D112), headspace-O₂ dilution (spg_int_DO), the pH ceiling (D433) and, when the schedule is sized on Lag, the H₂ flammability screen (D563). #N/A for an invalid vent or phase selector or when no interval keeps pH under the band ceiling (D434). If the DO target is unreachable the legacy O₂ flush guard (D89) stands in for the O₂ bound and D134 says so.</t>
  </si>
  <si>
    <t>Dry CO2-equivalent flow at P_atm and T_K. Calibration collection humidity/temperature remain unrecorded; verify before using absolute molar delivery. This convention is distinct from saturated headspace inventory.</t>
  </si>
  <si>
    <t>Time-mean dissolved O₂ of the sawtooth model (§300) on the sizing phase: the surface excess plus equilibrium with the time-mean headspace O₂. Sits near DO_target when the DO constraint binds, because the sizing applies the same sawtooth factor; the peak (D374 / Summary D37) is the non-tautological check.</t>
  </si>
  <si>
    <t>Cycle-mean DO against the organism minimum (Biology D45); "unknown" while the minimum is a data gap.</t>
  </si>
  <si>
    <t>The interval at which the CO₂ supply is carbon_margin_min × the fixation demand (duty_carbon, D86), on the optimal-pulse basis; an upper bound only, since the pool can still run dry within a long cycle (D435).</t>
  </si>
  <si>
    <t>The Summary reactor, imported as the key for the CO2 flows rows.</t>
  </si>
  <si>
    <t>Most recent date in CO2 flows for the selected reactor; only rows of that date set the flow (D117).</t>
  </si>
  <si>
    <t>Text verdict from has_cal (D119) and the flow source in use.</t>
  </si>
  <si>
    <t>Pulse in use: Summary override (G18) &gt; Manual cell (D82) &gt; the rounded optimum (D242); #N/A for an unlisted schedule mode.</t>
  </si>
  <si>
    <t>Interval in use: Summary override (G20) &gt; Manual cell (D83) &gt; the rounded executable interval (D420); #N/A when no gap is left or the mode is unlisted.</t>
  </si>
  <si>
    <t>60 ÷ the interval in use.</t>
  </si>
  <si>
    <t>Pulses per hour × 24.</t>
  </si>
  <si>
    <t>CO₂ delivered ÷ carbon fixed (D100 ÷ Biology D15); ≥ 1 means supply covers demand on average.</t>
  </si>
  <si>
    <t>Growth O₂ surplus (Biology D16) accumulated over one interval in use.</t>
  </si>
  <si>
    <t>Bubble-strip removal per pulse: strip_sparge (mol/h at full sparge) × the pulse length; informative only.</t>
  </si>
  <si>
    <t>Bubble-strip removal ÷ O₂ accumulated per interval; the headspace balance (§300), not this ratio, sizes the schedule.</t>
  </si>
  <si>
    <t>Pulse in use against the solenoid floor (D99); LOW = below the shortest reliable pulse.</t>
  </si>
  <si>
    <t>Bidirectional air-exchange flow through the vent, used ONLY when vent_model (Summary D11)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</si>
  <si>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Dry-gas species inventory above saturated culture: (P_atm - p_sat_w)*V_hs/(R*T). Flush ratios and all species balances use this same inventory.</t>
  </si>
  <si>
    <t>The surface kLa below which the DO target is unreachable at any sparge interval, on the sizing-phase source. Both phases: kLa_surf_req_g / kLa_surf_req_l and their margins in §300 (Summary rows 65–68). The ratio to kLa_surf_used is the whole safety margin of the DO strategy, and it rests on a coefficient nobody has measured yet.</t>
  </si>
  <si>
    <t>(import) Solenoid pulse command resolution</t>
  </si>
  <si>
    <t>Import from Summary!D15 (pulse_res_set): an input on the Summary (owner, T8); same solenoid as ed04.</t>
  </si>
  <si>
    <t>Pulse as it can actually be commanded: the optimum rounded to the resolution, never below the solenoid floor rounded up to the resolution. Summary D19 shows it.</t>
  </si>
  <si>
    <t>Dry-air-equivalent ingress at P_atm and T_K, converted mL/min to mol/h. Flow reference conditions and the actual ingress are unmeasured; not a claim that pressure closure has been measured.</t>
  </si>
  <si>
    <t>Headspace volumes per pulse (pulse in use, for sizing)</t>
  </si>
  <si>
    <t>CO₂ delivered by the pulse actually commanded (D121, full-flow equivalent D410) in headspace volumes. The sawtooth factor must describe that pulse, so the interval sized here holds the DO target at the commanded pulse; it depends on the pulse only, never on the interval, so there is no loop.</t>
  </si>
  <si>
    <t>Headspace retained through the pulse in use (for sizing)</t>
  </si>
  <si>
    <t>Liquid DO just before a pulse: the surface excess plus equilibrium with the liquid’s own peak (D566, exact for a first-order liquid following the headspace sawtooth).</t>
  </si>
  <si>
    <t>The sawtooth peak against the growth-inhibition ceiling (D565: the organism’s toxic DO when known, else the generic Biology D27 ceiling). Not a tautology: the peak is not what the schedule is sized on.</t>
  </si>
  <si>
    <t>As D342 on the lag phase (D567).</t>
  </si>
  <si>
    <t>Feeds the organism-band check below and Summary D37.</t>
  </si>
  <si>
    <t>0 for "Outflow only" (check valve), Q_backdraw for "Open vent", the measured Q_vent for "Air exchange"; anything else #N/A by design. The vent is a continuum: 0 is a true check valve. Feeds F_vent_ex (D308) and Summary D58.</t>
  </si>
  <si>
    <t>The H₂ analogue of y_O2_end_l (D358): periodic sawtooth top of the lag headspace at the schedule in use (no H₂ in air). The flammability screen (Biology D44) tests these pre-pulse tops; the mean-field mix (D352) is shown beside it.</t>
  </si>
  <si>
    <t>Interval command resolution</t>
  </si>
  <si>
    <t>interval_res</t>
  </si>
  <si>
    <t>Reporting resolution; plugin accepts decimal minutes (UI min 0.01). Round down so an upper interval bound is not exceeded.</t>
  </si>
  <si>
    <t>Rounded executable interval</t>
  </si>
  <si>
    <t>spg_int_run</t>
  </si>
  <si>
    <t>Ideal duty converted to the pulse actually commanded, rounded down. Reject a non-positive gap. Re-evaluate DO and pH at this schedule.</t>
  </si>
  <si>
    <t>N₂ HEADSPACE SWEEP (Summary D14) — an inert inflow in the shared balance (§300)</t>
  </si>
  <si>
    <t>(import) N₂ sweep flow</t>
  </si>
  <si>
    <t>Import from Summary!D14 (N2_sweep_set); blank reads as 0. Owner decision T7.</t>
  </si>
  <si>
    <t>N₂ sweep (molar)</t>
  </si>
  <si>
    <t>F_N2</t>
  </si>
  <si>
    <t>Dry N₂ at P_atm and T_K, mL/min to mol/h, the same reference as F_vent_ex (D308); the flow-meter reference conditions are unmeasured.</t>
  </si>
  <si>
    <t>Non-pulse inflow to the headspace (air + N₂)</t>
  </si>
  <si>
    <t>F_dil</t>
  </si>
  <si>
    <t>Every "gas leaving" term of the shared balance (D184, D232, D329–D331, D351–D353, D381; Biology D84–D86) counts this; only the air part (F_vent_ex) carries O₂ and CO₂.</t>
  </si>
  <si>
    <t>N₂ sweep that holds the DO target at the carbon-limited duty</t>
  </si>
  <si>
    <t>N2_for_DO</t>
  </si>
  <si>
    <t>The duty_DO inversion (D184) solved for the inert inflow instead of the CO₂ supply, with CO₂ at the carbon-limited duty (D86): total N₂ needed, net of air ingress. #N/A when the target is unreachable at this surface kLa.</t>
  </si>
  <si>
    <t>pH-CEILING INTERVAL — the longest interval whose cycle-mean dissolved CO₂ still holds pH at the band ceiling (binds with an N₂ sweep)</t>
  </si>
  <si>
    <t>(import) Dissolved CO₂ that holds pH at the band ceiling</t>
  </si>
  <si>
    <t>CO2_pH_hi_mt</t>
  </si>
  <si>
    <t>Import from Chemistry!D324 (CO2_pH_hi, mol/L → mol/m³).</t>
  </si>
  <si>
    <t>Shortest trial interval in the grid (shortest executable)</t>
  </si>
  <si>
    <t>grid_t_min</t>
  </si>
  <si>
    <t>The first whole command step above the pulse: the shortest executable interval for the pulse in use, so a ceiling that cannot be held even here is genuinely unreachable.</t>
  </si>
  <si>
    <t>Grid step ratio</t>
  </si>
  <si>
    <t>grid_ratio</t>
  </si>
  <si>
    <t>Geometric step that spans grid_t_min to grid_t_max (D436) in the 100 grid rows; the crossing is interpolated in ln(interval).</t>
  </si>
  <si>
    <t>pH-ceiling interval (pulse in use)</t>
  </si>
  <si>
    <t>spg_int_pH</t>
  </si>
  <si>
    <t>Longest interval, for the pulse in use, keeping the cycle-mean dissolved CO₂ (the limit cycle of D198–D200 with the bounds of D162) at or above D429, so pH stays at or under the band ceiling. Searched from the shortest executable interval (D430) to D436; "no pH bound" = not reached by D436. CO₂ storage uses the typed DIC reference pH (Chemistry D291): re-enter it when D310 asks.</t>
  </si>
  <si>
    <t>pH-ceiling interval on the optimal-pulse basis</t>
  </si>
  <si>
    <t>spg_int_pH_opt</t>
  </si>
  <si>
    <t>D432 restated on the full-flow-equivalent basis of D91 (D112, D185), so the executable interval D420 comes back to D432 for whatever pulse is in use.</t>
  </si>
  <si>
    <t>pH ceiling unreachable?</t>
  </si>
  <si>
    <t>ph_unreach</t>
  </si>
  <si>
    <t>TRUE = even the shortest interval leaves pH above the band ceiling; D91 then returns #N/A rather than a schedule that overshoots.</t>
  </si>
  <si>
    <t>Carbon pool at the pulse start (schedule in use)</t>
  </si>
  <si>
    <t>pool_start_chk</t>
  </si>
  <si>
    <t>The limit cycle drains the pool linearly by fixation between pulses; below air equilibrium it has run dry for part of the cycle. Can fire when a long, pH-capped interval comes close to the carbon bound.</t>
  </si>
  <si>
    <t>Longest trial interval in the grid</t>
  </si>
  <si>
    <t>grid_t_max</t>
  </si>
  <si>
    <t>Defined: 25 h, far beyond any carbon-limited interval; a ceiling not reached by here is reported as "no pH bound".</t>
  </si>
  <si>
    <t>Interval (min)</t>
  </si>
  <si>
    <t>Gap (s)</t>
  </si>
  <si>
    <t>Pool turnovers x</t>
  </si>
  <si>
    <t>e^−x</t>
  </si>
  <si>
    <t>Φ(x)</t>
  </si>
  <si>
    <t>Ψ(x)</t>
  </si>
  <si>
    <t>Gap CO₂ change (mol/m³)</t>
  </si>
  <si>
    <t>CO₂ at pulse start (mol/m³)</t>
  </si>
  <si>
    <t>Cycle-mean CO₂ (mol/m³)</t>
  </si>
  <si>
    <t>Crossing (min)</t>
  </si>
  <si>
    <t>Lag: turnovers x</t>
  </si>
  <si>
    <t>Lag: e^−x</t>
  </si>
  <si>
    <t>Lag: Φ(x)</t>
  </si>
  <si>
    <t>Lag: Ψ(x)</t>
  </si>
  <si>
    <t>Lag: gap CO₂ change</t>
  </si>
  <si>
    <t>Lag: CO₂ at pulse start</t>
  </si>
  <si>
    <t>Lag: cycle-mean CO₂</t>
  </si>
  <si>
    <t>Lag: crossing (min)</t>
  </si>
  <si>
    <t>START-UP (LAG-PHASE) SCHEDULE — shown beside the growth one (owner, T4: both)</t>
  </si>
  <si>
    <t>Headspace O₂ fraction allowed — lag</t>
  </si>
  <si>
    <t>y_O2_star_l</t>
  </si>
  <si>
    <t>As D183 on the start-up source (D576). #N/A = the surface cannot carry the lag O₂ flux at the target DO at any interval.</t>
  </si>
  <si>
    <t>Duty needed to hold it — lag</t>
  </si>
  <si>
    <t>duty_DO_l</t>
  </si>
  <si>
    <t>As D184 on the start-up sources (D572, D573).</t>
  </si>
  <si>
    <t>DO-limited interval — lag</t>
  </si>
  <si>
    <t>spg_int_DO_l</t>
  </si>
  <si>
    <t>As D185 on the lag source; text when the lag target is unreachable (then the legacy guard D89 applies).</t>
  </si>
  <si>
    <t>(import) Interval clearing the lag H₂ flammability screen</t>
  </si>
  <si>
    <t>spg_int_H2safe_mt</t>
  </si>
  <si>
    <t>Import from Biology!D92 (on the pulse in use; "any interval" when nothing is needed).</t>
  </si>
  <si>
    <t>Start-up interval (optimal-pulse basis)</t>
  </si>
  <si>
    <t>spg_int_su_opt</t>
  </si>
  <si>
    <t>The shortest of the carbon bound, the lag O₂ bound (or the start-up legacy guard D583 when the lag DO target is unreachable), the start-up hazard-screen interval (D582) and the start-up pH ceiling (D561, on the start-up gas flow D560), on the basis of D91, all on the start-up sources (D572–D576). #N/A when no interval holds the pH under the ceiling. Equals D91 when Summary D12 is Lag. The pH ceiling can bind, e.g. with N₂ and added alkalinity.</t>
  </si>
  <si>
    <t>Start-up interval (as run)</t>
  </si>
  <si>
    <t>spg_int_su_run</t>
  </si>
  <si>
    <t>Rounded down to the command resolution for the pulse in use, as D420; #N/A if no gap is left.</t>
  </si>
  <si>
    <t>Start-up binding constraint</t>
  </si>
  <si>
    <t>su_binding</t>
  </si>
  <si>
    <t>Which bound sets the start-up interval.</t>
  </si>
  <si>
    <t>Gap between pulses — start-up</t>
  </si>
  <si>
    <t>t_gap_su_h</t>
  </si>
  <si>
    <t>As D325 at the start-up interval.</t>
  </si>
  <si>
    <t>Headspace turnovers per gap — start-up</t>
  </si>
  <si>
    <t>x_su</t>
  </si>
  <si>
    <t>As D354.</t>
  </si>
  <si>
    <t>Φ(x) — start-up</t>
  </si>
  <si>
    <t>phi_su</t>
  </si>
  <si>
    <t>As D355.</t>
  </si>
  <si>
    <t>Ψ(x) — start-up</t>
  </si>
  <si>
    <t>psi_su</t>
  </si>
  <si>
    <t>As D356.</t>
  </si>
  <si>
    <t>O₂ rise per gap, undiluted — start-up</t>
  </si>
  <si>
    <t>dy_O2_su</t>
  </si>
  <si>
    <t>As D357.</t>
  </si>
  <si>
    <t>Headspace O₂ just before a pulse — start-up</t>
  </si>
  <si>
    <t>y_O2_end_su</t>
  </si>
  <si>
    <t>As D358.</t>
  </si>
  <si>
    <t>Time-mean headspace O₂ — start-up</t>
  </si>
  <si>
    <t>y_O2_avg_su</t>
  </si>
  <si>
    <t>As D360.</t>
  </si>
  <si>
    <t>Cycle-mean DO — start-up (mg/L)</t>
  </si>
  <si>
    <t>DO_avg_su_mgL</t>
  </si>
  <si>
    <t>As D364 at the start-up interval.</t>
  </si>
  <si>
    <t>Peak DO — start-up (mg/L)</t>
  </si>
  <si>
    <t>DO_peak_su_mgL</t>
  </si>
  <si>
    <t>As D365 at the start-up interval (D568).</t>
  </si>
  <si>
    <t>Headspace H₂ just before a pulse — start-up</t>
  </si>
  <si>
    <t>y_H2_end_su</t>
  </si>
  <si>
    <t>As D388 at the start-up interval.</t>
  </si>
  <si>
    <t>Pool decay rate through the vent — start-up</t>
  </si>
  <si>
    <t>k_eff_CO2_l</t>
  </si>
  <si>
    <t>As D195 on the start-up gas flow (F_gap_su, D575), for the start-up columns L–S of the interval grid, so the start-up pH bound (D561) uses the same sources as the start-up balance. Equals the lag flow (D353) when sized on Lag.</t>
  </si>
  <si>
    <t>pH-ceiling interval — lag (pulse in use)</t>
  </si>
  <si>
    <t>spg_int_pH_l</t>
  </si>
  <si>
    <t>As D432 on the lag phase (no fixation, lag gas flow).</t>
  </si>
  <si>
    <t>pH ceiling unreachable in lag?</t>
  </si>
  <si>
    <t>ph_unreach_l</t>
  </si>
  <si>
    <t>As D434 on the lag phase; TRUE = no executable start-up schedule.</t>
  </si>
  <si>
    <t>H₂-screen interval on the optimal-pulse basis</t>
  </si>
  <si>
    <t>spg_int_H2safe_opt</t>
  </si>
  <si>
    <t>D545 restated on the basis of D91, so D420 and D547 come back to it for the pulse in use.</t>
  </si>
  <si>
    <t>Time-mean headspace H₂ — lag</t>
  </si>
  <si>
    <t>y_H2_avg_l</t>
  </si>
  <si>
    <t>Exact time average of the lag H₂ sawtooth at the schedule in use (as D360 for O₂): the figure a time-weighted headspace measurement compares with. The mean-field fraction (D352) is the flux-weighted one.</t>
  </si>
  <si>
    <t>Inhibition ceiling for this organism</t>
  </si>
  <si>
    <t>O2_ceil_org</t>
  </si>
  <si>
    <t>The organism’s own toxic DO (Biology D48, measured or tabled) when it has one, never above the generic 0.30 atm Henry ceiling (D6); otherwise that generic ceiling. Used by the DO target, the legacy guard and the peak checks.</t>
  </si>
  <si>
    <t>Liquid-equilibrium O₂ fraction at its peak — growth</t>
  </si>
  <si>
    <t>z_peak_g</t>
  </si>
  <si>
    <t>Exact periodic solution of the first-order liquid (rate b = 1/τ, D326) driven by the headspace ramp of the gap, y = y_post·e^(−at) + (S/F)(1 − e^(−at)) with a = F/n, maximal just before a pulse: z = y_post·G + (S/n)·H, with H = (bT·Φ(aT) − (1 − e^(−bT)))/((b − a)(1 − e^(−bT))). Written this way it stays exact as the vent flow F → 0 (no S/F terms to cancel); the coincident-rate limit (D569) is used when a = b.</t>
  </si>
  <si>
    <t>Liquid-equilibrium O₂ fraction at its peak — lag</t>
  </si>
  <si>
    <t>z_peak_l</t>
  </si>
  <si>
    <t>As D566 on the lag phase.</t>
  </si>
  <si>
    <t>Liquid-equilibrium O₂ fraction at its peak — start-up</t>
  </si>
  <si>
    <t>z_peak_su</t>
  </si>
  <si>
    <t>As D567 at the start-up interval.</t>
  </si>
  <si>
    <t>Rate-coincidence tolerance (numerical)</t>
  </si>
  <si>
    <t>rate_tol_rel</t>
  </si>
  <si>
    <t>Numerical, not a datum: relative gap below which the liquid (1/τ) and headspace (F/n) rates are treated as equal in D566–D568, where the general formula has a removable 0/0 and the coincident-rate limit is used instead.</t>
  </si>
  <si>
    <t>(import) Upper bound on the lag O₂ source</t>
  </si>
  <si>
    <t>O2_net_su_mt</t>
  </si>
  <si>
    <t>Import from Electrochemistry!D174.</t>
  </si>
  <si>
    <t>(import) Upper bound on the lag H₂ evolution</t>
  </si>
  <si>
    <t>rH2_su_mt</t>
  </si>
  <si>
    <t>Import from Electrochemistry!D175.</t>
  </si>
  <si>
    <t>O₂ source — start-up</t>
  </si>
  <si>
    <t>O2_src_su</t>
  </si>
  <si>
    <t>Sized on Lag, the start-up schedule is the headline one and D129 is checked against it, so the lag source (D310) is consistent. Sized on Growth, the start-up runs at a different DO from DO_lag_ref, so the bound D570 (no cathodic loss) is used: conservative for the DO and the hazard screen.</t>
  </si>
  <si>
    <t>H₂ to headspace — start-up</t>
  </si>
  <si>
    <t>H2_src_su</t>
  </si>
  <si>
    <t>As D572 for H₂ (D314, or the bound D571 net of anodic oxidation).</t>
  </si>
  <si>
    <t>Headspace O₂ inflow — start-up</t>
  </si>
  <si>
    <t>S_O2_su</t>
  </si>
  <si>
    <t>As D349 on the start-up source.</t>
  </si>
  <si>
    <t>Gas leaving between pulses — start-up</t>
  </si>
  <si>
    <t>F_gap_su</t>
  </si>
  <si>
    <t>As D353 on the start-up sources.</t>
  </si>
  <si>
    <t>DO excess to drive the surface flux — start-up</t>
  </si>
  <si>
    <t>DO_surf_excess_su</t>
  </si>
  <si>
    <t>As D181 on the start-up source.</t>
  </si>
  <si>
    <t>(import) H₂ lower flammability limit</t>
  </si>
  <si>
    <t>H2_LFL_mt</t>
  </si>
  <si>
    <t>Import from Biology!D80.</t>
  </si>
  <si>
    <t>(import) O₂ limit for the hazard screen (LOC × margin)</t>
  </si>
  <si>
    <t>O2_LOC_lim_mt</t>
  </si>
  <si>
    <t>Import from Biology!D81 × D82.</t>
  </si>
  <si>
    <t>Longest gap keeping start-up pre-pulse H₂ below the LFL</t>
  </si>
  <si>
    <t>t_gap_H2_su</t>
  </si>
  <si>
    <t>As Biology D90 on the start-up sources.</t>
  </si>
  <si>
    <t>Longest gap keeping start-up pre-pulse O₂ under the LOC margin</t>
  </si>
  <si>
    <t>t_gap_O2_su</t>
  </si>
  <si>
    <t>As Biology D91 on the start-up sources.</t>
  </si>
  <si>
    <t>Interval clearing the start-up hazard screen</t>
  </si>
  <si>
    <t>spg_int_H2safe_su</t>
  </si>
  <si>
    <t>As Biology D92 (either route suffices) on the start-up sources, pulse in use.</t>
  </si>
  <si>
    <t>Start-up hazard-screen interval on the optimal-pulse basis</t>
  </si>
  <si>
    <t>spg_int_H2safe_su_opt</t>
  </si>
  <si>
    <t>As D563 for D581.</t>
  </si>
  <si>
    <t>Legacy O₂ flush guard — start-up</t>
  </si>
  <si>
    <t>spg_int_max_su</t>
  </si>
  <si>
    <t>As D89 on the larger of its guard source and the start-up source (D572).</t>
  </si>
  <si>
    <t>Small-argument switch for Φ and Ψ (numerical)</t>
  </si>
  <si>
    <t>x_series</t>
  </si>
  <si>
    <t>Numerical, not a datum: below this x the exponential helpers Φ(x) = (1 − e^−x)/x and Ψ(x) = (x − 1 + e^−x)/x² (D333–D334, D355–D356, D377–D378, D551–D552, the grid columns E, F, N, O and D566–D568) use their Taylor series to x³, which are exact to ~1e-13 there, instead of the closed forms, which lose all precision as x → 0 (a near-zero vent flow).</t>
  </si>
  <si>
    <t>Value in use: one least-squares fit of current against intensity over every included point for the active reactor (pooled, so a run with more points weighs more).</t>
  </si>
  <si>
    <t>Value in use: average across included vials of the active reactor type (all vials of a type are nominally identical). Headspace and total volume feed the model; the volume-equivalent depth (D75) is reported for the geometry check only, because a tapered vial’s equivalent depth is not its physical depth.</t>
  </si>
  <si>
    <t>Volume-equivalent depth (computed)</t>
  </si>
  <si>
    <t>Value in use - volume-equivalent depth (body volume ÷ A_x; not the physical depth)</t>
  </si>
  <si>
    <t>Value in use: the bubble points of the most recent included runs for the active reactor are averaged first (D90) and then graded once (D89), so conflicting runs never average into a fractional grade; a pore size outside the listed DURAN classes is reported and the model keeps its default.</t>
  </si>
  <si>
    <t>Value in use - bubble point (mean of the latest included runs)</t>
  </si>
  <si>
    <t>kPa</t>
  </si>
  <si>
    <t>Value in use: each included run is reduced to O₂ per H₂ and CO₂ per H₂ (columns I–J), the ratios are averaged over the included runs for the active organism, and the model takes them on an H₂ basis of knall_H2_basis (D199), so a run’s size does not weight the result.</t>
  </si>
  <si>
    <t>O₂ per H₂ (computed)</t>
  </si>
  <si>
    <t>CO₂ per H₂ (computed)</t>
  </si>
  <si>
    <t>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</si>
  <si>
    <t>Electrode (Summary D3 list)</t>
  </si>
  <si>
    <t>Stir rate (rpm)</t>
  </si>
  <si>
    <t>Temp (°C)</t>
  </si>
  <si>
    <t>Limiting current (mA)</t>
  </si>
  <si>
    <t>Electrode area (cm²)</t>
  </si>
  <si>
    <t>Ferricyanide (mM)</t>
  </si>
  <si>
    <t>D ferricyanide (m²/s)</t>
  </si>
  <si>
    <t>k_m ferricyanide (computed, cm/s)</t>
  </si>
  <si>
    <t>k_m O₂ (computed, cm/s)</t>
  </si>
  <si>
    <t>Value in use - k_m O₂</t>
  </si>
  <si>
    <t>Value in use: average of the included runs for the active reactor and medium. Inverts the model’s own steady state B = min(C·kτ/(1+kτ), P·τ): τ = max(B/(k(C−B)), B/P), with k, C and P read from Chemistry D271, D47 and D315 at the run settings (none depends on τ). Feeds Chemistry tau_NH2Cl (D142).</t>
  </si>
  <si>
    <t>Medium</t>
  </si>
  <si>
    <t>Combined chlorine plateau (mg/L as Cl₂)</t>
  </si>
  <si>
    <t>Chloride turnover k (1/s, Chemistry D271)</t>
  </si>
  <si>
    <t>Chloride pool C (mol/L, Chemistry D47)</t>
  </si>
  <si>
    <t>Max production P (mol/L/s, Chemistry D315)</t>
  </si>
  <si>
    <t>Lifetime (computed, h)</t>
  </si>
  <si>
    <t>Value in use - monochloramine lifetime</t>
  </si>
  <si>
    <t>NAMED CONSTANTS AND IMPORTS (electrode mass transfer, monochloramine lifetime)</t>
  </si>
  <si>
    <t>Electrons per ferricyanide reduced</t>
  </si>
  <si>
    <t>n_e_fcn</t>
  </si>
  <si>
    <t>Fe(CN)₆³⁻ + e⁻ → Fe(CN)₆⁴⁻: a one-electron couple (protocols/electrode-mass-transfer.md).</t>
  </si>
  <si>
    <t>Temperature tolerance for a k_m run</t>
  </si>
  <si>
    <t>km_T_tol</t>
  </si>
  <si>
    <t>Design assumption: diffusivity and viscosity move ~2 %/K, so a run within ±1 °C of the Summary temperature is used as measured; others need a separate temperature correction.</t>
  </si>
  <si>
    <t>(import) Stirrer rate on Summary</t>
  </si>
  <si>
    <t>Import from Summary!D7 (stir_rpm_set)</t>
  </si>
  <si>
    <t>(import) Temperature setpoint on Summary</t>
  </si>
  <si>
    <t>Import from Summary!D8 (temp_C)</t>
  </si>
  <si>
    <t>(import) Medium selected on Summary</t>
  </si>
  <si>
    <t>Import from Summary!D5 (media_sel)</t>
  </si>
  <si>
    <t>(import) Electrode selected on Summary</t>
  </si>
  <si>
    <t>Import from Summary!D3 (electrode_sel)</t>
  </si>
  <si>
    <t>Import from Mass Transfer!D32 (D_O2)</t>
  </si>
  <si>
    <t>(import) Diffusivity exponent for k_m scaling</t>
  </si>
  <si>
    <t>Import from Electrochemistry!D84 (km_exp): the same Eisenberg scaling the model uses for every species.</t>
  </si>
  <si>
    <t>(import) Cl₂ molar mass</t>
  </si>
  <si>
    <t>Import from Chemistry!D223 (M_Cl2): DPD results are mg/L as Cl₂.</t>
  </si>
  <si>
    <t>(import) H₂ basis of the uptake ratio</t>
  </si>
  <si>
    <t>knall_H2_basis</t>
  </si>
  <si>
    <t>Import from Biology!D63 (knall_H2_default): the H₂ term of the default 6:2:1, so a measured ratio reads on the same scale.</t>
  </si>
  <si>
    <t>Sinter grade P0 upper bound</t>
  </si>
  <si>
    <t>por_p0_hi</t>
  </si>
  <si>
    <t>DURAN P0 160–250 µm (Mass Transfer E33): above this the frit is coarser than any listed grade.</t>
  </si>
  <si>
    <t>Sinter grade P5 upper bound</t>
  </si>
  <si>
    <t>por_p5_hi</t>
  </si>
  <si>
    <t>DURAN P5 1.0–1.6 µm (Mass Transfer E38); 1.6–10 µm falls between P5 and P4 and is not a listed grade.</t>
  </si>
  <si>
    <t>Sinter grade P5 lower bound</t>
  </si>
  <si>
    <t>por_p5_lo</t>
  </si>
  <si>
    <t>DURAN P5 1.0–1.6 µm (Mass Transfer E38).</t>
  </si>
  <si>
    <t>Total analytical phosphate from the two weighed salts.</t>
  </si>
  <si>
    <t>Strong cations minus sulfate; NH4 handled separately. Stock acid removes two equivalents per mole.</t>
  </si>
  <si>
    <t>Two ammonium ions per mole of ammonium sulfate.</t>
  </si>
  <si>
    <t>No chloride-bearing ingredient in the stated carbon-free recipe.</t>
  </si>
  <si>
    <t>Major-ion conductivity approximation; trace sulfate retained, trace cation mobilities/complexation omitted. Measure conductivity.</t>
  </si>
  <si>
    <t>As-weighed analytical ionic strength, not solved speciation. Includes complete trace salts and stock acid on this convention.</t>
  </si>
  <si>
    <t>SID = strong cations (Na⁺, K⁺, Mg²⁺, Ca²⁺) − strong anions (all sulfate), as MC02 (Chemistry D36); NH₄⁺ enters through NT. Sulfuric acid removes two equivalents per mole. Trace metal sulfates and molybdate cancel.</t>
  </si>
  <si>
    <t>Recipe tables above are calculated views. Edit the blue named inputs below; chemistry exports remain in rows 54–59.</t>
  </si>
  <si>
    <t>Defined name</t>
  </si>
  <si>
    <t>Source / confidence</t>
  </si>
  <si>
    <t>Disodium hydrogen phosphate – weighed concentration</t>
  </si>
  <si>
    <t>amy_Na2HPO4_gL</t>
  </si>
  <si>
    <t>Teo Reid, MRes Thesis, Table 2 / Medium section (PDF p10); nominal per litre of base. Rounded thesis values retained for comparison.</t>
  </si>
  <si>
    <t>Disodium hydrogen phosphate – molar mass</t>
  </si>
  <si>
    <t>amy_Na2HPO4_MW</t>
  </si>
  <si>
    <t>Formula molar mass, g/mol; hydrate state as stated in Teo Reid Table 2.</t>
  </si>
  <si>
    <t>Disodium hydrogen phosphate – thesis concentration</t>
  </si>
  <si>
    <t>amy_Na2HPO4_thesis_mM</t>
  </si>
  <si>
    <t>mmol/L</t>
  </si>
  <si>
    <t>Sodium dihydrogen phosphate dihydrate – weighed concentration</t>
  </si>
  <si>
    <t>amy_NaH2PO4_gL</t>
  </si>
  <si>
    <t>Sodium dihydrogen phosphate dihydrate – molar mass</t>
  </si>
  <si>
    <t>amy_NaH2PO4_MW</t>
  </si>
  <si>
    <t>Sodium dihydrogen phosphate dihydrate – thesis concentration</t>
  </si>
  <si>
    <t>amy_NaH2PO4_thesis_mM</t>
  </si>
  <si>
    <t>Potassium sulfate – weighed concentration</t>
  </si>
  <si>
    <t>amy_K2SO4_gL</t>
  </si>
  <si>
    <t>Potassium sulfate – molar mass</t>
  </si>
  <si>
    <t>amy_K2SO4_MW</t>
  </si>
  <si>
    <t>Potassium sulfate – thesis concentration</t>
  </si>
  <si>
    <t>amy_K2SO4_thesis_mM</t>
  </si>
  <si>
    <t>Calcium sulfate dihydrate – weighed concentration</t>
  </si>
  <si>
    <t>amy_CaSO4_gL</t>
  </si>
  <si>
    <t>Calcium sulfate dihydrate – molar mass</t>
  </si>
  <si>
    <t>amy_CaSO4_MW</t>
  </si>
  <si>
    <t>Calcium sulfate dihydrate – thesis concentration</t>
  </si>
  <si>
    <t>amy_CaSO4_thesis_mM</t>
  </si>
  <si>
    <t>Magnesium sulfate heptahydrate – weighed concentration</t>
  </si>
  <si>
    <t>amy_MgSO4_gL</t>
  </si>
  <si>
    <t>Magnesium sulfate heptahydrate – molar mass</t>
  </si>
  <si>
    <t>amy_MgSO4_MW</t>
  </si>
  <si>
    <t>Magnesium sulfate heptahydrate – thesis concentration</t>
  </si>
  <si>
    <t>amy_MgSO4_thesis_mM</t>
  </si>
  <si>
    <t>Ammonium sulfate – weighed concentration</t>
  </si>
  <si>
    <t>amy_NH4SO4_gL</t>
  </si>
  <si>
    <t>Ammonium sulfate – molar mass</t>
  </si>
  <si>
    <t>amy_NH4SO4_MW</t>
  </si>
  <si>
    <t>Ammonium sulfate – thesis concentration</t>
  </si>
  <si>
    <t>amy_NH4SO4_thesis_mM</t>
  </si>
  <si>
    <t>Sodium bicarbonate – weighed concentration</t>
  </si>
  <si>
    <t>amy_NaHCO3_gL</t>
  </si>
  <si>
    <t>Sodium bicarbonate – molar mass</t>
  </si>
  <si>
    <t>amy_NaHCO3_MW</t>
  </si>
  <si>
    <t>Sodium bicarbonate – thesis concentration</t>
  </si>
  <si>
    <t>amy_NaHCO3_thesis_mM</t>
  </si>
  <si>
    <t>Iron solution – dose / basis</t>
  </si>
  <si>
    <t>amy_Fe_dose</t>
  </si>
  <si>
    <t>mL/L</t>
  </si>
  <si>
    <t>Trace mineral solution – dose / basis</t>
  </si>
  <si>
    <t>amy_TM_dose</t>
  </si>
  <si>
    <t>Sodium gluconate solution – dose / basis</t>
  </si>
  <si>
    <t>amy_gluconate_stock_dose</t>
  </si>
  <si>
    <t>Model basis – dose / basis</t>
  </si>
  <si>
    <t>amy_organic_C_used</t>
  </si>
  <si>
    <t>Iron(II) sulfate heptahydrate – weighed concentration</t>
  </si>
  <si>
    <t>amy_FeSO4_gL</t>
  </si>
  <si>
    <t>Iron(II) sulfate heptahydrate – molar mass</t>
  </si>
  <si>
    <t>amy_FeSO4_MW</t>
  </si>
  <si>
    <t>Iron(II) sulfate heptahydrate – thesis final concentration</t>
  </si>
  <si>
    <t>amy_FeSO4_thesis_final</t>
  </si>
  <si>
    <t>µmol/L</t>
  </si>
  <si>
    <t>Iron(II) sulfate heptahydrate – thesis stock concentration</t>
  </si>
  <si>
    <t>amy_FeSO4_thesis_stock</t>
  </si>
  <si>
    <t>Sulfuric acid – molar mass</t>
  </si>
  <si>
    <t>amy_Fe_acid_MW</t>
  </si>
  <si>
    <t>Sulfuric acid – stock concentration</t>
  </si>
  <si>
    <t>amy_Fe_acid_mM</t>
  </si>
  <si>
    <t>Sulfuric acid – thesis final concentration</t>
  </si>
  <si>
    <t>amy_Fe_acid_thesis_final</t>
  </si>
  <si>
    <t>Sulfuric acid – thesis stock concentration</t>
  </si>
  <si>
    <t>amy_Fe_acid_thesis_stock</t>
  </si>
  <si>
    <t>Sodium molybdate dihydrate – weighed concentration</t>
  </si>
  <si>
    <t>amy_Na2MoO4_gL</t>
  </si>
  <si>
    <t>Sodium molybdate dihydrate – molar mass</t>
  </si>
  <si>
    <t>amy_Na2MoO4_MW</t>
  </si>
  <si>
    <t>Sodium molybdate dihydrate – thesis final concentration</t>
  </si>
  <si>
    <t>amy_Na2MoO4_thesis_final</t>
  </si>
  <si>
    <t>Sodium molybdate dihydrate – thesis stock concentration</t>
  </si>
  <si>
    <t>amy_Na2MoO4_thesis_stock</t>
  </si>
  <si>
    <t>Zinc sulfate heptahydrate – weighed concentration</t>
  </si>
  <si>
    <t>amy_ZnSO4_gL</t>
  </si>
  <si>
    <t>Zinc sulfate heptahydrate – molar mass</t>
  </si>
  <si>
    <t>amy_ZnSO4_MW</t>
  </si>
  <si>
    <t>Zinc sulfate heptahydrate – thesis final concentration</t>
  </si>
  <si>
    <t>amy_ZnSO4_thesis_final</t>
  </si>
  <si>
    <t>Zinc sulfate heptahydrate – thesis stock concentration</t>
  </si>
  <si>
    <t>amy_ZnSO4_thesis_stock</t>
  </si>
  <si>
    <t>Manganese(II) sulfate monohydrate – weighed concentration</t>
  </si>
  <si>
    <t>amy_MnSO4_gL</t>
  </si>
  <si>
    <t>Manganese(II) sulfate monohydrate – molar mass</t>
  </si>
  <si>
    <t>amy_MnSO4_MW</t>
  </si>
  <si>
    <t>Manganese(II) sulfate monohydrate – thesis final concentration</t>
  </si>
  <si>
    <t>amy_MnSO4_thesis_final</t>
  </si>
  <si>
    <t>Manganese(II) sulfate monohydrate – thesis stock concentration</t>
  </si>
  <si>
    <t>amy_MnSO4_thesis_stock</t>
  </si>
  <si>
    <t>Copper(II) sulfate pentahydrate – weighed concentration</t>
  </si>
  <si>
    <t>amy_CuSO4_gL</t>
  </si>
  <si>
    <t>Copper(II) sulfate pentahydrate – molar mass</t>
  </si>
  <si>
    <t>amy_CuSO4_MW</t>
  </si>
  <si>
    <t>Copper(II) sulfate pentahydrate – thesis final concentration</t>
  </si>
  <si>
    <t>amy_CuSO4_thesis_final</t>
  </si>
  <si>
    <t>Copper(II) sulfate pentahydrate – thesis stock concentration</t>
  </si>
  <si>
    <t>amy_CuSO4_thesis_stock</t>
  </si>
  <si>
    <t>Nickel(II) sulfate hexahydrate – weighed concentration</t>
  </si>
  <si>
    <t>amy_NiSO4_gL</t>
  </si>
  <si>
    <t>Nickel(II) sulfate hexahydrate – molar mass</t>
  </si>
  <si>
    <t>amy_NiSO4_MW</t>
  </si>
  <si>
    <t>Nickel(II) sulfate hexahydrate – thesis final concentration</t>
  </si>
  <si>
    <t>amy_NiSO4_thesis_final</t>
  </si>
  <si>
    <t>Nickel(II) sulfate hexahydrate – thesis stock concentration</t>
  </si>
  <si>
    <t>amy_NiSO4_thesis_stock</t>
  </si>
  <si>
    <t>Cobalt(II) sulfate heptahydrate – weighed concentration</t>
  </si>
  <si>
    <t>amy_CoSO4_gL</t>
  </si>
  <si>
    <t>Cobalt(II) sulfate heptahydrate – molar mass</t>
  </si>
  <si>
    <t>amy_CoSO4_MW</t>
  </si>
  <si>
    <t>Cobalt(II) sulfate heptahydrate – thesis final concentration</t>
  </si>
  <si>
    <t>amy_CoSO4_thesis_final</t>
  </si>
  <si>
    <t>Cobalt(II) sulfate heptahydrate – thesis stock concentration</t>
  </si>
  <si>
    <t>amy_CoSO4_thesis_stock</t>
  </si>
  <si>
    <t>amy_TM_acid_MW</t>
  </si>
  <si>
    <t>amy_TM_acid_mM</t>
  </si>
  <si>
    <t>amy_TM_acid_thesis_final</t>
  </si>
  <si>
    <t>amy_TM_acid_thesis_stock</t>
  </si>
  <si>
    <t>Sodium gluconate – weighed concentration</t>
  </si>
  <si>
    <t>amy_gluconate_gL</t>
  </si>
  <si>
    <t>Sodium gluconate – molar mass</t>
  </si>
  <si>
    <t>amy_gluconate_MW</t>
  </si>
  <si>
    <t>Sodium gluconate – thesis final concentration</t>
  </si>
  <si>
    <t>amy_gluconate_thesis_final</t>
  </si>
  <si>
    <t>Sodium gluconate – thesis stock concentration</t>
  </si>
  <si>
    <t>amy_gluconate_thesis_stock</t>
  </si>
  <si>
    <t>blue bold = input you set/measure</t>
  </si>
  <si>
    <t>named range / cell reference</t>
  </si>
  <si>
    <t>Experiments to improve accuracy</t>
  </si>
  <si>
    <t>SUBHEADING</t>
  </si>
  <si>
    <t>Heading</t>
  </si>
  <si>
    <t>Model Improvements</t>
  </si>
  <si>
    <t>Pulse length - from the shortest reliable pulse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</si>
</sst>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 numFmtId="174" formatCode="0.000E+00"/>
    <numFmt numFmtId="175" formatCode="0.00"/>
    <numFmt numFmtId="176" formatCode="#,##0"/>
    <numFmt numFmtId="177" formatCode="yyyy-mm-dd"/>
  </numFmts>
  <fonts count="62"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rgb="FF000000"/>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color rgb="FF000000"/>
      <name val="Calibri"/>
      <family val="2"/>
    </font>
    <font>
      <b/>
      <sz val="11"/>
      <color rgb="FF0000FF"/>
      <name val="Calibri"/>
      <family val="2"/>
      <charset val="1"/>
    </font>
    <font>
      <sz val="8"/>
      <color rgb="FF000000"/>
      <name val="Arial"/>
      <family val="2"/>
    </font>
    <font>
      <b/>
      <sz val="10"/>
      <color rgb="FF0000FF"/>
      <name val="Arial"/>
      <family val="2"/>
    </font>
    <font>
      <b/>
      <sz val="10"/>
      <color rgb="FF000000"/>
      <name val="Arial"/>
      <family val="2"/>
    </font>
    <font>
      <sz val="9"/>
      <color rgb="FF000000"/>
      <name val="Calibri"/>
      <family val="2"/>
    </font>
    <font>
      <sz val="11"/>
      <color rgb="FF000000"/>
      <name val="Calibri"/>
      <family val="2"/>
      <charset val="1"/>
    </font>
    <font>
      <sz val="11"/>
      <color rgb="FF000000"/>
      <name val="Calibri"/>
      <family val="2"/>
      <charset val="1"/>
    </font>
    <font>
      <b/>
      <sz val="11"/>
      <color rgb="FF0000FF"/>
      <name val="Calibri"/>
      <family val="2"/>
      <charset val="1"/>
    </font>
    <font>
      <sz val="11"/>
      <color theme="0"/>
      <name val="Calibri"/>
      <family val="2"/>
    </font>
    <font>
      <sz val="9"/>
      <color theme="1"/>
      <name val="Calibri"/>
      <family val="2"/>
    </font>
    <font>
      <sz val="9"/>
      <color theme="0"/>
      <name val="Calibri"/>
      <family val="2"/>
    </font>
    <font>
      <sz val="9"/>
      <color theme="3"/>
      <name val="Calibri"/>
      <family val="2"/>
    </font>
    <font>
      <u/>
      <sz val="9"/>
      <color theme="0"/>
      <name val="Calibri"/>
      <family val="2"/>
    </font>
    <font>
      <b/>
      <u/>
      <sz val="9"/>
      <color rgb="FFFFFFFF"/>
      <name val="Calibri"/>
      <family val="2"/>
    </font>
  </fonts>
  <fills count="27">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none"/>
    </fill>
    <fill>
      <patternFill patternType="solid">
        <fgColor rgb="FF4472C4"/>
      </patternFill>
    </fill>
    <fill>
      <patternFill patternType="solid">
        <fgColor theme="5"/>
        <bgColor indexed="64"/>
      </patternFill>
    </fill>
    <fill>
      <patternFill patternType="solid">
        <fgColor theme="9" tint="-0.249977111117893"/>
        <bgColor indexed="64"/>
      </patternFill>
    </fill>
    <fill>
      <patternFill patternType="solid">
        <fgColor rgb="FFFFC000"/>
        <bgColor indexed="64"/>
      </patternFill>
    </fill>
    <fill>
      <patternFill patternType="solid">
        <fgColor theme="8" tint="0.59999389629810485"/>
        <bgColor indexed="64"/>
      </patternFill>
    </fill>
    <fill>
      <patternFill patternType="solid">
        <fgColor theme="3" tint="0.59999389629810485"/>
        <bgColor indexed="64"/>
      </patternFill>
    </fill>
    <fill>
      <patternFill patternType="solid">
        <fgColor theme="4" tint="0.39997558519241921"/>
        <bgColor indexed="6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3" fillId="8" borderId="11"/>
    <xf numFmtId="0" fontId="24" fillId="10" borderId="11"/>
    <xf numFmtId="0" fontId="25" fillId="16" borderId="11"/>
    <xf numFmtId="44" fontId="46" fillId="0" borderId="0" applyFont="0" applyFill="0" applyBorder="0" applyAlignment="0" applyProtection="0"/>
  </cellStyleXfs>
  <cellXfs count="344">
    <xf numFmtId="0" fontId="0" fillId="0" borderId="0" xfId="0" applyBorder="1"/>
    <xf numFmtId="0" fontId="10" fillId="0" borderId="0" xfId="0" applyFont="1" applyBorder="1"/>
    <xf numFmtId="0" fontId="15" fillId="0" borderId="0" xfId="0" applyFont="1" applyBorder="1"/>
    <xf numFmtId="0" fontId="0" fillId="0" borderId="1" xfId="0" applyBorder="1"/>
    <xf numFmtId="0" fontId="7" fillId="0" borderId="1" xfId="0" applyFont="1" applyBorder="1"/>
    <xf numFmtId="0" fontId="8" fillId="12" borderId="1" xfId="0" applyFont="1" applyFill="1" applyBorder="1"/>
    <xf numFmtId="0" fontId="17"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8" fillId="0" borderId="1" xfId="0" applyFont="1" applyBorder="1"/>
    <xf numFmtId="0" fontId="19"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6" fillId="0" borderId="3" xfId="0" applyFont="1" applyBorder="1"/>
    <xf numFmtId="0" fontId="21" fillId="0" borderId="4" xfId="0" applyFont="1" applyBorder="1"/>
    <xf numFmtId="0" fontId="14" fillId="0" borderId="3" xfId="0" applyFont="1" applyBorder="1"/>
    <xf numFmtId="0" fontId="11" fillId="0" borderId="3" xfId="0" applyFont="1" applyBorder="1"/>
    <xf numFmtId="0" fontId="11" fillId="10" borderId="3" xfId="0" applyFont="1" applyFill="1" applyBorder="1"/>
    <xf numFmtId="0" fontId="12" fillId="0" borderId="3" xfId="0" applyFont="1" applyBorder="1"/>
    <xf numFmtId="0" fontId="8" fillId="15" borderId="3" xfId="0" applyFont="1" applyFill="1" applyBorder="1"/>
    <xf numFmtId="0" fontId="20" fillId="0" borderId="3" xfId="0" applyFont="1" applyBorder="1"/>
    <xf numFmtId="0" fontId="4" fillId="3" borderId="3" xfId="0" applyFont="1" applyFill="1" applyBorder="1" applyAlignment="1">
      <alignment vertical="top" wrapText="1"/>
    </xf>
    <xf numFmtId="0" fontId="21" fillId="0" borderId="8" xfId="0" applyFont="1" applyBorder="1"/>
    <xf numFmtId="0" fontId="4" fillId="5" borderId="3" xfId="0" applyFont="1" applyFill="1" applyBorder="1" applyAlignment="1">
      <alignment vertical="top" wrapText="1"/>
    </xf>
    <xf numFmtId="2" fontId="22" fillId="0" borderId="3" xfId="0" applyNumberFormat="1" applyFont="1" applyBorder="1"/>
    <xf numFmtId="165" fontId="22" fillId="0" borderId="3" xfId="0" applyNumberFormat="1" applyFont="1" applyBorder="1"/>
    <xf numFmtId="166" fontId="22" fillId="0" borderId="3" xfId="0" applyNumberFormat="1" applyFont="1" applyBorder="1"/>
    <xf numFmtId="167" fontId="22" fillId="0" borderId="3" xfId="0" applyNumberFormat="1" applyFont="1" applyBorder="1"/>
    <xf numFmtId="168" fontId="22"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2" fillId="0" borderId="3" xfId="0" applyFont="1" applyBorder="1"/>
    <xf numFmtId="0" fontId="0" fillId="10" borderId="3" xfId="0" applyFill="1" applyBorder="1"/>
    <xf numFmtId="168" fontId="5" fillId="0" borderId="3" xfId="0" applyNumberFormat="1" applyFont="1" applyBorder="1"/>
    <xf numFmtId="165" fontId="21" fillId="0" borderId="8" xfId="0" applyNumberFormat="1" applyFont="1" applyBorder="1"/>
    <xf numFmtId="170" fontId="22"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2" fillId="0" borderId="3" xfId="0" applyNumberFormat="1" applyFont="1" applyBorder="1"/>
    <xf numFmtId="0" fontId="0" fillId="9" borderId="3" xfId="0" applyFill="1" applyBorder="1"/>
    <xf numFmtId="0" fontId="26" fillId="8" borderId="3" xfId="1" applyFont="1" applyBorder="1"/>
    <xf numFmtId="0" fontId="27" fillId="0" borderId="3" xfId="0" applyFont="1" applyBorder="1"/>
    <xf numFmtId="0" fontId="27" fillId="0" borderId="10" xfId="0" applyFont="1" applyBorder="1"/>
    <xf numFmtId="0" fontId="28" fillId="0" borderId="3" xfId="0" applyFont="1" applyBorder="1"/>
    <xf numFmtId="0" fontId="27" fillId="0" borderId="12" xfId="0" applyFont="1" applyBorder="1"/>
    <xf numFmtId="0" fontId="27" fillId="0" borderId="13" xfId="0" applyFont="1" applyBorder="1"/>
    <xf numFmtId="0" fontId="27" fillId="0" borderId="14" xfId="0" applyFont="1" applyBorder="1"/>
    <xf numFmtId="0" fontId="0" fillId="0" borderId="11" xfId="0"/>
    <xf numFmtId="0" fontId="28" fillId="9" borderId="3" xfId="0" applyFont="1" applyFill="1" applyBorder="1"/>
    <xf numFmtId="0" fontId="4" fillId="17" borderId="3" xfId="0" applyFont="1" applyFill="1" applyBorder="1" applyAlignment="1">
      <alignment vertical="top" wrapText="1"/>
    </xf>
    <xf numFmtId="0" fontId="29" fillId="0" borderId="3" xfId="0" applyFont="1" applyBorder="1"/>
    <xf numFmtId="0" fontId="30" fillId="0" borderId="3" xfId="0" applyFont="1" applyBorder="1"/>
    <xf numFmtId="0" fontId="31" fillId="0" borderId="3" xfId="0" applyFont="1" applyBorder="1"/>
    <xf numFmtId="0" fontId="32" fillId="0" borderId="3" xfId="0" applyFont="1" applyBorder="1"/>
    <xf numFmtId="165" fontId="32" fillId="0" borderId="3" xfId="0" applyNumberFormat="1" applyFont="1" applyBorder="1"/>
    <xf numFmtId="0" fontId="29" fillId="3" borderId="3" xfId="0" applyFont="1" applyFill="1" applyBorder="1" applyAlignment="1">
      <alignment vertical="top" wrapText="1"/>
    </xf>
    <xf numFmtId="0" fontId="29" fillId="2" borderId="3" xfId="0" applyFont="1" applyFill="1" applyBorder="1" applyAlignment="1">
      <alignment vertical="top" wrapText="1"/>
    </xf>
    <xf numFmtId="0" fontId="29" fillId="7" borderId="3" xfId="0" applyFont="1" applyFill="1" applyBorder="1" applyAlignment="1">
      <alignment vertical="top" wrapText="1"/>
    </xf>
    <xf numFmtId="0" fontId="29" fillId="5" borderId="3" xfId="0" applyFont="1" applyFill="1" applyBorder="1" applyAlignment="1">
      <alignment vertical="top" wrapText="1"/>
    </xf>
    <xf numFmtId="0" fontId="29" fillId="6" borderId="3" xfId="0" applyFont="1" applyFill="1" applyBorder="1" applyAlignment="1">
      <alignment vertical="top" wrapText="1"/>
    </xf>
    <xf numFmtId="0" fontId="33" fillId="0" borderId="3" xfId="0" applyFont="1" applyBorder="1"/>
    <xf numFmtId="0" fontId="29" fillId="9" borderId="3" xfId="0" applyFont="1" applyFill="1" applyBorder="1" applyAlignment="1">
      <alignment vertical="top" wrapText="1"/>
    </xf>
    <xf numFmtId="0" fontId="29" fillId="17" borderId="3" xfId="0" applyFont="1" applyFill="1" applyBorder="1" applyAlignment="1">
      <alignment vertical="top" wrapText="1"/>
    </xf>
    <xf numFmtId="0" fontId="29" fillId="4" borderId="3" xfId="0" applyFont="1" applyFill="1" applyBorder="1" applyAlignment="1">
      <alignment vertical="top" wrapText="1"/>
    </xf>
    <xf numFmtId="0" fontId="29" fillId="11" borderId="3" xfId="0" applyFont="1" applyFill="1" applyBorder="1" applyAlignment="1">
      <alignment vertical="top" wrapText="1"/>
    </xf>
    <xf numFmtId="170" fontId="22" fillId="0" borderId="11" xfId="0" applyNumberFormat="1" applyFont="1"/>
    <xf numFmtId="165" fontId="27" fillId="0" borderId="15" xfId="0" applyNumberFormat="1" applyFont="1" applyBorder="1"/>
    <xf numFmtId="1" fontId="21" fillId="0" borderId="11" xfId="0" applyNumberFormat="1" applyFont="1"/>
    <xf numFmtId="168" fontId="32" fillId="0" borderId="11" xfId="0" applyNumberFormat="1" applyFont="1"/>
    <xf numFmtId="168" fontId="22"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2" fillId="18" borderId="11" xfId="0" applyNumberFormat="1" applyFont="1" applyFill="1"/>
    <xf numFmtId="0" fontId="0" fillId="8" borderId="3" xfId="0" applyFill="1" applyBorder="1"/>
    <xf numFmtId="0" fontId="11" fillId="0" borderId="8" xfId="0" applyFont="1" applyBorder="1"/>
    <xf numFmtId="0" fontId="14" fillId="8" borderId="3" xfId="0" applyFont="1" applyFill="1" applyBorder="1"/>
    <xf numFmtId="0" fontId="34" fillId="0" borderId="3" xfId="0" applyFont="1" applyBorder="1"/>
    <xf numFmtId="2" fontId="34" fillId="0" borderId="3" xfId="0" applyNumberFormat="1" applyFont="1" applyBorder="1"/>
    <xf numFmtId="165" fontId="34"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5" fillId="0" borderId="3" xfId="0" applyNumberFormat="1" applyFont="1" applyBorder="1"/>
    <xf numFmtId="169" fontId="35" fillId="0" borderId="3" xfId="0" applyNumberFormat="1" applyFont="1" applyBorder="1"/>
    <xf numFmtId="0" fontId="35" fillId="0" borderId="3" xfId="0" applyFont="1" applyBorder="1"/>
    <xf numFmtId="0" fontId="29"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5" fillId="0" borderId="3" xfId="0" applyNumberFormat="1" applyFont="1" applyBorder="1"/>
    <xf numFmtId="168" fontId="11" fillId="0" borderId="5" xfId="0" applyNumberFormat="1" applyFont="1" applyBorder="1"/>
    <xf numFmtId="165" fontId="35" fillId="0" borderId="3" xfId="0" applyNumberFormat="1" applyFont="1" applyBorder="1"/>
    <xf numFmtId="2" fontId="35" fillId="0" borderId="3" xfId="0" applyNumberFormat="1" applyFont="1" applyBorder="1"/>
    <xf numFmtId="166" fontId="35"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6" fillId="0" borderId="3" xfId="0" applyFont="1" applyBorder="1"/>
    <xf numFmtId="0" fontId="11" fillId="0" borderId="9" xfId="0" applyFont="1" applyBorder="1"/>
    <xf numFmtId="0" fontId="37" fillId="0" borderId="11" xfId="0" applyFont="1"/>
    <xf numFmtId="0" fontId="38" fillId="0" borderId="11" xfId="0" applyFont="1"/>
    <xf numFmtId="0" fontId="0" fillId="8" borderId="11" xfId="0" applyFill="1"/>
    <xf numFmtId="0" fontId="39" fillId="0" borderId="3" xfId="0" applyFont="1" applyBorder="1"/>
    <xf numFmtId="0" fontId="40" fillId="0" borderId="3" xfId="0" applyFont="1" applyBorder="1"/>
    <xf numFmtId="0" fontId="41" fillId="5" borderId="3" xfId="0" applyFont="1" applyFill="1" applyBorder="1" applyAlignment="1">
      <alignment vertical="top" wrapText="1"/>
    </xf>
    <xf numFmtId="0" fontId="41" fillId="2" borderId="3" xfId="0" applyFont="1" applyFill="1" applyBorder="1" applyAlignment="1">
      <alignment vertical="top" wrapText="1"/>
    </xf>
    <xf numFmtId="0" fontId="41" fillId="17" borderId="3" xfId="0" applyFont="1" applyFill="1" applyBorder="1" applyAlignment="1">
      <alignment vertical="top" wrapText="1"/>
    </xf>
    <xf numFmtId="0" fontId="40" fillId="8" borderId="3" xfId="0" applyFont="1" applyFill="1" applyBorder="1"/>
    <xf numFmtId="0" fontId="41" fillId="6" borderId="3" xfId="0" applyFont="1" applyFill="1" applyBorder="1" applyAlignment="1">
      <alignment vertical="top" wrapText="1"/>
    </xf>
    <xf numFmtId="0" fontId="41" fillId="3" borderId="3" xfId="0" applyFont="1" applyFill="1" applyBorder="1" applyAlignment="1">
      <alignment vertical="top" wrapText="1"/>
    </xf>
    <xf numFmtId="0" fontId="42" fillId="19" borderId="16" xfId="4" applyNumberFormat="1" applyFont="1" applyFill="1" applyBorder="1"/>
    <xf numFmtId="172" fontId="42" fillId="19" borderId="16" xfId="4" applyNumberFormat="1" applyFont="1" applyFill="1" applyBorder="1"/>
    <xf numFmtId="0" fontId="43" fillId="19" borderId="16" xfId="4" applyNumberFormat="1" applyFont="1" applyFill="1" applyBorder="1"/>
    <xf numFmtId="0" fontId="44" fillId="20" borderId="16" xfId="4" applyNumberFormat="1" applyFont="1" applyFill="1" applyBorder="1"/>
    <xf numFmtId="0" fontId="44" fillId="20" borderId="16" xfId="4" applyNumberFormat="1" applyFont="1" applyFill="1" applyBorder="1" applyAlignment="1">
      <alignment wrapText="1"/>
    </xf>
    <xf numFmtId="172" fontId="44" fillId="20" borderId="16" xfId="4" applyNumberFormat="1" applyFont="1" applyFill="1" applyBorder="1" applyAlignment="1">
      <alignment wrapText="1"/>
    </xf>
    <xf numFmtId="173" fontId="42" fillId="19" borderId="16" xfId="4" applyNumberFormat="1" applyFont="1" applyFill="1" applyBorder="1"/>
    <xf numFmtId="173" fontId="44" fillId="20" borderId="16" xfId="4" applyNumberFormat="1" applyFont="1" applyFill="1" applyBorder="1"/>
    <xf numFmtId="173" fontId="44" fillId="20" borderId="16" xfId="4" applyNumberFormat="1" applyFont="1" applyFill="1" applyBorder="1" applyAlignment="1">
      <alignment wrapText="1"/>
    </xf>
    <xf numFmtId="0" fontId="45" fillId="19" borderId="16" xfId="4" applyNumberFormat="1" applyFont="1" applyFill="1" applyBorder="1"/>
    <xf numFmtId="0" fontId="48" fillId="0" borderId="3" xfId="0" applyFont="1" applyBorder="1"/>
    <xf numFmtId="0" fontId="48" fillId="10" borderId="3" xfId="0" applyFont="1" applyFill="1" applyBorder="1"/>
    <xf numFmtId="0" fontId="49" fillId="4" borderId="3" xfId="0" applyFont="1" applyFill="1" applyBorder="1" applyAlignment="1">
      <alignment vertical="top" wrapText="1"/>
    </xf>
    <xf numFmtId="0" fontId="49" fillId="7" borderId="3" xfId="0" applyFont="1" applyFill="1" applyBorder="1" applyAlignment="1">
      <alignment vertical="top" wrapText="1"/>
    </xf>
    <xf numFmtId="0" fontId="50" fillId="0" borderId="3" xfId="0" applyFont="1" applyBorder="1"/>
    <xf numFmtId="0" fontId="51" fillId="0" borderId="3" xfId="0" applyFont="1" applyBorder="1"/>
    <xf numFmtId="0" fontId="52" fillId="17" borderId="3" xfId="0" applyFont="1" applyFill="1" applyBorder="1" applyAlignment="1">
      <alignment vertical="top" wrapText="1"/>
    </xf>
    <xf numFmtId="0" fontId="53" fillId="0" borderId="3" xfId="0" applyFont="1" applyBorder="1"/>
    <xf numFmtId="14" fontId="48" fillId="0" borderId="1" xfId="0" applyNumberFormat="1" applyFont="1" applyBorder="1"/>
    <xf numFmtId="0" fontId="48" fillId="0" borderId="1" xfId="0" applyFont="1" applyBorder="1"/>
    <xf numFmtId="0" fontId="54" fillId="14" borderId="1" xfId="0" applyFont="1" applyFill="1" applyBorder="1"/>
    <xf numFmtId="0" fontId="55" fillId="14" borderId="1" xfId="0" applyFont="1" applyFill="1" applyBorder="1"/>
    <xf numFmtId="0" fontId="53" fillId="0" borderId="1" xfId="0" applyFont="1" applyBorder="1"/>
    <xf numFmtId="0" fontId="54" fillId="13" borderId="1" xfId="0" applyFont="1" applyFill="1" applyBorder="1"/>
    <xf numFmtId="0" fontId="53" fillId="18" borderId="11" xfId="0" applyFont="1" applyFill="1"/>
    <xf numFmtId="0" fontId="27" fillId="0" borderId="10" xfId="0" applyFont="1" applyBorder="1" applyAlignment="1">
      <alignment vertical="top" wrapText="1"/>
    </xf>
    <xf numFmtId="0" fontId="27" fillId="0" borderId="12" xfId="0" applyFont="1" applyBorder="1" applyAlignment="1">
      <alignment vertical="top" wrapText="1"/>
    </xf>
    <xf numFmtId="0" fontId="27" fillId="0" borderId="13" xfId="0" applyFont="1" applyBorder="1" applyAlignment="1">
      <alignment vertical="top" wrapText="1"/>
    </xf>
    <xf numFmtId="0" fontId="11" fillId="0" borderId="4" xfId="0" applyFont="1" applyBorder="1" applyAlignment="1">
      <alignment vertical="top" wrapText="1"/>
    </xf>
    <xf numFmtId="0" fontId="21" fillId="0" borderId="4" xfId="0" applyFont="1" applyBorder="1" applyAlignment="1">
      <alignment vertical="top" wrapText="1"/>
    </xf>
    <xf numFmtId="0" fontId="16" fillId="0" borderId="3" xfId="0" applyFont="1" applyBorder="1" applyAlignment="1">
      <alignment vertical="top" wrapText="1"/>
    </xf>
    <xf numFmtId="0" fontId="47" fillId="0" borderId="3" xfId="0" applyFont="1" applyBorder="1" applyAlignment="1">
      <alignment vertical="top" wrapText="1"/>
    </xf>
    <xf numFmtId="0" fontId="0" fillId="0" borderId="0" xfId="0" applyBorder="1" applyAlignment="1">
      <alignment vertical="top" wrapText="1"/>
    </xf>
    <xf numFmtId="0" fontId="0" fillId="0" borderId="3" xfId="0" applyBorder="1" applyAlignment="1">
      <alignment vertical="top" wrapText="1"/>
    </xf>
    <xf numFmtId="0" fontId="27" fillId="0" borderId="3" xfId="0" applyFont="1" applyBorder="1" applyAlignment="1">
      <alignment vertical="top" wrapText="1"/>
    </xf>
    <xf numFmtId="0" fontId="42" fillId="19" borderId="16" xfId="0" applyFont="1" applyFill="1" applyBorder="1" applyAlignment="1">
      <alignment wrapText="1"/>
    </xf>
    <xf numFmtId="0" fontId="0" fillId="0" borderId="0" xfId="0" applyBorder="1"/>
    <xf numFmtId="0" fontId="41" fillId="2" borderId="3" xfId="0" applyFont="1" applyFill="1" applyBorder="1" applyAlignment="1">
      <alignment vertical="top" wrapText="1"/>
    </xf>
    <xf numFmtId="0" fontId="42" fillId="19" borderId="16" xfId="4" applyNumberFormat="1" applyFont="1" applyFill="1" applyBorder="1"/>
    <xf numFmtId="0" fontId="4" fillId="4" borderId="3" xfId="0" applyFont="1" applyFill="1" applyBorder="1" applyAlignment="1">
      <alignment vertical="top" wrapText="1"/>
    </xf>
    <xf numFmtId="0" fontId="0" fillId="0" borderId="16" xfId="0" applyBorder="1"/>
    <xf numFmtId="0" fontId="16" fillId="0" borderId="16" xfId="0" applyFont="1" applyBorder="1" applyAlignment="1">
      <alignment vertical="top" wrapText="1"/>
    </xf>
    <xf numFmtId="0" fontId="14" fillId="0" borderId="16" xfId="0" applyFont="1" applyBorder="1"/>
    <xf numFmtId="0" fontId="27" fillId="0" borderId="16" xfId="0" applyFont="1" applyBorder="1" applyAlignment="1">
      <alignment vertical="top" wrapText="1"/>
    </xf>
    <xf numFmtId="0" fontId="2" fillId="0" borderId="16" xfId="0" applyFont="1" applyBorder="1"/>
    <xf numFmtId="0" fontId="24" fillId="10" borderId="16" xfId="2" applyBorder="1"/>
    <xf numFmtId="0" fontId="25" fillId="16" borderId="16" xfId="3" applyBorder="1"/>
    <xf numFmtId="0" fontId="23" fillId="8" borderId="16" xfId="1" applyBorder="1"/>
    <xf numFmtId="0" fontId="56" fillId="21" borderId="3" xfId="0" applyFont="1" applyFill="1" applyBorder="1"/>
    <xf numFmtId="0" fontId="56" fillId="22" borderId="3" xfId="0" applyFont="1" applyFill="1" applyBorder="1"/>
    <xf numFmtId="0" fontId="9" fillId="23" borderId="3" xfId="0" applyFont="1" applyFill="1" applyBorder="1"/>
    <xf numFmtId="0" fontId="0" fillId="24" borderId="3" xfId="0" applyFill="1" applyBorder="1"/>
    <xf numFmtId="0" fontId="0" fillId="25" borderId="3" xfId="0" applyFill="1" applyBorder="1" applyAlignment="1">
      <alignment vertical="top" wrapText="1"/>
    </xf>
    <xf numFmtId="0" fontId="8" fillId="26" borderId="1" xfId="0" applyFont="1" applyFill="1" applyBorder="1"/>
    <xf numFmtId="0" fontId="54" fillId="0" borderId="1" xfId="0" applyFont="1" applyFill="1" applyBorder="1"/>
    <xf numFmtId="0" fontId="8" fillId="12" borderId="0" xfId="0" applyFont="1" applyFill="1" applyBorder="1"/>
    <xf numFmtId="0" fontId="8" fillId="26" borderId="0" xfId="0" applyFont="1" applyFill="1" applyBorder="1"/>
    <xf numFmtId="0" fontId="8" fillId="26" borderId="0" xfId="0" applyFont="1" applyFill="1" applyBorder="1" applyAlignment="1">
      <alignment vertical="top" wrapText="1"/>
    </xf>
    <xf numFmtId="0" fontId="15" fillId="0" borderId="0" xfId="0" applyFont="1" applyFill="1" applyBorder="1"/>
    <xf numFmtId="0" fontId="2" fillId="0" borderId="0" xfId="0" applyFont="1" applyFill="1" applyBorder="1"/>
    <xf numFmtId="0" fontId="11" fillId="0" borderId="0" xfId="0" applyFont="1" applyFill="1" applyBorder="1"/>
    <xf numFmtId="0" fontId="14" fillId="25" borderId="0" xfId="0" applyFont="1" applyFill="1" applyBorder="1"/>
    <xf numFmtId="2" fontId="11" fillId="0" borderId="0" xfId="0" applyNumberFormat="1" applyFont="1" applyFill="1" applyBorder="1"/>
    <xf numFmtId="0" fontId="57" fillId="25" borderId="0" xfId="0" applyFont="1" applyFill="1" applyBorder="1" applyAlignment="1">
      <alignment vertical="top" wrapText="1"/>
    </xf>
    <xf numFmtId="0" fontId="36" fillId="0" borderId="0" xfId="0" applyFont="1" applyFill="1" applyBorder="1"/>
    <xf numFmtId="0" fontId="58" fillId="22" borderId="0" xfId="0" applyFont="1" applyFill="1" applyBorder="1" applyAlignment="1">
      <alignment vertical="top" wrapText="1"/>
    </xf>
    <xf numFmtId="165" fontId="11" fillId="0" borderId="0" xfId="0" applyNumberFormat="1" applyFont="1" applyFill="1" applyBorder="1"/>
    <xf numFmtId="0" fontId="59" fillId="9" borderId="0" xfId="0" applyFont="1" applyFill="1" applyBorder="1" applyAlignment="1">
      <alignment vertical="top" wrapText="1"/>
    </xf>
    <xf numFmtId="166" fontId="11" fillId="0" borderId="0" xfId="0" applyNumberFormat="1" applyFont="1" applyFill="1" applyBorder="1"/>
    <xf numFmtId="167" fontId="11" fillId="0" borderId="0" xfId="0" applyNumberFormat="1" applyFont="1" applyFill="1" applyBorder="1"/>
    <xf numFmtId="1" fontId="11" fillId="0" borderId="0" xfId="0" applyNumberFormat="1" applyFont="1" applyFill="1" applyBorder="1"/>
    <xf numFmtId="168" fontId="11" fillId="0" borderId="0" xfId="0" applyNumberFormat="1" applyFont="1" applyFill="1" applyBorder="1"/>
    <xf numFmtId="0" fontId="57" fillId="0" borderId="0" xfId="0" applyFont="1" applyFill="1" applyBorder="1"/>
    <xf numFmtId="0" fontId="57" fillId="24" borderId="0" xfId="0" applyFont="1" applyFill="1" applyBorder="1" applyAlignment="1">
      <alignment vertical="top" wrapText="1"/>
    </xf>
    <xf numFmtId="0" fontId="58" fillId="21" borderId="0" xfId="0" applyFont="1" applyFill="1" applyBorder="1" applyAlignment="1">
      <alignment vertical="top" wrapText="1"/>
    </xf>
    <xf numFmtId="2" fontId="8" fillId="26" borderId="0" xfId="0" applyNumberFormat="1" applyFont="1" applyFill="1" applyBorder="1"/>
    <xf numFmtId="1" fontId="36" fillId="0" borderId="0" xfId="0" applyNumberFormat="1" applyFont="1" applyFill="1" applyBorder="1"/>
    <xf numFmtId="169" fontId="36" fillId="0" borderId="0" xfId="0" applyNumberFormat="1" applyFont="1" applyFill="1" applyBorder="1"/>
    <xf numFmtId="0" fontId="57" fillId="25" borderId="0" xfId="0" applyFont="1" applyFill="1" applyBorder="1"/>
    <xf numFmtId="174" fontId="11" fillId="0" borderId="0" xfId="0" applyNumberFormat="1" applyFont="1" applyFill="1" applyBorder="1"/>
    <xf numFmtId="169" fontId="11" fillId="0" borderId="0" xfId="0" applyNumberFormat="1" applyFont="1" applyFill="1" applyBorder="1"/>
    <xf numFmtId="0" fontId="58" fillId="23" borderId="0" xfId="0" applyFont="1" applyFill="1" applyBorder="1" applyAlignment="1">
      <alignment vertical="top" wrapText="1"/>
    </xf>
    <xf numFmtId="175" fontId="11" fillId="0" borderId="0" xfId="0" applyNumberFormat="1" applyFont="1" applyFill="1" applyBorder="1"/>
    <xf numFmtId="0" fontId="59" fillId="9" borderId="0" xfId="0" applyFont="1" applyFill="1" applyBorder="1"/>
    <xf numFmtId="0" fontId="58" fillId="21" borderId="0" xfId="0" applyFont="1" applyFill="1" applyBorder="1"/>
    <xf numFmtId="0" fontId="56" fillId="21" borderId="0" xfId="0" applyFont="1" applyFill="1" applyBorder="1"/>
    <xf numFmtId="170" fontId="11" fillId="0" borderId="0" xfId="0" applyNumberFormat="1" applyFont="1" applyFill="1" applyBorder="1"/>
    <xf numFmtId="0" fontId="57" fillId="25" borderId="0" xfId="1" applyFont="1" applyFill="1" applyBorder="1"/>
    <xf numFmtId="0" fontId="57" fillId="0" borderId="0" xfId="0" applyFont="1" applyFill="1" applyBorder="1" applyAlignment="1">
      <alignment vertical="top" wrapText="1"/>
    </xf>
    <xf numFmtId="0" fontId="57" fillId="24" borderId="0" xfId="0" applyFont="1" applyFill="1" applyBorder="1"/>
    <xf numFmtId="168" fontId="36" fillId="0" borderId="0" xfId="0" applyNumberFormat="1" applyFont="1" applyFill="1" applyBorder="1"/>
    <xf numFmtId="0" fontId="60" fillId="23" borderId="0" xfId="0" applyFont="1" applyFill="1" applyBorder="1" applyAlignment="1">
      <alignment vertical="top" wrapText="1"/>
    </xf>
    <xf numFmtId="176" fontId="11" fillId="0" borderId="0" xfId="0" applyNumberFormat="1" applyFont="1" applyFill="1" applyBorder="1"/>
    <xf numFmtId="165" fontId="36" fillId="0" borderId="0" xfId="0" applyNumberFormat="1" applyFont="1" applyFill="1" applyBorder="1"/>
    <xf numFmtId="171" fontId="11" fillId="0" borderId="0" xfId="0" applyNumberFormat="1" applyFont="1" applyFill="1" applyBorder="1"/>
    <xf numFmtId="2" fontId="36" fillId="0" borderId="0" xfId="0" applyNumberFormat="1" applyFont="1" applyFill="1" applyBorder="1"/>
    <xf numFmtId="166" fontId="36" fillId="0" borderId="0" xfId="0" applyNumberFormat="1" applyFont="1" applyFill="1" applyBorder="1"/>
    <xf numFmtId="177" fontId="36" fillId="0" borderId="0" xfId="0" applyNumberFormat="1" applyFont="1" applyFill="1" applyBorder="1"/>
    <xf numFmtId="0" fontId="61" fillId="26" borderId="0" xfId="0" applyFont="1" applyFill="1" applyBorder="1"/>
    <xf numFmtId="0" fontId="56" fillId="23" borderId="0" xfId="0" applyFont="1" applyFill="1" applyBorder="1"/>
    <xf numFmtId="14" fontId="57" fillId="0" borderId="0" xfId="0" applyNumberFormat="1" applyFont="1" applyFill="1" applyBorder="1"/>
    <xf numFmtId="0" fontId="8" fillId="12" borderId="0" xfId="4" applyNumberFormat="1" applyFont="1" applyFill="1" applyBorder="1"/>
    <xf numFmtId="0" fontId="57" fillId="0" borderId="0" xfId="0" applyFont="1" applyFill="1" applyBorder="1" applyAlignment="1">
      <alignment wrapText="1"/>
    </xf>
    <xf numFmtId="0" fontId="8" fillId="12" borderId="0" xfId="4" applyNumberFormat="1" applyFont="1" applyFill="1" applyBorder="1" applyAlignment="1">
      <alignment wrapText="1"/>
    </xf>
    <xf numFmtId="0" fontId="15" fillId="0" borderId="0" xfId="4" applyNumberFormat="1" applyFont="1" applyFill="1" applyBorder="1"/>
    <xf numFmtId="0" fontId="36" fillId="0" borderId="0" xfId="4" applyNumberFormat="1" applyFont="1" applyFill="1" applyBorder="1"/>
    <xf numFmtId="173" fontId="8" fillId="12" borderId="0" xfId="4" applyNumberFormat="1" applyFont="1" applyFill="1" applyBorder="1"/>
    <xf numFmtId="173" fontId="36" fillId="0" borderId="0" xfId="4" applyNumberFormat="1" applyFont="1" applyFill="1" applyBorder="1"/>
    <xf numFmtId="173" fontId="8" fillId="12" borderId="0" xfId="4" applyNumberFormat="1" applyFont="1" applyFill="1" applyBorder="1" applyAlignment="1">
      <alignment wrapText="1"/>
    </xf>
    <xf numFmtId="172" fontId="8" fillId="12" borderId="0" xfId="4" applyNumberFormat="1" applyFont="1" applyFill="1" applyBorder="1" applyAlignment="1">
      <alignment wrapText="1"/>
    </xf>
    <xf numFmtId="0" fontId="8" fillId="26" borderId="0" xfId="4" applyNumberFormat="1" applyFont="1" applyFill="1" applyBorder="1"/>
    <xf numFmtId="0" fontId="2" fillId="0" borderId="0" xfId="4" applyNumberFormat="1" applyFont="1" applyFill="1" applyBorder="1"/>
    <xf numFmtId="0" fontId="15" fillId="0" borderId="0" xfId="0" applyFont="1" applyFill="1" applyBorder="1" applyAlignment="1">
      <alignment vertical="top" wrapText="1"/>
    </xf>
    <xf numFmtId="0" fontId="14" fillId="0" borderId="0" xfId="0" applyFont="1" applyFill="1" applyBorder="1"/>
    <xf numFmtId="0" fontId="11" fillId="0" borderId="0" xfId="0" applyFont="1" applyFill="1" applyBorder="1" applyAlignment="1">
      <alignment vertical="top" wrapText="1"/>
    </xf>
    <xf numFmtId="0" fontId="11" fillId="0" borderId="0" xfId="0" applyFont="1" applyBorder="1"/>
    <xf numFmtId="0" fontId="21" fillId="0" borderId="0" xfId="0" applyFont="1" applyBorder="1"/>
    <xf numFmtId="0" fontId="4" fillId="0" borderId="3" xfId="0" applyFont="1" applyFill="1" applyBorder="1" applyAlignment="1">
      <alignment vertical="top" wrapText="1"/>
    </xf>
    <xf numFmtId="0" fontId="41" fillId="0" borderId="3" xfId="0" applyFont="1" applyFill="1" applyBorder="1" applyAlignment="1">
      <alignment vertical="top" wrapText="1"/>
    </xf>
    <xf numFmtId="0" fontId="29" fillId="0" borderId="3" xfId="0" applyFont="1" applyFill="1" applyBorder="1" applyAlignment="1">
      <alignment vertical="top" wrapText="1"/>
    </xf>
    <xf numFmtId="0" fontId="0" fillId="0" borderId="3" xfId="0" applyFill="1" applyBorder="1"/>
    <xf numFmtId="0" fontId="11" fillId="0" borderId="3" xfId="0" applyFont="1" applyFill="1" applyBorder="1"/>
    <xf numFmtId="0" fontId="0" fillId="0" borderId="11" xfId="0" applyFill="1"/>
    <xf numFmtId="0" fontId="42" fillId="0" borderId="16" xfId="0" applyFont="1" applyFill="1" applyBorder="1" applyAlignment="1">
      <alignment wrapText="1"/>
    </xf>
    <xf numFmtId="0" fontId="42" fillId="0" borderId="16" xfId="4" applyNumberFormat="1" applyFont="1" applyFill="1" applyBorder="1"/>
    <xf numFmtId="0" fontId="44" fillId="0" borderId="16" xfId="4" applyNumberFormat="1" applyFont="1" applyFill="1" applyBorder="1" applyAlignment="1">
      <alignment wrapText="1"/>
    </xf>
    <xf numFmtId="173" fontId="42" fillId="0" borderId="16" xfId="4" applyNumberFormat="1" applyFont="1" applyFill="1" applyBorder="1"/>
    <xf numFmtId="172" fontId="42" fillId="0" borderId="16" xfId="4" applyNumberFormat="1" applyFont="1" applyFill="1" applyBorder="1"/>
    <xf numFmtId="0" fontId="8" fillId="12" borderId="0" xfId="0" applyFont="1" applyFill="1" applyBorder="1" applyAlignment="1">
      <alignment wrapText="1" vertical="top"/>
    </xf>
    <xf numFmtId="0" fontId="57" fillId="0" borderId="0" xfId="0" applyFont="1" applyFill="1" applyBorder="1" applyAlignment="1">
      <alignment wrapText="1" vertical="top"/>
    </xf>
    <xf numFmtId="0" fontId="15" fillId="0" borderId="0" xfId="0" applyFont="1" applyFill="1" applyBorder="1" applyAlignment="1">
      <alignment wrapText="1" vertical="top"/>
    </xf>
    <xf numFmtId="0" fontId="11" fillId="0" borderId="0" xfId="0" applyFont="1" applyFill="1" applyBorder="1" applyAlignment="1">
      <alignment wrapText="1" vertical="top"/>
    </xf>
    <xf numFmtId="0" fontId="11" fillId="0" borderId="0" xfId="0" applyNumberFormat="1" applyFont="1" applyFill="1" applyBorder="1"/>
    <xf applyNumberFormat="1" numFmtId="0" fontId="8" fillId="12" borderId="0" xfId="0" applyFont="1" applyFill="1" applyBorder="1"/>
    <xf applyNumberFormat="1" numFmtId="0" fontId="8" fillId="12" borderId="0" xfId="0" applyFont="1" applyFill="1" applyBorder="1" applyAlignment="1">
      <alignment wrapText="1" vertical="top"/>
    </xf>
    <xf applyNumberFormat="1" numFmtId="0" fontId="15" fillId="0" borderId="0" xfId="0" applyFont="1" applyFill="1" applyBorder="1"/>
    <xf applyNumberFormat="1" numFmtId="0" fontId="2" fillId="0" borderId="0" xfId="0" applyFont="1" applyFill="1" applyBorder="1"/>
    <xf applyNumberFormat="1" numFmtId="0" fontId="47" fillId="0" borderId="0" xfId="0" applyFont="1" applyBorder="1"/>
    <xf applyNumberFormat="1" numFmtId="0" fontId="36" fillId="0" borderId="0" xfId="0" applyFont="1" applyFill="1" applyBorder="1"/>
    <xf applyNumberFormat="1" numFmtId="0" fontId="57" fillId="0" borderId="0" xfId="0" applyFont="1" applyFill="1" applyBorder="1"/>
    <xf applyNumberFormat="1" numFmtId="0" fontId="57" fillId="0" borderId="0" xfId="0" applyFont="1" applyFill="1" applyBorder="1" applyAlignment="1">
      <alignment wrapText="1" vertical="top"/>
    </xf>
    <xf applyNumberFormat="1" applyFont="1" numFmtId="0" fontId="0" fillId="0" borderId="0" xfId="0" applyBorder="1"/>
    <xf applyNumberFormat="1" numFmtId="0" fontId="57" fillId="0" borderId="0" xfId="0" applyFont="1" applyFill="1" applyBorder="1" applyAlignment="1">
      <alignment vertical="top" wrapText="1"/>
    </xf>
    <xf applyNumberFormat="1" numFmtId="0" fontId="15" fillId="0" borderId="0" xfId="0" applyFont="1" applyFill="1" applyBorder="1" applyAlignment="1">
      <alignment vertical="top" wrapText="1"/>
    </xf>
    <xf applyNumberFormat="1" numFmtId="0" fontId="15" fillId="0" borderId="0" xfId="0" applyFont="1" applyFill="1" applyBorder="1" applyAlignment="1">
      <alignment wrapText="1" vertical="top"/>
    </xf>
    <xf applyNumberFormat="1" numFmtId="0" fontId="14" fillId="0" borderId="0" xfId="0" applyFont="1" applyFill="1" applyBorder="1"/>
    <xf applyNumberFormat="1" numFmtId="0" fontId="11" fillId="0" borderId="0" xfId="0" applyFont="1" applyFill="1" applyBorder="1" applyAlignment="1">
      <alignment vertical="top" wrapText="1"/>
    </xf>
    <xf applyNumberFormat="1" numFmtId="0" fontId="11" fillId="0" borderId="0" xfId="0" applyFont="1" applyFill="1" applyBorder="1"/>
    <xf applyNumberFormat="1" numFmtId="0" fontId="8" fillId="26" borderId="0" xfId="0" applyFont="1" applyFill="1" applyBorder="1"/>
    <xf applyNumberFormat="1" numFmtId="0" fontId="11" fillId="0" borderId="0" xfId="0" applyFont="1" applyFill="1" applyBorder="1" applyAlignment="1">
      <alignment wrapText="1" vertical="top"/>
    </xf>
    <xf applyNumberFormat="1" applyFont="1" numFmtId="0" fontId="0" fillId="25" borderId="0" xfId="0" applyFill="1" applyBorder="1" applyAlignment="1">
      <alignment vertical="top" wrapText="1"/>
    </xf>
    <xf applyNumberFormat="1" numFmtId="0" fontId="11" fillId="0" borderId="0" xfId="0" applyFont="1" applyBorder="1"/>
    <xf applyNumberFormat="1" applyFont="1" numFmtId="0" fontId="0" fillId="24" borderId="0" xfId="0" applyFill="1" applyBorder="1"/>
    <xf applyNumberFormat="1" numFmtId="0" fontId="28" fillId="9" borderId="0" xfId="0" applyFont="1" applyFill="1" applyBorder="1"/>
    <xf applyNumberFormat="1" numFmtId="0" fontId="9" fillId="23" borderId="0" xfId="0" applyFont="1" applyFill="1" applyBorder="1"/>
    <xf applyNumberFormat="1" numFmtId="0" fontId="56" fillId="22" borderId="0" xfId="0" applyFont="1" applyFill="1" applyBorder="1"/>
    <xf applyNumberFormat="1" numFmtId="0" fontId="28" fillId="0" borderId="0" xfId="0" applyFont="1" applyBorder="1"/>
    <xf applyNumberFormat="1" numFmtId="0" fontId="56" fillId="21" borderId="0" xfId="0" applyFont="1" applyFill="1" applyBorder="1"/>
    <xf applyNumberFormat="1" numFmtId="0" fontId="36" fillId="0" borderId="0" xfId="0" applyFont="1" applyBorder="1"/>
    <xf applyNumberFormat="1" numFmtId="0" fontId="12" fillId="0" borderId="0" xfId="0" applyFont="1" applyBorder="1"/>
    <xf applyNumberFormat="1" numFmtId="0" fontId="2" fillId="0" borderId="0" xfId="0" applyFont="1" applyBorder="1"/>
    <xf applyNumberFormat="1" numFmtId="0" fontId="14" fillId="0" borderId="0" xfId="0" applyFont="1" applyBorder="1"/>
    <xf applyNumberFormat="1" applyFont="1" numFmtId="0" fontId="23" fillId="8" borderId="0" xfId="1" applyBorder="1"/>
    <xf applyNumberFormat="1" applyFont="1" numFmtId="0" fontId="25" fillId="16" borderId="0" xfId="3" applyBorder="1"/>
    <xf applyNumberFormat="1" applyFont="1" numFmtId="0" fontId="24" fillId="10" borderId="0" xfId="2" applyBorder="1"/>
    <xf applyNumberFormat="1" numFmtId="0" fontId="58" fillId="21" borderId="0" xfId="0" applyFont="1" applyFill="1" applyBorder="1">
      <alignment vertical="top" wrapText="1"/>
    </xf>
    <xf applyNumberFormat="1" numFmtId="0" fontId="15" fillId="0" borderId="0" xfId="0" applyFont="1" applyBorder="1"/>
    <xf applyNumberFormat="1" numFmtId="0" fontId="32" fillId="0" borderId="0" xfId="0" applyFont="1" applyBorder="1"/>
    <xf applyNumberFormat="1" numFmtId="0" fontId="8" fillId="26" borderId="0" xfId="0" applyFont="1" applyFill="1" applyBorder="1" applyAlignment="1">
      <alignment vertical="top" wrapText="1"/>
    </xf>
    <xf applyNumberFormat="1" numFmtId="0" fontId="14" fillId="25" borderId="0" xfId="0" applyFont="1" applyFill="1" applyBorder="1"/>
    <xf numFmtId="165" fontId="32" fillId="0" borderId="0" xfId="0" applyNumberFormat="1" applyFont="1" applyBorder="1"/>
    <xf applyNumberFormat="1" numFmtId="0" fontId="29" fillId="0" borderId="0" xfId="0" applyFont="1" applyFill="1" applyBorder="1" applyAlignment="1">
      <alignment vertical="top" wrapText="1"/>
    </xf>
    <xf numFmtId="0" fontId="36" fillId="0" borderId="0" xfId="0" applyNumberFormat="1" applyFont="1" applyBorder="1"/>
    <xf applyNumberFormat="1" numFmtId="0" fontId="57" fillId="25" borderId="0" xfId="0" applyFont="1" applyFill="1" applyBorder="1" applyAlignment="1">
      <alignment vertical="top" wrapText="1"/>
    </xf>
    <xf applyNumberFormat="1" numFmtId="0" fontId="58" fillId="22" borderId="0" xfId="0" applyFont="1" applyFill="1" applyBorder="1" applyAlignment="1">
      <alignment vertical="top" wrapText="1"/>
    </xf>
    <xf applyNumberFormat="1" numFmtId="0" fontId="59" fillId="9" borderId="0" xfId="0" applyFont="1" applyFill="1" applyBorder="1" applyAlignment="1">
      <alignment vertical="top" wrapText="1"/>
    </xf>
    <xf applyNumberFormat="1" numFmtId="0" fontId="57" fillId="24" borderId="0" xfId="0" applyFont="1" applyFill="1" applyBorder="1" applyAlignment="1">
      <alignment vertical="top" wrapText="1"/>
    </xf>
    <xf applyNumberFormat="1" numFmtId="0" fontId="58" fillId="21" borderId="0" xfId="0" applyFont="1" applyFill="1" applyBorder="1" applyAlignment="1">
      <alignment vertical="top" wrapText="1"/>
    </xf>
    <xf numFmtId="1" fontId="11" fillId="0" borderId="0" xfId="0" applyNumberFormat="1" applyFont="1" applyBorder="1"/>
    <xf numFmtId="0" fontId="36" fillId="0" borderId="0" xfId="0" applyNumberFormat="1" applyFont="1" applyFill="1" applyBorder="1"/>
    <xf applyNumberFormat="1" numFmtId="0" fontId="57" fillId="25" borderId="0" xfId="0" applyFont="1" applyFill="1" applyBorder="1"/>
    <xf applyNumberFormat="1" applyFont="1" numFmtId="0" fontId="0" fillId="0" borderId="0" xfId="0" applyFill="1" applyBorder="1"/>
    <xf applyNumberFormat="1" numFmtId="0" fontId="36" fillId="21" borderId="0" xfId="0" applyFont="1" applyFill="1" applyBorder="1"/>
    <xf applyNumberFormat="1" numFmtId="0" fontId="58" fillId="23" borderId="0" xfId="0" applyFont="1" applyFill="1" applyBorder="1" applyAlignment="1">
      <alignment vertical="top" wrapText="1"/>
    </xf>
    <xf applyNumberFormat="1" numFmtId="0" fontId="59" fillId="9" borderId="0" xfId="0" applyFont="1" applyFill="1" applyBorder="1"/>
    <xf applyNumberFormat="1" numFmtId="0" fontId="58" fillId="21" borderId="0" xfId="0" applyFont="1" applyFill="1" applyBorder="1"/>
    <xf applyNumberFormat="1" numFmtId="0" fontId="57" fillId="25" borderId="0" xfId="1" applyFont="1" applyFill="1" applyBorder="1"/>
    <xf applyBorder="1" numFmtId="170" fontId="22" fillId="0" borderId="0" xfId="0" applyNumberFormat="1" applyFont="1"/>
    <xf applyNumberFormat="1" numFmtId="0" fontId="57" fillId="24" borderId="0" xfId="0" applyFont="1" applyFill="1" applyBorder="1"/>
    <xf applyNumberFormat="1" numFmtId="0" fontId="31" fillId="0" borderId="0" xfId="0" applyFont="1" applyBorder="1"/>
    <xf applyBorder="1" applyNumberFormat="1" applyFont="1" numFmtId="0" fontId="0" fillId="0" borderId="0" xfId="0"/>
    <xf applyNumberFormat="1" numFmtId="0" fontId="21" fillId="0" borderId="0" xfId="0" applyFont="1" applyBorder="1"/>
    <xf numFmtId="168" fontId="11" fillId="0" borderId="0" xfId="0" applyNumberFormat="1" applyFont="1" applyBorder="1"/>
    <xf applyNumberFormat="1" numFmtId="0" fontId="36" fillId="0" borderId="0" xfId="0" applyFont="1" applyFill="1" applyBorder="1">
      <alignment vertical="top" wrapText="1"/>
    </xf>
    <xf applyNumberFormat="1" numFmtId="0" fontId="59" fillId="9" borderId="0" xfId="0" applyFont="1" applyFill="1" applyBorder="1">
      <alignment vertical="top" wrapText="1"/>
    </xf>
    <xf numFmtId="167" fontId="11" fillId="0" borderId="0" xfId="0" applyNumberFormat="1" applyFont="1" applyBorder="1"/>
    <xf numFmtId="168" fontId="22" fillId="0" borderId="0" xfId="0" applyNumberFormat="1" applyFont="1" applyBorder="1"/>
    <xf applyNumberFormat="1" numFmtId="0" fontId="56" fillId="23" borderId="0" xfId="0" applyFont="1" applyFill="1" applyBorder="1"/>
    <xf applyNumberFormat="1" numFmtId="0" fontId="17" fillId="0" borderId="0" xfId="0" applyFont="1" applyBorder="1"/>
    <xf applyFont="1" numFmtId="177" fontId="0" fillId="0" borderId="0" xfId="0" applyNumberFormat="1" applyBorder="1"/>
    <xf applyFont="1" numFmtId="2" fontId="0" fillId="0" borderId="0" xfId="0" applyNumberFormat="1" applyBorder="1"/>
    <xf applyNumberFormat="1" numFmtId="0" fontId="18" fillId="0" borderId="0" xfId="0" applyFont="1" applyBorder="1"/>
    <xf applyNumberFormat="1" numFmtId="0" fontId="19" fillId="0" borderId="0" xfId="0" applyFont="1" applyBorder="1"/>
    <xf applyNumberFormat="1" numFmtId="0" fontId="10" fillId="0" borderId="0" xfId="0" applyFont="1" applyBorder="1"/>
    <xf applyNumberFormat="1" numFmtId="0" fontId="61" fillId="26" borderId="0" xfId="0" applyFont="1" applyFill="1" applyBorder="1"/>
    <xf applyBorder="1" numFmtId="168" fontId="32" fillId="0" borderId="0" xfId="0" applyNumberFormat="1" applyFont="1"/>
    <xf applyBorder="1" applyNumberFormat="1" numFmtId="0" fontId="38" fillId="0" borderId="0" xfId="0" applyFont="1"/>
    <xf applyBorder="1" applyNumberFormat="1" applyFont="1" numFmtId="0" fontId="0" fillId="0" borderId="0" xfId="0" applyFill="1"/>
    <xf applyNumberFormat="1" numFmtId="0" fontId="57" fillId="0" borderId="0" xfId="0" applyFont="1" applyFill="1" applyBorder="1" applyAlignment="1">
      <alignment wrapText="1"/>
    </xf>
    <xf applyNumberFormat="1" numFmtId="0" fontId="11" fillId="0" borderId="0" xfId="0" applyFont="1" applyFill="1" applyBorder="1" applyAlignment="1">
      <alignment wrapText="1"/>
    </xf>
    <xf numFmtId="0" fontId="11" fillId="0" borderId="0" xfId="4" applyNumberFormat="1" applyFont="1" applyFill="1" applyBorder="1"/>
    <xf numFmtId="0" fontId="11" fillId="0" borderId="0" xfId="4" applyNumberFormat="1" applyFont="1" applyFill="1" applyBorder="1" applyAlignment="1">
      <alignment wrapText="1"/>
    </xf>
    <xf numFmtId="173" fontId="11" fillId="0" borderId="0" xfId="4" applyNumberFormat="1" applyFont="1" applyFill="1" applyBorder="1"/>
    <xf numFmtId="172" fontId="11" fillId="0" borderId="0" xfId="4" applyNumberFormat="1" applyFont="1" applyFill="1" applyBorder="1"/>
  </cellXfs>
  <cellStyles count="5">
    <cellStyle name="Bad" xfId="2" builtinId="27"/>
    <cellStyle name="Currency" xfId="4" builtinId="4"/>
    <cellStyle name="Good" xfId="1" builtinId="26"/>
    <cellStyle name="Neutral" xfId="3" builtinId="28"/>
    <cellStyle name="Normal" xfId="0" builtinId="0"/>
  </cellStyles>
  <dxfs count="50">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theme="0"/>
      </font>
      <fill>
        <patternFill patternType="solid">
          <fgColor theme="5"/>
          <bgColor theme="5"/>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13" Type="http://schemas.openxmlformats.org/officeDocument/2006/relationships/worksheet" Target="worksheets/sheet9.xml"/><Relationship Id="rId14" Type="http://schemas.openxmlformats.org/officeDocument/2006/relationships/sheetMetadata" Target="metadata.xml"/><Relationship Id="rId15" Type="http://schemas.openxmlformats.org/officeDocument/2006/relationships/worksheet" Target="worksheets/sheet10.xml"/><Relationship Id="rId16" Type="http://schemas.openxmlformats.org/officeDocument/2006/relationships/worksheet" Target="worksheets/sheet11.xml"/><Relationship Id="rId17" Type="http://schemas.openxmlformats.org/officeDocument/2006/relationships/worksheet" Target="worksheets/sheet12.xml"/><Relationship Id="rId18" Type="http://schemas.openxmlformats.org/officeDocument/2006/relationships/worksheet" Target="worksheets/sheet13.xml"/><Relationship Id="rId19" Type="http://schemas.openxmlformats.org/officeDocument/2006/relationships/worksheet" Target="worksheets/sheet14.xml"/><Relationship Id="rId20" Type="http://schemas.openxmlformats.org/officeDocument/2006/relationships/worksheet" Target="worksheets/sheet15.xml"/><Relationship Id="rId21" Type="http://schemas.openxmlformats.org/officeDocument/2006/relationships/worksheet" Target="worksheets/sheet16.xml"/><Relationship Id="rId22" Type="http://schemas.openxmlformats.org/officeDocument/2006/relationships/worksheet" Target="worksheets/sheet17.xml"/><Relationship Id="rId23" Type="http://schemas.openxmlformats.org/officeDocument/2006/relationships/worksheet" Target="worksheets/sheet18.xml"/><Relationship Id="rId24" Type="http://schemas.openxmlformats.org/officeDocument/2006/relationships/worksheet" Target="worksheets/sheet19.xml"/><Relationship Id="rId25" Type="http://schemas.openxmlformats.org/officeDocument/2006/relationships/worksheet" Target="worksheets/sheet20.xml"/><Relationship Id="rId26" Type="http://schemas.openxmlformats.org/officeDocument/2006/relationships/worksheet" Target="worksheets/sheet21.xml"/><Relationship Id="rId27" Type="http://schemas.openxmlformats.org/officeDocument/2006/relationships/worksheet" Target="worksheets/sheet22.xml"/><Relationship Id="rId28" Type="http://schemas.openxmlformats.org/officeDocument/2006/relationships/worksheet" Target="worksheets/sheet23.xml"/><Relationship Id="rId29" Type="http://schemas.openxmlformats.org/officeDocument/2006/relationships/worksheet" Target="worksheets/sheet24.xml"/><Relationship Id="rId30" Type="http://schemas.openxmlformats.org/officeDocument/2006/relationships/worksheet" Target="worksheets/sheet25.xml"/></Relationships>
</file>

<file path=xl/tables/table1.xml><?xml version="1.0" encoding="utf-8"?>
<table xmlns="http://schemas.openxmlformats.org/spreadsheetml/2006/main" id="1" name="Media" displayName="Media" ref="A13:W34" headerRowCount="1">
  <tableColumns count="23">
    <tableColumn id="1" name="Ingredient"/>
    <tableColumn id="2" name="Formula"/>
    <tableColumn id="3" name="Molar mass (g/mol)"/>
    <tableColumn id="4" name="Na⁺"/>
    <tableColumn id="5" name="K⁺"/>
    <tableColumn id="6" name="NH₄⁺"/>
    <tableColumn id="7" name="Mg²⁺"/>
    <tableColumn id="8" name="Ca²⁺"/>
    <tableColumn id="9" name="Fe²⁺"/>
    <tableColumn id="10" name="Trace M²⁺"/>
    <tableColumn id="11" name="H⁺ (acid)"/>
    <tableColumn id="12" name="H₂PO₄⁻"/>
    <tableColumn id="13" name="HPO₄²⁻"/>
    <tableColumn id="14" name="HCO₃⁻"/>
    <tableColumn id="15" name="SO₄²⁻"/>
    <tableColumn id="16" name="Cl⁻"/>
    <tableColumn id="17" name="MoO₄²⁻"/>
    <tableColumn id="18" name="NO₃⁻"/>
    <tableColumn id="19" name="Notes"/>
    <tableColumn id="20" name="AM001"/>
    <tableColumn id="21" name="AM002"/>
    <tableColumn id="22" name="UdG phosphate"/>
    <tableColumn id="23" name="AM003"/>
  </tableColumns>
</table>
</file>

<file path=xl/tables/table2.xml><?xml version="1.0" encoding="utf-8"?>
<table xmlns="http://schemas.openxmlformats.org/spreadsheetml/2006/main" id="2" name="Reactors" displayName="Reactors" ref="A4:B26" headerRowCount="1">
  <tableColumns count="2">
    <tableColumn id="1" name="Reactor"/>
    <tableColumn id="2" name="Type"/>
  </tableColumns>
</table>
</file>

<file path=xl/tables/table3.xml><?xml version="1.0" encoding="utf-8"?>
<table xmlns="http://schemas.openxmlformats.org/spreadsheetml/2006/main" id="3" name="ReactorTypes" displayName="ReactorTypes" ref="D4:L8" headerRowCount="1">
  <tableColumns count="9">
    <tableColumn id="1" name="Type"/>
    <tableColumn id="2" name="Pioreactor"/>
    <tableColumn id="3" name="vial (mL)"/>
    <tableColumn id="4" name="usable depth (mm)"/>
    <tableColumn id="5" name="max working (mL)"/>
    <tableColumn id="6" name="total vial (mL)"/>
    <tableColumn id="7" name="vial OD (mm)"/>
    <tableColumn id="8" name="stir bar L (mm)"/>
    <tableColumn id="9" name="stir bar dia (mm)"/>
  </tableColumns>
</table>
</file>

<file path=xl/tables/table4.xml><?xml version="1.0" encoding="utf-8"?>
<table xmlns="http://schemas.openxmlformats.org/spreadsheetml/2006/main" id="4" name="Electrodes" displayName="Electrodes" ref="A4:N8" headerRowCount="1">
  <tableColumns count="14">
    <tableColumn id="1" name="Electrode"/>
    <tableColumn id="2" name="anode material"/>
    <tableColumn id="3" name="anode dia (mm)"/>
    <tableColumn id="4" name="sparger"/>
    <tableColumn id="5" name="sinter porosity"/>
    <tableColumn id="6" name="cathode"/>
    <tableColumn id="7" name="cathode dia (mm)"/>
    <tableColumn id="8" name="etaF"/>
    <tableColumn id="9" name="z_e_ORR"/>
    <tableColumn id="10" name="anode shape"/>
    <tableColumn id="11" name="anode j cont (mA/cm²)"/>
    <tableColumn id="12" name="anode j max (mA/cm²)"/>
    <tableColumn id="13" name="cathode shape"/>
    <tableColumn id="14" name="material note"/>
  </tableColumns>
</table>
</file>

<file path=xl/tables/table5.xml><?xml version="1.0" encoding="utf-8"?>
<table xmlns="http://schemas.openxmlformats.org/spreadsheetml/2006/main" id="5" name="Organisms" displayName="Organisms" ref="A4:J10" headerRowCount="1">
  <tableColumns count="10">
    <tableColumn id="1" name="Organism"/>
    <tableColumn id="2" name="minimum DO (mg/L)"/>
    <tableColumn id="3" name="optimum DO (mg/L)"/>
    <tableColumn id="4" name="impairment DO (mg/L)"/>
    <tableColumn id="5" name="toxic DO (mg/L)"/>
    <tableColumn id="6" name="DO source"/>
    <tableColumn id="7" name="j optimum (mA/cm²)"/>
    <tableColumn id="8" name="j ceiling (mA/cm²)"/>
    <tableColumn id="9" name="j confidence"/>
    <tableColumn id="10" name="j source"/>
  </tableColumns>
</table>
</file>

<file path=xl/tables/table6.xml><?xml version="1.0" encoding="utf-8"?>
<table xmlns="http://schemas.openxmlformats.org/spreadsheetml/2006/main" id="6" name="CO2Flows" displayName="CO2Flows" ref="A3:L46" headerRowCount="1">
  <tableColumns count="12">
    <tableColumn id="1" name="Reactor"/>
    <tableColumn id="2" name="Date"/>
    <tableColumn id="3" name="Cylinder size (mL)"/>
    <tableColumn id="4" name="Observed volume* (mL)"/>
    <tableColumn id="5" name="Volume (mL)"/>
    <tableColumn id="6" name="Time (s)"/>
    <tableColumn id="7" name="Flow rate (mL/s)"/>
    <tableColumn id="8" name="Average flow rate (mL/s)"/>
    <tableColumn id="9" name="Minimum sparge (s)"/>
    <tableColumn id="10" name="Nominal flow rate (mL/s)"/>
    <tableColumn id="11" name="Max flow without carryover (mL/s)"/>
    <tableColumn id="12" name="Excluded from pulse fit (1 = yes)"/>
  </tableColumns>
</table>
</file>

<file path=xl/tables/table7.xml><?xml version="1.0" encoding="utf-8"?>
<table xmlns="http://schemas.openxmlformats.org/spreadsheetml/2006/main" id="7" name="CalCurrent" displayName="CalCurrent" ref="A8:H16" headerRowCount="1">
  <tableColumns count="8">
    <tableColumn id="1" name="Researcher"/>
    <tableColumn id="2" name="Date"/>
    <tableColumn id="3" name="Reactor"/>
    <tableColumn id="4" name="Intensity (%)"/>
    <tableColumn id="5" name="Current (mA)"/>
    <tableColumn id="6" name="Type (auto)">
      <calculatedColumnFormula>IFERROR(INDEX(ReactorTypeList,MATCH(CalCurrent[[#This Row],[Reactor]],ReactorList,0)),"")</calculatedColumnFormula>
    </tableColumn>
    <tableColumn id="7" name="Include?"/>
    <tableColumn id="8" name="Notes"/>
  </tableColumns>
</table>
</file>

<file path=xl/tables/table8.xml><?xml version="1.0" encoding="utf-8"?>
<table xmlns="http://schemas.openxmlformats.org/spreadsheetml/2006/main" id="8" name="CalFaradaic" displayName="CalFaradaic" ref="A8:L16" headerRowCount="1">
  <tableColumns count="12">
    <tableColumn id="1" name="Researcher"/>
    <tableColumn id="2" name="Date"/>
    <tableColumn id="3" name="Reactor"/>
    <tableColumn id="4" name="Charge Q (C)"/>
    <tableColumn id="5" name="Gas volume (mL)"/>
    <tableColumn id="6" name="Temp (°C)"/>
    <tableColumn id="7" name="Pressure (Pa)"/>
    <tableColumn id="8" name="Gas (H2 or O2)"/>
    <tableColumn id="9" name="etaF (computed)">
      <calculatedColumnFormula>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calculatedColumnFormula>
    </tableColumn>
    <tableColumn id="10" name="Type (auto)">
      <calculatedColumnFormula>IFERROR(INDEX(ReactorTypeList,MATCH(CalFaradaic[[#This Row],[Reactor]],ReactorList,0)),"")</calculatedColumnFormula>
    </tableColumn>
    <tableColumn id="11" name="Include?"/>
    <tableColumn id="12" name="Notes"/>
  </tableColumns>
</table>
</file>

<file path=xl/tables/table9.xml><?xml version="1.0" encoding="utf-8"?>
<table xmlns="http://schemas.openxmlformats.org/spreadsheetml/2006/main" id="9" name="CalKLa" displayName="CalKLa" ref="A7:G15" headerRowCount="1">
  <tableColumns count="7">
    <tableColumn id="1" name="Researcher"/>
    <tableColumn id="2" name="Date"/>
    <tableColumn id="3" name="Reactor"/>
    <tableColumn id="4" name="kLa (1/h)"/>
    <tableColumn id="5" name="Type (auto)">
      <calculatedColumnFormula>IFERROR(INDEX(ReactorTypeList,MATCH(CalKLa[[#This Row],[Reactor]],ReactorList,0)),"")</calculatedColumnFormula>
    </tableColumn>
    <tableColumn id="6" name="Include?"/>
    <tableColumn id="7" name="Notes"/>
  </tableColumns>
</table>
</file>

<file path=xl/tables/table10.xml><?xml version="1.0" encoding="utf-8"?>
<table xmlns="http://schemas.openxmlformats.org/spreadsheetml/2006/main" id="10" name="CalFlow" displayName="CalFlow" ref="A8:J16" headerRowCount="1">
  <tableColumns count="10">
    <tableColumn id="1" name="Researcher"/>
    <tableColumn id="2" name="Date"/>
    <tableColumn id="3" name="Reactor"/>
    <tableColumn id="4" name="CO2 volume (mL)"/>
    <tableColumn id="5" name="Time (s)"/>
    <tableColumn id="6" name="Flow (computed, mL/s)">
      <calculatedColumnFormula>IFERROR(CalFlow[[#This Row],[CO2 volume (mL)]]/CalFlow[[#This Row],[Time (s)]],"")</calculatedColumnFormula>
    </tableColumn>
    <tableColumn id="7" name="Type (auto)">
      <calculatedColumnFormula>IFERROR(INDEX(ReactorTypeList,MATCH(CalFlow[[#This Row],[Reactor]],ReactorList,0)),"")</calculatedColumnFormula>
    </tableColumn>
    <tableColumn id="8" name="Include?"/>
    <tableColumn id="9" name="Notes"/>
    <tableColumn id="10" name="Min pulse (s)"/>
  </tableColumns>
</table>
</file>

<file path=xl/tables/table11.xml><?xml version="1.0" encoding="utf-8"?>
<table xmlns="http://schemas.openxmlformats.org/spreadsheetml/2006/main" id="11" name="CalVial" displayName="CalVial" ref="A10:N18" headerRowCount="1">
  <tableColumns count="14">
    <tableColumn id="1" name="Researcher"/>
    <tableColumn id="2" name="Date"/>
    <tableColumn id="3" name="Reactor"/>
    <tableColumn id="4" name="Headspace mass (g)"/>
    <tableColumn id="5" name="Body mass (g)"/>
    <tableColumn id="6" name="Temp (°C)"/>
    <tableColumn id="7" name="V total (computed, mL)">
      <calculatedColumnFormula>IF(CalVial[[#This Row],[Body mass (g)]]="","",IFERROR(CalVial[[#This Row],[Body mass (g)]]/((Calibrations!ca_rho_0+Calibrations!ca_rho_k*CalVial[[#This Row],[Temp (°C)]])/1000),""))</calculatedColumnFormula>
    </tableColumn>
    <tableColumn id="8" name="Volume-equivalent depth (computed, mm)">
      <calculatedColumnFormula>IF(CalVial[[#This Row],[Body mass (g)]]="","",IFERROR((CalVial[[#This Row],[Body mass (g)]]/((Calibrations!ca_rho_0+Calibrations!ca_rho_k*CalVial[[#This Row],[Temp (°C)]])/1000))*1000/Calibrations!A_x,""))</calculatedColumnFormula>
    </tableColumn>
    <tableColumn id="9" name="Type (auto)">
      <calculatedColumnFormula>IFERROR(INDEX(ReactorTypeList,MATCH(CalVial[[#This Row],[Reactor]],ReactorList,0)),"")</calculatedColumnFormula>
    </tableColumn>
    <tableColumn id="10" name="Include?"/>
    <tableColumn id="11" name="Notes"/>
    <tableColumn id="12" name="Headspace (computed, mL)">
      <calculatedColumnFormula>IF(CalVial[[#This Row],[Headspace mass (g)]]="","",IFERROR(CalVial[[#This Row],[Headspace mass (g)]]/((Calibrations!ca_rho_0+Calibrations!ca_rho_k*CalVial[[#This Row],[Temp (°C)]])/1000),""))</calculatedColumnFormula>
    </tableColumn>
    <tableColumn id="13" name="Working-fill mass (g)"/>
    <tableColumn id="14" name="Working fill (computed, mL)">
      <calculatedColumnFormula>IF(CalVial[[#This Row],[Working-fill mass (g)]]="","",IFERROR(CalVial[[#This Row],[Working-fill mass (g)]]/((Calibrations!ca_rho_0+Calibrations!ca_rho_k*CalVial[[#This Row],[Temp (°C)]])/1000),""))</calculatedColumnFormula>
    </tableColumn>
  </tableColumns>
</table>
</file>

<file path=xl/tables/table12.xml><?xml version="1.0" encoding="utf-8"?>
<table xmlns="http://schemas.openxmlformats.org/spreadsheetml/2006/main" id="12" name="CalSinter" displayName="CalSinter" ref="A8:H16" headerRowCount="1">
  <tableColumns count="8">
    <tableColumn id="1" name="Researcher"/>
    <tableColumn id="2" name="Date"/>
    <tableColumn id="3" name="Reactor"/>
    <tableColumn id="4" name="Bubble point (kPa)"/>
    <tableColumn id="5" name="Grade (computed)">
      <calculatedColumnFormula>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calculatedColumnFormula>
    </tableColumn>
    <tableColumn id="6" name="Type (auto)">
      <calculatedColumnFormula>IFERROR(INDEX(ReactorTypeList,MATCH(CalSinter[[#This Row],[Reactor]],ReactorList,0)),"")</calculatedColumnFormula>
    </tableColumn>
    <tableColumn id="7" name="Include?"/>
    <tableColumn id="8" name="Notes"/>
  </tableColumns>
</table>
</file>

<file path=xl/tables/table13.xml><?xml version="1.0" encoding="utf-8"?>
<table xmlns="http://schemas.openxmlformats.org/spreadsheetml/2006/main" id="13" name="CalDO" displayName="CalDO" ref="A10:I18" headerRowCount="1">
  <tableColumns count="9">
    <tableColumn id="1" name="Researcher"/>
    <tableColumn id="2" name="Date"/>
    <tableColumn id="3" name="Organism"/>
    <tableColumn id="4" name="Min DO (mg/L)"/>
    <tableColumn id="5" name="Optimum DO (mg/L)"/>
    <tableColumn id="6" name="Impairment DO (mg/L)"/>
    <tableColumn id="7" name="Toxic DO (mg/L)"/>
    <tableColumn id="8" name="Include?"/>
    <tableColumn id="9" name="Notes"/>
  </tableColumns>
</table>
</file>

<file path=xl/tables/table14.xml><?xml version="1.0" encoding="utf-8"?>
<table xmlns="http://schemas.openxmlformats.org/spreadsheetml/2006/main" id="14" name="CalKnallgas" displayName="CalKnallgas" ref="A9:J17" headerRowCount="1">
  <tableColumns count="10">
    <tableColumn id="1" name="Researcher"/>
    <tableColumn id="2" name="Date"/>
    <tableColumn id="3" name="Organism"/>
    <tableColumn id="4" name="H2"/>
    <tableColumn id="5" name="O2"/>
    <tableColumn id="6" name="CO2"/>
    <tableColumn id="7" name="Include?"/>
    <tableColumn id="8" name="Notes"/>
    <tableColumn id="9" name="O₂ per H₂ (computed)">
      <calculatedColumnFormula>IF(OR(CalKnallgas[[#This Row],[H2]]="",CalKnallgas[[#This Row],[O2]]=""),"",IFERROR(IF(CalKnallgas[[#This Row],[H2]]&gt;0,CalKnallgas[[#This Row],[O2]]/CalKnallgas[[#This Row],[H2]],""),""))</calculatedColumnFormula>
    </tableColumn>
    <tableColumn id="10" name="CO₂ per H₂ (computed)">
      <calculatedColumnFormula>IF(OR(CalKnallgas[[#This Row],[H2]]="",CalKnallgas[[#This Row],[CO2]]=""),"",IFERROR(IF(CalKnallgas[[#This Row],[H2]]&gt;0,CalKnallgas[[#This Row],[CO2]]/CalKnallgas[[#This Row],[H2]],""),""))</calculatedColumnFormula>
    </tableColumn>
  </tableColumns>
</table>
</file>

<file path=xl/tables/table15.xml><?xml version="1.0" encoding="utf-8"?>
<table xmlns="http://schemas.openxmlformats.org/spreadsheetml/2006/main" id="15" name="CalJScreen" displayName="CalJScreen" ref="A8:G16" headerRowCount="1">
  <tableColumns count="7">
    <tableColumn id="1" name="Researcher"/>
    <tableColumn id="2" name="Date"/>
    <tableColumn id="3" name="Organism"/>
    <tableColumn id="4" name="j optimum (mA/cm²)"/>
    <tableColumn id="5" name="j ceiling (mA/cm²)"/>
    <tableColumn id="6" name="Include?"/>
    <tableColumn id="7" name="Notes"/>
  </tableColumns>
</table>
</file>

<file path=xl/tables/table16.xml><?xml version="1.0" encoding="utf-8"?>
<table xmlns="http://schemas.openxmlformats.org/spreadsheetml/2006/main" id="16" name="CalKm" displayName="CalKm" ref="A7:O15" headerRowCount="1">
  <tableColumns count="15">
    <tableColumn id="1" name="Researcher"/>
    <tableColumn id="2" name="Date"/>
    <tableColumn id="3" name="Reactor"/>
    <tableColumn id="4" name="Electrode"/>
    <tableColumn id="5" name="Stir rate (rpm)"/>
    <tableColumn id="6" name="Temp (°C)"/>
    <tableColumn id="7" name="Limiting current (mA)"/>
    <tableColumn id="8" name="Electrode area (cm²)"/>
    <tableColumn id="9" name="Ferricyanide (mM)"/>
    <tableColumn id="10" name="D ferricyanide (m²/s)"/>
    <tableColumn id="11" name="k_m ferricyanide (computed, cm/s)">
      <calculatedColumnFormula>IF(OR(CalKm[[#This Row],[Limiting current (mA)]]="",CalKm[[#This Row],[Electrode area (cm²)]]="",CalKm[[#This Row],[Ferricyanide (mM)]]=""),"",IFERROR((CalKm[[#This Row],[Limiting current (mA)]]/1000)/(Calibrations!n_e_fcn*Calibrations!F_const*(CalKm[[#This Row],[Electrode area (cm²)]]/10000)*CalKm[[#This Row],[Ferricyanide (mM)]])*100,""))</calculatedColumnFormula>
    </tableColumn>
    <tableColumn id="12" name="k_m O₂ (computed, cm/s)">
      <calculatedColumnFormula>IF(OR(CalKm[[#This Row],[k_m ferricyanide (computed, cm/s)]]="",CalKm[[#This Row],[D ferricyanide (m²/s)]]=""),"",IFERROR(CalKm[[#This Row],[k_m ferricyanide (computed, cm/s)]]*(Calibrations!D_O2/CalKm[[#This Row],[D ferricyanide (m²/s)]])^Calibrations!km_exp,""))</calculatedColumnFormula>
    </tableColumn>
    <tableColumn id="13" name="Type (auto)">
      <calculatedColumnFormula>IFERROR(INDEX(ReactorTypeList,MATCH(CalKm[[#This Row],[Reactor]],ReactorList,0)),"")</calculatedColumnFormula>
    </tableColumn>
    <tableColumn id="14" name="Include?"/>
    <tableColumn id="15" name="Notes"/>
  </tableColumns>
</table>
</file>

<file path=xl/tables/table17.xml><?xml version="1.0" encoding="utf-8"?>
<table xmlns="http://schemas.openxmlformats.org/spreadsheetml/2006/main" id="17" name="CalChloramine" displayName="CalChloramine" ref="A7:L15" headerRowCount="1">
  <tableColumns count="12">
    <tableColumn id="1" name="Researcher"/>
    <tableColumn id="2" name="Date"/>
    <tableColumn id="3" name="Reactor"/>
    <tableColumn id="4" name="Medium"/>
    <tableColumn id="5" name="Combined chlorine plateau (mg/L as Cl₂)"/>
    <tableColumn id="6" name="Chloride turnover k (1/s)"/>
    <tableColumn id="7" name="Chloride pool C (mol/L)"/>
    <tableColumn id="8" name="Max production P (mol/L/s)"/>
    <tableColumn id="9" name="Lifetime (computed, h)">
      <calculatedColumnFormula>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calculatedColumnFormula>
    </tableColumn>
    <tableColumn id="10" name="Type (auto)">
      <calculatedColumnFormula>IFERROR(INDEX(ReactorTypeList,MATCH(CalChloramine[[#This Row],[Reactor]],ReactorList,0)),"")</calculatedColumnFormula>
    </tableColumn>
    <tableColumn id="11" name="Include?"/>
    <tableColumn id="12" name="Notes"/>
  </tableColumns>
</table>
</file>

<file path=xl/tables/table18.xml><?xml version="1.0" encoding="utf-8"?>
<table xmlns="http://schemas.openxmlformats.org/spreadsheetml/2006/main" id="18" name="Experiments" displayName="Experiments" ref="A5:J25" headerRowCount="1">
  <tableColumns count="10">
    <tableColumn id="1" name="Researcher"/>
    <tableColumn id="2" name="Date"/>
    <tableColumn id="3" name="Experiment (Summary list)"/>
    <tableColumn id="4" name="Reactor or type"/>
    <tableColumn id="5" name="Electrode"/>
    <tableColumn id="6" name="Organism"/>
    <tableColumn id="7" name="Medium"/>
    <tableColumn id="8" name="Temp (°C)"/>
    <tableColumn id="9" name="Result"/>
    <tableColumn id="10" name="Notes"/>
  </tableColumns>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 Id="rId2"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215"/>
  <sheetViews>
    <sheetView tabSelected="1" workbookViewId="0">
      <pane xSplit="1" ySplit="1" topLeftCell="B2" activePane="bottomRight" state="frozen"/>
      <selection pane="bottomRight" activeCell="B2" sqref="B2"/>
    </sheetView>
  </sheetViews>
  <sheetFormatPr baseColWidth="10" defaultColWidth="8.83203125" defaultRowHeight="15" x14ac:dyDescent="0.2"/>
  <cols>
    <col min="1" max="1" width="44" customWidth="1"/>
    <col min="2" max="2" width="19" customWidth="1"/>
    <col min="3" max="3" width="6" customWidth="1"/>
    <col min="4" max="4" width="44" customWidth="1"/>
    <col min="5" max="5" width="15" customWidth="1"/>
    <col min="6" max="6" width="110.5" style="296" bestFit="1" customWidth="1"/>
  </cols>
  <sheetData>
    <row r="1" x14ac:dyDescent="0.2" ht="17" customHeight="1">
      <c r="A1" t="inlineStr" s="263">
        <is>
          <t>Inputs</t>
        </is>
      </c>
      <c r="B1" t="s" s="263">
        <v>21</v>
      </c>
      <c r="C1" t="s" s="263">
        <v>22</v>
      </c>
      <c r="D1" t="s" s="263">
        <v>23</v>
      </c>
      <c r="E1" t="s" s="263">
        <v>24</v>
      </c>
      <c r="F1" t="s" s="264">
        <v>25</v>
      </c>
    </row>
    <row r="2" thickBot="1" x14ac:dyDescent="0.25" ht="17" customHeight="1">
      <c r="A2" t="s" s="265">
        <v>1</v>
      </c>
      <c r="B2" t="s" s="266">
        <v>26</v>
      </c>
      <c r="C2" s="267"/>
      <c r="D2" t="s" s="268">
        <v>14</v>
      </c>
      <c r="E2" t="s" s="269">
        <v>27</v>
      </c>
      <c r="F2" t="s" s="270">
        <v>28</v>
      </c>
    </row>
    <row r="3" thickBot="1" x14ac:dyDescent="0.25" ht="17" customHeight="1">
      <c r="A3" t="s" s="265">
        <v>29</v>
      </c>
      <c r="B3" t="s" s="266">
        <v>30</v>
      </c>
      <c r="C3" s="267"/>
      <c r="D3" t="s" s="268">
        <v>31</v>
      </c>
      <c r="E3" t="s" s="269">
        <v>27</v>
      </c>
      <c r="F3" s="270" t="inlineStr">
        <is>
          <t xml:space="preserve">Anode material and sparger. Choose from the list (Electrodes sheet). Dropdown.</t>
        </is>
      </c>
    </row>
    <row r="4" x14ac:dyDescent="0.2" ht="17" customHeight="1">
      <c r="A4" t="s" s="265">
        <v>32</v>
      </c>
      <c r="B4" t="s" s="266">
        <v>33</v>
      </c>
      <c r="C4" s="267"/>
      <c r="D4" t="s" s="268">
        <v>466</v>
      </c>
      <c r="E4" t="s" s="269">
        <v>27</v>
      </c>
      <c r="F4" t="s" s="270">
        <v>35</v>
      </c>
    </row>
    <row r="5" x14ac:dyDescent="0.2" ht="17" customHeight="1">
      <c r="A5" t="s" s="265">
        <v>36</v>
      </c>
      <c r="B5" t="s" s="266">
        <v>37</v>
      </c>
      <c r="C5" s="271"/>
      <c r="D5" s="268" t="inlineStr">
        <is>
          <t xml:space="preserve">AM003</t>
        </is>
      </c>
      <c r="E5" t="s" s="269">
        <v>27</v>
      </c>
      <c r="F5" t="s" s="270">
        <v>38</v>
      </c>
    </row>
    <row r="6" x14ac:dyDescent="0.2" ht="27" customHeight="1">
      <c r="A6" t="s" s="265">
        <v>1118</v>
      </c>
      <c r="B6" t="s" s="266">
        <v>39</v>
      </c>
      <c r="C6" t="s" s="265">
        <v>40</v>
      </c>
      <c r="D6" s="268">
        <v>3</v>
      </c>
      <c r="E6" t="s" s="269">
        <v>41</v>
      </c>
      <c r="F6" t="s" s="272">
        <v>2701</v>
      </c>
    </row>
    <row r="7" x14ac:dyDescent="0.2" ht="17" customHeight="1">
      <c r="A7" t="s" s="265">
        <v>42</v>
      </c>
      <c r="B7" t="s" s="266">
        <v>43</v>
      </c>
      <c r="C7" t="s" s="265">
        <v>44</v>
      </c>
      <c r="D7" s="268">
        <v>1000</v>
      </c>
      <c r="E7" t="s" s="269">
        <v>41</v>
      </c>
      <c r="F7" t="s" s="270">
        <v>45</v>
      </c>
    </row>
    <row r="8" x14ac:dyDescent="0.2" ht="17" customHeight="1">
      <c r="A8" t="s" s="265">
        <v>46</v>
      </c>
      <c r="B8" t="s" s="266">
        <v>47</v>
      </c>
      <c r="C8" t="s" s="265">
        <v>48</v>
      </c>
      <c r="D8" s="268">
        <v>30</v>
      </c>
      <c r="E8" t="s" s="269">
        <v>41</v>
      </c>
      <c r="F8" t="s" s="270">
        <v>49</v>
      </c>
    </row>
    <row r="9" x14ac:dyDescent="0.2" ht="17" customHeight="1">
      <c r="A9" t="s" s="265">
        <v>50</v>
      </c>
      <c r="B9" t="s" s="266">
        <v>51</v>
      </c>
      <c r="C9" t="s" s="265">
        <v>52</v>
      </c>
      <c r="D9" s="268"/>
      <c r="E9" t="s" s="269">
        <v>53</v>
      </c>
      <c r="F9" t="s" s="270">
        <v>54</v>
      </c>
    </row>
    <row r="10" x14ac:dyDescent="0.2" ht="17" customHeight="1">
      <c r="A10" t="s" s="265">
        <v>55</v>
      </c>
      <c r="B10" t="s" s="266">
        <v>56</v>
      </c>
      <c r="C10" t="s" s="265">
        <v>57</v>
      </c>
      <c r="D10" s="268"/>
      <c r="E10" t="s" s="269">
        <v>53</v>
      </c>
      <c r="F10" t="s" s="270">
        <v>58</v>
      </c>
    </row>
    <row r="11" x14ac:dyDescent="0.2" ht="52" customHeight="1">
      <c r="A11" t="s" s="265">
        <v>1734</v>
      </c>
      <c r="B11" t="s" s="266">
        <v>1735</v>
      </c>
      <c r="C11" t="s" s="265">
        <v>108</v>
      </c>
      <c r="D11" t="s" s="268">
        <v>1736</v>
      </c>
      <c r="E11" t="s" s="269">
        <v>27</v>
      </c>
      <c r="F11" t="s" s="272">
        <v>2702</v>
      </c>
    </row>
    <row r="12" x14ac:dyDescent="0.2" ht="39.5" customHeight="1">
      <c r="A12" t="s" s="265">
        <v>1737</v>
      </c>
      <c r="B12" t="s" s="266">
        <v>1738</v>
      </c>
      <c r="C12" t="s" s="265">
        <v>108</v>
      </c>
      <c r="D12" t="s" s="268">
        <v>1739</v>
      </c>
      <c r="E12" t="s" s="269">
        <v>27</v>
      </c>
      <c r="F12" t="inlineStr" s="272">
        <is>
          <t>"Growth" sizes the headline schedule (rows 21–22) on the O₂ surplus after knallgas uptake; "Lag" on the whole net electrolytic O₂ plus H₂ (no uptake yet). Anything else → #N/A. Both phases are shown either way, and the start-up schedule (rows 23 and 25) is always the lag one. If the chosen phase’s DO target is unreachable (rows 100–101), the schedule falls back to the legacy O₂ flush guard (Mass Transfer D89).</t>
        </is>
      </c>
    </row>
    <row r="13" x14ac:dyDescent="0.2" ht="39.5" customHeight="1">
      <c r="A13" t="s" s="273">
        <v>2704</v>
      </c>
      <c r="B13" t="s" s="266">
        <v>2705</v>
      </c>
      <c r="C13" t="s" s="265">
        <v>2586</v>
      </c>
      <c r="D13" s="268"/>
      <c r="E13" t="s" s="269">
        <v>53</v>
      </c>
      <c r="F13" t="inlineStr" s="272">
        <is>
          <t>NaHCO₃ added to the medium; blank = none. It feeds the charge balance, ionic strength, conductivity and CO₂ storage (Chemistry D44, D185, D180, D296), so pH, DO and the schedule respond. Row 68 then shows what is still needed. After a large addition (pH up by more than 0.1) re-enter the DIC reference pH, Chemistry D291 (D310 says when).</t>
        </is>
      </c>
    </row>
    <row r="14" x14ac:dyDescent="0.2" ht="39.5" customHeight="1">
      <c r="A14" t="s" s="273">
        <v>2707</v>
      </c>
      <c r="B14" t="s" s="266">
        <v>2708</v>
      </c>
      <c r="C14" t="s" s="265">
        <v>309</v>
      </c>
      <c r="D14" s="268"/>
      <c r="E14" t="s" s="269">
        <v>53</v>
      </c>
      <c r="F14" t="inlineStr" s="272">
        <is>
          <t>Blank = none, the owner’s preference: fix the medium first (rows 64–69). If N₂ must be used it is pulsed apart from the CO₂ pulses (owner, T7); the balance takes its mean flow as an inert inflow with no O₂ or CO₂ (Mass Transfer D424–D425), exact for the mean-field fractions; the sawtooth of a separate N₂ flush is a model improvement (row 160).</t>
        </is>
      </c>
    </row>
    <row r="15" x14ac:dyDescent="0.2" ht="27" customHeight="1">
      <c r="A15" t="s" s="265">
        <v>2710</v>
      </c>
      <c r="B15" t="s" s="266">
        <v>2711</v>
      </c>
      <c r="C15" t="s" s="265">
        <v>12</v>
      </c>
      <c r="D15" s="268">
        <v>0.05</v>
      </c>
      <c r="E15" t="s" s="269">
        <v>41</v>
      </c>
      <c r="F15" t="inlineStr" s="272">
        <is>
          <t>Smallest step the AEP-Plugin solenoid timer is commanded in; the pulse is rounded to it (row 21). Same solenoid as ed04, whose logged pulses (0.2, 0.25, 0.4, 0.6 s) are all 0.05 s multiples (owner, T8).</t>
        </is>
      </c>
    </row>
    <row r="16" ht="27" customHeight="1">
      <c r="A16" t="inlineStr" s="265">
        <is>
          <t>Nitrogen source</t>
        </is>
      </c>
      <c r="B16" t="inlineStr" s="266">
        <is>
          <t>N_source_sel</t>
        </is>
      </c>
      <c r="C16" t="inlineStr" s="265">
        <is>
          <t>-</t>
        </is>
      </c>
      <c r="D16" t="inlineStr" s="268">
        <is>
          <t>Ammonium (recipe)</t>
        </is>
      </c>
      <c r="E16" t="inlineStr" s="269">
        <is>
          <t>select</t>
        </is>
      </c>
      <c r="F16" t="inlineStr" s="270">
        <is>
          <t>Ammonium (recipe) = the medium as written. Nitrate (KNO₃) and Urea swap the recipe’s (NH₄)₂SO₄ for K₂SO₄ and add the same nitrogen as KNO₃ or urea (amounts in rows 64–67). Ammonium uptake releases one H⁺ per N taken up, nitrate uptake consumes one, urea releases none (Chemistry D326).</t>
        </is>
      </c>
    </row>
    <row r="17" ht="32" customHeight="1">
      <c r="A17" t="inlineStr" s="274">
        <is>
          <t>Biomass at the end of the run (dry weight)</t>
        </is>
      </c>
      <c r="B17" t="inlineStr" s="266">
        <is>
          <t>X_end_gL</t>
        </is>
      </c>
      <c r="C17" t="inlineStr" s="265">
        <is>
          <t>g/L</t>
        </is>
      </c>
      <c r="D17" s="268">
        <v>1</v>
      </c>
      <c r="E17" t="inlineStr" s="269">
        <is>
          <t>input</t>
        </is>
      </c>
      <c r="F17" t="inlineStr" s="270">
        <is>
          <t>Sets the nitrogen taken up by the end of the run (11.4 % N, Chemistry D335) and so the end-of-run pH (row 28) and the media options (rows 64–67). Blank = start of the run only.</t>
        </is>
      </c>
    </row>
    <row r="18" ht="39.5" customHeight="1">
      <c r="A18" t="inlineStr" s="265">
        <is>
          <t>Pulse-length rule</t>
        </is>
      </c>
      <c r="B18" t="inlineStr" s="266">
        <is>
          <t>pulse_rule_sel</t>
        </is>
      </c>
      <c r="C18" t="inlineStr" s="265">
        <is>
          <t>-</t>
        </is>
      </c>
      <c r="D18" t="inlineStr" s="268">
        <is>
          <t>Headspace flush</t>
        </is>
      </c>
      <c r="E18" t="inlineStr" s="269">
        <is>
          <t>select</t>
        </is>
      </c>
      <c r="F18" t="inlineStr" s="270">
        <is>
          <t>"Headspace flush" sizes each pulse to deliver about one headspace volume (Mass Transfer D90). "Shortest reliable pulse" uses the solenoid floor instead (0.25 s from the ed04 bench check, CO2 flows I4, until a Calibrations run replaces it): less CO₂ per pulse and more frequent pulses, but a higher lag-phase DO. Row 21 rounds either to the step in row 15.</t>
        </is>
      </c>
    </row>
    <row r="20" thickBot="1" x14ac:dyDescent="0.25" ht="17" customHeight="1">
      <c r="A20" t="s" s="263">
        <v>59</v>
      </c>
      <c r="B20" t="s" s="263">
        <v>21</v>
      </c>
      <c r="C20" t="s" s="263">
        <v>22</v>
      </c>
      <c r="D20" t="s" s="263">
        <v>23</v>
      </c>
      <c r="E20" t="s" s="263">
        <v>24</v>
      </c>
      <c r="F20" t="s" s="264">
        <v>25</v>
      </c>
      <c r="G20" t="s" s="263">
        <v>1011</v>
      </c>
    </row>
    <row r="21" s="271" customFormat="1" thickBot="1" x14ac:dyDescent="0.25" ht="32" customHeight="1">
      <c r="A21" s="274" t="inlineStr">
        <is>
          <t xml:space="preserve">Candidate CO₂ pulse length (sparge_duration_seconds)</t>
        </is>
      </c>
      <c r="B21" t="s" s="266">
        <v>1671</v>
      </c>
      <c r="C21" t="s" s="265">
        <v>12</v>
      </c>
      <c r="D21" s="212">
        <f>IF(NOT(ISNUMBER(res_spg_dur)),res_spg_dur,'Mass Transfer'!spg_dur)</f>
        <v>0.65</v>
      </c>
      <c r="E21" s="275" t="str">
        <f>HYPERLINK("#'Mass Transfer'!D121","→ Mass Transfer")</f>
        <v>→ Mass Transfer</v>
      </c>
      <c r="F21" t="inlineStr" s="272">
        <is>
          <t>The pulse to command: the ideal (row 34) rounded to the solenoid step (row 15), or your override in G21. Every check below evaluates this pulse.</t>
        </is>
      </c>
      <c r="G21" s="268"/>
    </row>
    <row r="22" x14ac:dyDescent="0.2" ht="32" customHeight="1">
      <c r="A22" s="274" t="inlineStr">
        <is>
          <t xml:space="preserve">Candidate CO₂ interval (sparge_interval_minutes)</t>
        </is>
      </c>
      <c r="B22" t="s" s="266">
        <v>1674</v>
      </c>
      <c r="C22" t="s" s="265">
        <v>61</v>
      </c>
      <c r="D22" s="212">
        <f>IF(NOT(ISNUMBER(res_spg_int)),res_spg_int,'Mass Transfer'!spg_int)</f>
        <v>7.07</v>
      </c>
      <c r="E22" s="275" t="str">
        <f>HYPERLINK("#'Mass Transfer'!D122","→ Mass Transfer")</f>
        <v>→ Mass Transfer</v>
      </c>
      <c r="F22" t="inlineStr" s="272">
        <is>
          <t>The interval to command, in decimal minutes: the ideal (row 35) shortened in proportion to the CO₂ the rounded pulse actually delivers (the flow fit’s fixed per-pulse volume makes it not quite proportional), then rounded down to 0.01 min. Your override in G22 wins.</t>
        </is>
      </c>
      <c r="G22" s="268"/>
    </row>
    <row r="23" x14ac:dyDescent="0.2" ht="52" customHeight="1">
      <c r="A23" s="273" t="inlineStr">
        <is>
          <t xml:space="preserve">Candidate start-up interval, same pulse</t>
        </is>
      </c>
      <c r="B23" t="s" s="266">
        <v>2728</v>
      </c>
      <c r="C23" t="s" s="265">
        <v>61</v>
      </c>
      <c r="D23" s="212">
        <f>'Mass Transfer'!spg_int_su_run</f>
        <v>1.16</v>
      </c>
      <c r="E23" s="275" t="str">
        <f>HYPERLINK("#'Mass Transfer'!D547","→ Mass Transfer")</f>
        <v>→ Mass Transfer</v>
      </c>
      <c r="F23" t="s" s="272">
        <v>2729</v>
      </c>
    </row>
    <row r="24" ht="32" customHeight="1">
      <c r="A24" t="inlineStr" s="274">
        <is>
          <t>Start-up electrolysis power for the lag DO target</t>
        </is>
      </c>
      <c r="B24" t="inlineStr" s="266">
        <is>
          <t>res_power_su</t>
        </is>
      </c>
      <c r="C24" t="inlineStr" s="265">
        <is>
          <t>%</t>
        </is>
      </c>
      <c r="D24" s="198">
        <f>Electrochemistry!power_su</f>
        <v>1.019048426564</v>
      </c>
      <c r="E24" s="275" t="str">
        <f>HYPERLINK("#Electrochemistry!D181","→ Electrochemistry")</f>
        <v>→ Electrochemistry</v>
      </c>
      <c r="F24" s="270" t="str">
        <f>"Until uptake starts, the power at which the lag DO target is reachable at the surface kLa in use (then return to row 6). "&amp;Electrochemistry!power_su_basis</f>
        <v>Until uptake starts, the power at which the lag DO target is reachable at the surface kLa in use (then return to row 6). EXTRAPOLATED below the 3 % current curve – DATA GAP: measure the low-power current curve</v>
      </c>
    </row>
    <row r="25" thickBot="1" x14ac:dyDescent="0.25" ht="47" customHeight="1">
      <c r="A25" t="s" s="273">
        <v>2732</v>
      </c>
      <c r="B25" t="s" s="266">
        <v>2733</v>
      </c>
      <c r="D25" s="276" t="str">
        <f>IF(ISNUMBER('Mass Transfer'!spg_int_su_run),"DO "&amp;TEXT('Mass Transfer'!DO_avg_su_mgL,"0.0")&amp;" mg/L mean, "&amp;TEXT('Mass Transfer'!DO_peak_su_mgL,"0.0")&amp;" peak; H₂ "&amp;TEXT('Mass Transfer'!y_H2_end_su,"0%")&amp;" before each pulse; set by "&amp;'Mass Transfer'!su_binding,"no executable start-up schedule")</f>
        <v>DO 4.5 mg/L mean, 4.5 peak; H₂ 3% before each pulse; set by the legacy O₂ flush guard (lag DO target unreachable)</v>
      </c>
      <c r="E25" s="275" t="str">
        <f>HYPERLINK("#'Mass Transfer'!D556","→ Mass Transfer")</f>
        <v>→ Mass Transfer</v>
      </c>
      <c r="F25" t="inlineStr" s="272">
        <is>
          <t>The lag sawtooth at the start-up interval, on start-up sources that assume no cathodic O₂ loss (Mass Transfer D572) unless the schedule is sized on Lag; rows 46–47 show the lag phase at the headline schedule instead.</t>
        </is>
      </c>
    </row>
    <row r="26" x14ac:dyDescent="0.2" ht="27" customHeight="1">
      <c r="A26" t="s" s="265">
        <v>2716</v>
      </c>
      <c r="B26" t="s" s="266">
        <v>2717</v>
      </c>
      <c r="D26" s="277" t="str">
        <f>'Mass Transfer'!opt_binding</f>
        <v>O2-DILUTION (headspace O2 sets the interval)</v>
      </c>
      <c r="E26" s="275" t="str">
        <f>HYPERLINK("#'Mass Transfer'!D94","→ Mass Transfer")</f>
        <v>→ Mass Transfer</v>
      </c>
      <c r="F26" t="inlineStr" s="272">
        <is>
          <t>Which upper bound sets row 35: carbon supply, headspace-O₂ dilution, the pH ceiling (rows 36–38) or, when sized on Lag, the H₂ flammability screen; an invalid selector or an unreachable target is named here instead.</t>
        </is>
      </c>
    </row>
    <row r="27" thickBot="1" x14ac:dyDescent="0.25" ht="39.5" customHeight="1">
      <c r="A27" s="273" t="inlineStr">
        <is>
          <t xml:space="preserve">pH at cycle-average dissolved CO₂ (activity scale)</t>
        </is>
      </c>
      <c r="B27" t="s" s="266">
        <v>1699</v>
      </c>
      <c r="C27" s="271"/>
      <c r="D27" s="198">
        <f>Chemistry!pH_meas</f>
        <v>6.487161438894</v>
      </c>
      <c r="E27" s="275" t="str">
        <f>HYPERLINK("#Chemistry!D220","→ Chemistry")</f>
        <v>→ Chemistry</v>
      </c>
      <c r="F27" s="272" t="inlineStr">
        <is>
          <t xml:space="preserve">Equilibrium pH evaluated at cycle-average dissolved CO₂, not the time-average of pH. The logarithmic pH transformation makes these different. Pulse extremes and changes during growth require validation; thresholds are in rows 181–184.</t>
        </is>
      </c>
    </row>
    <row r="28" ht="32" customHeight="1">
      <c r="A28" s="274" t="str">
        <f>"pH at the end of the run ("&amp;TEXT(X_end_gL,"0.0")&amp;" g/L biomass)"</f>
        <v>pH at the end of the run (1.0 g/L biomass)</v>
      </c>
      <c r="B28" t="inlineStr" s="266">
        <is>
          <t>res_pH_end</t>
        </is>
      </c>
      <c r="C28" t="inlineStr" s="265">
        <is>
          <t>pH</t>
        </is>
      </c>
      <c r="D28" s="198">
        <f>Chemistry!pH_end</f>
        <v>6.430267240427</v>
      </c>
      <c r="E28" s="275" t="str">
        <f>HYPERLINK("#Chemistry!D348","→ Chemistry")</f>
        <v>→ Chemistry</v>
      </c>
      <c r="F28" t="inlineStr" s="270">
        <is>
          <t>Probe-scale pH once the culture has taken up the nitrogen for the biomass in row 17, at today’s schedule. With ammonium it falls as the culture grows; the media options in rows 64–67 compare the alternatives.</t>
        </is>
      </c>
    </row>
    <row r="29" x14ac:dyDescent="0.2" ht="32" customHeight="1">
      <c r="A29" t="s" s="273">
        <v>1701</v>
      </c>
      <c r="B29" t="s" s="266">
        <v>1702</v>
      </c>
      <c r="C29" t="s" s="265">
        <v>83</v>
      </c>
      <c r="D29" s="198">
        <f>'Mass Transfer'!DO_ss</f>
        <v>2.275287892306</v>
      </c>
      <c r="E29" s="275" t="str">
        <f>HYPERLINK("#'Mass Transfer'!D108","→ Mass Transfer")</f>
        <v>→ Mass Transfer</v>
      </c>
      <c r="F29" t="inlineStr" s="272">
        <is>
          <t>Time-mean dissolved O₂ of the sawtooth model at the schedule in use, on the sizing phase; near the target by construction when O₂ dilution binds. Both phases, mean and peak: rows 44–47.</t>
        </is>
      </c>
    </row>
    <row r="30" thickBot="1" x14ac:dyDescent="0.25" ht="17" customHeight="1">
      <c r="A30" t="s" s="265">
        <v>1009</v>
      </c>
      <c r="B30" t="s" s="266">
        <v>1700</v>
      </c>
      <c r="C30" t="s" s="265">
        <v>83</v>
      </c>
      <c r="D30" s="262">
        <f>Chemistry!C_eff_Cl2</f>
        <v>0.0</v>
      </c>
      <c r="E30" s="275" t="str">
        <f>HYPERLINK("#Chemistry!D226","→ Chemistry")</f>
        <v>→ Chemistry</v>
      </c>
      <c r="F30" s="272"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31" x14ac:dyDescent="0.2" ht="47" customHeight="1">
      <c r="A31" t="s" s="273">
        <v>1682</v>
      </c>
      <c r="B31" t="inlineStr" s="266">
        <is>
          <t>res_relax</t>
        </is>
      </c>
      <c r="C31" s="271"/>
      <c r="D31" s="276" t="str">
        <f>'Mass Transfer'!sched_regime</f>
        <v>Do NOT relax: at the carbon-limited interval (185 min) the cycle-mean DO would be ≈14 mg/L, above the 10.1 mg/L inhibition ceiling (peaks higher)</v>
      </c>
      <c r="E31" s="275" t="str">
        <f>HYPERLINK("#'Mass Transfer'!D113","→ Mass Transfer")</f>
        <v>→ Mass Transfer</v>
      </c>
      <c r="F31" t="s" s="272">
        <v>1684</v>
      </c>
    </row>
    <row r="32" ht="60" customHeight="1">
      <c r="A32" s="273" t="inlineStr">
        <is>
          <t xml:space="preserve">Recommendation qualification</t>
        </is>
      </c>
      <c r="B32" s="266" t="inlineStr">
        <is>
          <t xml:space="preserve">res_qualification</t>
        </is>
      </c>
      <c r="D32" s="276" t="str">
        <f>IFERROR(IF(NOT(AND(ISNUMBER(res_spg_dur_run),ISNUMBER(res_spg_int_run),ISNUMBER(res_pH),ISNUMBER(res_pH_end),ISNUMBER(res_DO_ss))),"INVALID OR MISSING INPUT; no qualified recommendation",IF(OR(NOT(ISNUMBER(res_spg_int_DO)),res_pH&lt;cf_pH_lo,res_pH&gt;cf_pH_hi,res_pH_end&lt;cf_pH_lo,res_pH_end&gt;cf_pH_hi,res_DO_ss&gt;'Mass Transfer'!DO_target*'Mass Transfer'!M_O2),"NOT FEASIBLE for the stated pH/DO targets; candidate only","PROVISIONAL candidate; growth/productivity optimum not established")),"INVALID OR MISSING INPUT; no qualified recommendation")</f>
        <v>NOT FEASIBLE for the stated pH/DO targets; candidate only</v>
      </c>
      <c r="E32" s="275" t="str">
        <f>HYPERLINK("#Summary!A203","→ Requirements")</f>
        <v>→ Requirements</v>
      </c>
      <c r="F32" s="272" t="inlineStr">
        <is>
          <t xml:space="preserve">Objective: highest measured growth/productivity. The pulse rule and interval bounds do not optimise that objective. Passing this screen does not establish feasibility of all cycle, hardware or hazard constraints. Complete the requirements below; no optimality claim until independently validated.</t>
        </is>
      </c>
    </row>
    <row r="33">
      <c r="A33" t="inlineStr" s="278">
        <is>
          <t>HOW THE SCHEDULE IS SIZED (upper bounds on the interval; the shortest sets it)</t>
        </is>
      </c>
      <c r="B33" s="278"/>
      <c r="C33" s="278"/>
      <c r="D33" s="278"/>
      <c r="E33" s="278"/>
      <c r="F33" s="278"/>
    </row>
    <row r="34" thickBot="1" x14ac:dyDescent="0.25" ht="32" customHeight="1">
      <c r="A34" t="inlineStr" s="274">
        <is>
          <t>CO₂ pulse length — ideal, before rounding</t>
        </is>
      </c>
      <c r="B34" t="s" s="266">
        <v>1669</v>
      </c>
      <c r="C34" t="s" s="265">
        <v>12</v>
      </c>
      <c r="D34" s="199">
        <f>IF('Mass Transfer'!has_cal=0,"calibrate this reactor first (CO₂ flow section of the Calibrations tab, or a CO2 flows row)",'Mass Transfer'!spg_dur_opt)</f>
        <v>0.674076519917</v>
      </c>
      <c r="E34" s="275" t="str">
        <f>HYPERLINK("#'Mass Transfer'!D90","→ Mass Transfer")</f>
        <v>→ Mass Transfer</v>
      </c>
      <c r="F34" t="inlineStr" s="270">
        <is>
          <t>How long the solenoid should open each dose before rounding to the step in row 15; set by the pulse-length rule (row 18).</t>
        </is>
      </c>
    </row>
    <row r="35" thickBot="1" x14ac:dyDescent="0.25" ht="32" customHeight="1">
      <c r="A35" s="273" t="str">
        <f>"CO₂ sparge interval — ideal ("&amp;vent_model_sel&amp;", sized on "&amp;O2_phase_sel&amp;")"</f>
        <v>CO₂ sparge interval — ideal (Open vent, sized on Growth)</v>
      </c>
      <c r="B35" t="s" s="266">
        <v>1672</v>
      </c>
      <c r="C35" t="s" s="265">
        <v>61</v>
      </c>
      <c r="D35" s="198">
        <f>IF('Mass Transfer'!has_cal=0,"calibrate this reactor first (CO₂ flow section of the Calibrations tab, or a CO2 flows row)",'Mass Transfer'!spg_int_opt)</f>
        <v>7.293500622657</v>
      </c>
      <c r="E35" s="275" t="str">
        <f>HYPERLINK("#'Mass Transfer'!D91","→ Mass Transfer")</f>
        <v>→ Mass Transfer</v>
      </c>
      <c r="F35" t="inlineStr" s="272">
        <is>
          <t>Time between doses before rounding: the shortest of rows 36–39, plus the H₂ flammability screen when the schedule is sized on Lag (row 12). Row 26 says which binds.</t>
        </is>
      </c>
    </row>
    <row r="36" x14ac:dyDescent="0.2" ht="17" customHeight="1">
      <c r="A36" t="s" s="265">
        <v>1703</v>
      </c>
      <c r="B36" t="s" s="266">
        <v>1704</v>
      </c>
      <c r="C36" t="s" s="265">
        <v>61</v>
      </c>
      <c r="D36" s="196">
        <f>'Mass Transfer'!spg_int_carbon</f>
        <v>184.723136314261</v>
      </c>
      <c r="E36" s="275" t="str">
        <f>HYPERLINK("#'Mass Transfer'!D112","→ Mass Transfer")</f>
        <v>→ Mass Transfer</v>
      </c>
      <c r="F36" t="s" s="272">
        <v>1705</v>
      </c>
    </row>
    <row r="37" x14ac:dyDescent="0.2" ht="27" customHeight="1">
      <c r="A37" t="s" s="265">
        <v>1592</v>
      </c>
      <c r="B37" t="s" s="266">
        <v>2722</v>
      </c>
      <c r="C37" t="s" s="265">
        <v>61</v>
      </c>
      <c r="D37" s="198">
        <f>'Mass Transfer'!spg_int_DO</f>
        <v>7.293500622657</v>
      </c>
      <c r="E37" s="275" t="str">
        <f>HYPERLINK("#'Mass Transfer'!D185","→ Mass Transfer")</f>
        <v>→ Mass Transfer</v>
      </c>
      <c r="F37" t="s" s="272">
        <v>2723</v>
      </c>
    </row>
    <row r="38" x14ac:dyDescent="0.2" ht="47" customHeight="1">
      <c r="A38" t="s" s="273">
        <v>2724</v>
      </c>
      <c r="B38" t="s" s="266">
        <v>2725</v>
      </c>
      <c r="C38" t="s" s="265">
        <v>61</v>
      </c>
      <c r="D38" s="196">
        <f>'Mass Transfer'!spg_int_pH</f>
        <v>212.486056390007</v>
      </c>
      <c r="E38" s="275" t="str">
        <f>HYPERLINK("#'Mass Transfer'!D432","→ Mass Transfer")</f>
        <v>→ Mass Transfer</v>
      </c>
      <c r="F38" t="inlineStr" s="272">
        <is>
          <t>Longest interval keeping pH at or under the band ceiling, for the pulse in use. Far above the other bounds, or "no pH bound", unless N₂ dilutes the headspace; then it stops pH overshooting the band once CO₂ no longer has to dilute O₂. Row 104 warns if a long interval lets the carbon pool run dry.</t>
        </is>
      </c>
    </row>
    <row r="39" ht="32" customHeight="1">
      <c r="A39" t="inlineStr" s="274">
        <is>
          <t>Carbon-trough interval (longest keeping the pool over the margin)</t>
        </is>
      </c>
      <c r="B39" t="inlineStr" s="266">
        <is>
          <t>res_spg_int_trough</t>
        </is>
      </c>
      <c r="C39" t="inlineStr" s="265">
        <is>
          <t>min</t>
        </is>
      </c>
      <c r="D39" s="196">
        <f>'Mass Transfer'!spg_int_trough</f>
        <v>203.888850304762</v>
      </c>
      <c r="E39" s="275" t="str">
        <f>HYPERLINK("#'Mass Transfer'!D594","→ Mass Transfer")</f>
        <v>→ Mass Transfer</v>
      </c>
      <c r="F39" t="inlineStr" s="270">
        <is>
          <t>Longest interval, for the pulse in use, keeping the dissolved CO₂ just before each pulse (the cycle trough) at or above carbon_trough_min × RuBisCO Km (Mass Transfer D592: 2× until the owner sets it). Far above the other bounds unless N₂ dilutes the headspace.</t>
        </is>
      </c>
    </row>
    <row r="40" x14ac:dyDescent="0.2" ht="27" customHeight="1">
      <c r="A40" t="s" s="265">
        <v>1733</v>
      </c>
      <c r="B40" t="s" s="266">
        <v>2730</v>
      </c>
      <c r="C40" t="s" s="265">
        <v>87</v>
      </c>
      <c r="D40" s="198">
        <f>IF(AND(ISNUMBER(res_spg_dur_run),ISNUMBER(res_spg_int_run),ISNUMBER('Mass Transfer'!duty_actual)),('Mass Transfer'!pulse_V0+'Mass Transfer'!Q_CO2_fit*res_spg_dur_run)/('Mass Transfer'!Q_CO2/60)/(60*res_spg_int_run)/'Mass Transfer'!duty_actual,"calibrate this reactor first (CO₂ flow section of the Calibrations tab, or a CO2 flows row)")</f>
        <v>1.000059954094</v>
      </c>
      <c r="E40" s="275" t="str">
        <f>HYPERLINK("#'Mass Transfer'!D93","→ Mass Transfer")</f>
        <v>→ Mass Transfer</v>
      </c>
      <c r="F40" t="inlineStr" s="272">
        <is>
          <t>Delivered CO₂ duty of the schedule as run (rows 21 and 22) against the sized duty; 1 = rounding the interval has not moved the CO₂ dose. The sizing already uses the commanded pulse (Mass Transfer D320), so a ratio near 1 also means the DO target holds.</t>
        </is>
      </c>
    </row>
    <row r="42" x14ac:dyDescent="0.2">
      <c r="A42" t="inlineStr" s="278">
        <is>
          <t>DISSOLVED O₂ AND HEADSPACE BY PHASE (row 12 picks the phase that sizes the schedule)</t>
        </is>
      </c>
      <c r="B42" s="278"/>
      <c r="C42" s="278"/>
      <c r="D42" s="278"/>
      <c r="E42" s="278"/>
      <c r="F42" s="278"/>
    </row>
    <row r="43" x14ac:dyDescent="0.2" ht="27" customHeight="1">
      <c r="A43" t="s" s="265">
        <v>1740</v>
      </c>
      <c r="B43" t="inlineStr" s="266">
        <is>
          <t>res_Q_vent</t>
        </is>
      </c>
      <c r="C43" t="s" s="265">
        <v>309</v>
      </c>
      <c r="D43" s="210">
        <f>'Mass Transfer'!Q_vent_used</f>
        <v>0.015</v>
      </c>
      <c r="E43" s="275" t="str">
        <f>HYPERLINK("#'Mass Transfer'!D386","→ Mass Transfer")</f>
        <v>→ Mass Transfer</v>
      </c>
      <c r="F43" t="s" s="272">
        <v>2749</v>
      </c>
    </row>
    <row r="44" x14ac:dyDescent="0.2" ht="17" customHeight="1">
      <c r="A44" t="s" s="265">
        <v>1741</v>
      </c>
      <c r="B44" t="inlineStr" s="266">
        <is>
          <t>res_DO_avg_g</t>
        </is>
      </c>
      <c r="C44" t="s" s="265">
        <v>83</v>
      </c>
      <c r="D44" s="198">
        <f>'Mass Transfer'!DO_avg_g_mgL</f>
        <v>2.275287892306</v>
      </c>
      <c r="E44" s="275" t="str">
        <f>HYPERLINK("#'Mass Transfer'!D343","→ Mass Transfer")</f>
        <v>→ Mass Transfer</v>
      </c>
      <c r="F44" t="s" s="270">
        <v>1742</v>
      </c>
    </row>
    <row r="45" x14ac:dyDescent="0.2" ht="17" customHeight="1">
      <c r="A45" t="s" s="265">
        <v>1743</v>
      </c>
      <c r="B45" t="inlineStr" s="266">
        <is>
          <t>res_DO_peak_g</t>
        </is>
      </c>
      <c r="C45" t="s" s="265">
        <v>83</v>
      </c>
      <c r="D45" s="198">
        <f>'Mass Transfer'!DO_peak_g_mgL</f>
        <v>2.480371102791</v>
      </c>
      <c r="E45" s="275" t="str">
        <f>HYPERLINK("#'Mass Transfer'!D344","→ Mass Transfer")</f>
        <v>→ Mass Transfer</v>
      </c>
      <c r="F45" t="s" s="270">
        <v>1744</v>
      </c>
    </row>
    <row r="46" x14ac:dyDescent="0.2" ht="27" customHeight="1">
      <c r="A46" t="s" s="265">
        <v>1745</v>
      </c>
      <c r="B46" t="inlineStr" s="266">
        <is>
          <t>res_DO_avg_l</t>
        </is>
      </c>
      <c r="C46" t="s" s="265">
        <v>83</v>
      </c>
      <c r="D46" s="198">
        <f>'Mass Transfer'!DO_avg_l_mgL</f>
        <v>5.614717330178</v>
      </c>
      <c r="E46" s="275" t="str">
        <f>HYPERLINK("#'Mass Transfer'!D364","→ Mass Transfer")</f>
        <v>→ Mass Transfer</v>
      </c>
      <c r="F46" t="s" s="272">
        <v>1746</v>
      </c>
    </row>
    <row r="47" x14ac:dyDescent="0.2" ht="17" customHeight="1">
      <c r="A47" t="s" s="265">
        <v>1747</v>
      </c>
      <c r="B47" t="inlineStr" s="266">
        <is>
          <t>res_DO_peak_l</t>
        </is>
      </c>
      <c r="C47" t="s" s="265">
        <v>83</v>
      </c>
      <c r="D47" s="198">
        <f>'Mass Transfer'!DO_peak_l_mgL</f>
        <v>6.006789460768</v>
      </c>
      <c r="E47" s="275" t="str">
        <f>HYPERLINK("#'Mass Transfer'!D365","→ Mass Transfer")</f>
        <v>→ Mass Transfer</v>
      </c>
      <c r="F47" t="s" s="270">
        <v>1748</v>
      </c>
    </row>
    <row r="48" x14ac:dyDescent="0.2" ht="17" customHeight="1">
      <c r="A48" t="s" s="265">
        <v>1754</v>
      </c>
      <c r="B48" t="inlineStr" s="266">
        <is>
          <t>res_kLa_req_g</t>
        </is>
      </c>
      <c r="C48" t="s" s="265">
        <v>444</v>
      </c>
      <c r="D48" s="212">
        <f>'Mass Transfer'!kLa_surf_req_g*3600</f>
        <v>15.978886341621</v>
      </c>
      <c r="E48" s="275" t="str">
        <f>HYPERLINK("#'Mass Transfer'!D345","→ Mass Transfer")</f>
        <v>→ Mass Transfer</v>
      </c>
      <c r="F48" s="272" t="inlineStr">
        <is>
          <t xml:space="preserve">Per hour: compare with your measured kLa (Calibrations cal_kLa, 1/h); the estimate in use is Mass Transfer D98 (1/s × 3600).</t>
        </is>
      </c>
    </row>
    <row r="49" x14ac:dyDescent="0.2" ht="17" customHeight="1">
      <c r="A49" t="s" s="265">
        <v>1756</v>
      </c>
      <c r="B49" t="inlineStr" s="266">
        <is>
          <t>res_kLa_req_l</t>
        </is>
      </c>
      <c r="C49" t="s" s="265">
        <v>444</v>
      </c>
      <c r="D49" s="212">
        <f>'Mass Transfer'!kLa_surf_req_l*3600</f>
        <v>45.331424583836</v>
      </c>
      <c r="E49" s="275" t="str">
        <f>HYPERLINK("#'Mass Transfer'!D366","→ Mass Transfer")</f>
        <v>→ Mass Transfer</v>
      </c>
      <c r="F49" s="272" t="inlineStr">
        <is>
          <t xml:space="preserve">Per hour: compare with your measured kLa (Calibrations cal_kLa, 1/h); the estimate in use is Mass Transfer D98 (1/s × 3600).</t>
        </is>
      </c>
    </row>
    <row r="50" x14ac:dyDescent="0.2" ht="47" customHeight="1">
      <c r="A50" t="s" s="274">
        <v>1757</v>
      </c>
      <c r="B50" t="inlineStr" s="266">
        <is>
          <t>res_yO2_g</t>
        </is>
      </c>
      <c r="C50" t="s" s="265">
        <v>108</v>
      </c>
      <c r="D50" s="210">
        <f>'Mass Transfer'!y_O2_mf_g</f>
        <v>0.027367364576</v>
      </c>
      <c r="E50" s="275" t="str">
        <f>HYPERLINK("#'Mass Transfer'!D329","→ Mass Transfer")</f>
        <v>→ Mass Transfer</v>
      </c>
      <c r="F50" t="s" s="270">
        <v>1758</v>
      </c>
    </row>
    <row r="51" x14ac:dyDescent="0.2" ht="32" customHeight="1">
      <c r="A51" t="s" s="274">
        <v>1759</v>
      </c>
      <c r="B51" t="inlineStr" s="266">
        <is>
          <t>res_yO2_l</t>
        </is>
      </c>
      <c r="C51" t="s" s="265">
        <v>108</v>
      </c>
      <c r="D51" s="210">
        <f>'Mass Transfer'!y_O2_mf_l</f>
        <v>0.053538910882</v>
      </c>
      <c r="E51" s="275" t="str">
        <f>HYPERLINK("#'Mass Transfer'!D351","→ Mass Transfer")</f>
        <v>→ Mass Transfer</v>
      </c>
      <c r="F51" t="inlineStr" s="270">
        <is>
          <t>Lag phase; with the H₂ fraction below it, the flammability basis of row 92.</t>
        </is>
      </c>
    </row>
    <row r="52" x14ac:dyDescent="0.2" ht="32" customHeight="1">
      <c r="A52" t="s" s="274">
        <v>1760</v>
      </c>
      <c r="B52" t="inlineStr" s="266">
        <is>
          <t>res_yH2_l</t>
        </is>
      </c>
      <c r="C52" t="s" s="265">
        <v>108</v>
      </c>
      <c r="D52" s="210">
        <f>'Mass Transfer'!y_H2_mf_l</f>
        <v>0.09257585106</v>
      </c>
      <c r="E52" s="275" t="str">
        <f>HYPERLINK("#'Mass Transfer'!D352","→ Mass Transfer")</f>
        <v>→ Mass Transfer</v>
      </c>
      <c r="F52" t="s" s="270">
        <v>1761</v>
      </c>
    </row>
    <row r="53" x14ac:dyDescent="0.2" ht="32" customHeight="1">
      <c r="A53" t="s" s="274">
        <v>1762</v>
      </c>
      <c r="B53" t="inlineStr" s="266">
        <is>
          <t>res_yCO2</t>
        </is>
      </c>
      <c r="C53" t="s" s="265">
        <v>108</v>
      </c>
      <c r="D53" s="199">
        <f>'Mass Transfer'!y_CO2_mf</f>
        <v>0.940877306879</v>
      </c>
      <c r="E53" s="275" t="str">
        <f>HYPERLINK("#'Mass Transfer'!D381","→ Mass Transfer")</f>
        <v>→ Mass Transfer</v>
      </c>
      <c r="F53" t="s" s="272">
        <v>1763</v>
      </c>
    </row>
    <row r="54" x14ac:dyDescent="0.2" ht="32" customHeight="1">
      <c r="A54" t="s" s="273">
        <v>1765</v>
      </c>
      <c r="B54" t="inlineStr" s="266">
        <is>
          <t>res_hs_sag</t>
        </is>
      </c>
      <c r="C54" t="s" s="265">
        <v>108</v>
      </c>
      <c r="D54" s="210">
        <f>'Mass Transfer'!hs_sag</f>
        <v>0.05000728325</v>
      </c>
      <c r="E54" s="275" t="str">
        <f>HYPERLINK("#'Mass Transfer'!D389","→ Mass Transfer")</f>
        <v>→ Mass Transfer</v>
      </c>
      <c r="F54" t="s" s="272">
        <v>1766</v>
      </c>
    </row>
    <row r="55" x14ac:dyDescent="0.2" ht="47" customHeight="1">
      <c r="A55" t="s" s="274">
        <v>2758</v>
      </c>
      <c r="B55" t="inlineStr" s="266">
        <is>
          <t>res_N2_DO</t>
        </is>
      </c>
      <c r="C55" t="s" s="265">
        <v>309</v>
      </c>
      <c r="D55" s="199">
        <f>'Mass Transfer'!N2_for_DO</f>
        <v>0.344043413938</v>
      </c>
      <c r="E55" s="275" t="str">
        <f>HYPERLINK("#'Mass Transfer'!D426","→ Mass Transfer")</f>
        <v>→ Mass Transfer</v>
      </c>
      <c r="F55" t="inlineStr" s="272">
        <is>
          <t>Sizing phase (row 12): the N₂ that removes the DO bound on the CO₂ schedule. With it in row 14 the pH ceiling (row 38) then usually sets the interval. #N/A = the DO target is unreachable at this surface kLa, which no N₂ fixes.</t>
        </is>
      </c>
    </row>
    <row r="56" x14ac:dyDescent="0.2" ht="32" customHeight="1">
      <c r="A56" t="s" s="274">
        <v>2760</v>
      </c>
      <c r="B56" t="inlineStr" s="266">
        <is>
          <t>res_N2_H2</t>
        </is>
      </c>
      <c r="C56" t="s" s="265">
        <v>309</v>
      </c>
      <c r="D56" s="199">
        <f>Biology!N2_sweep_H2safe</f>
        <v>0.927852667512</v>
      </c>
      <c r="E56" s="275" t="str">
        <f>HYPERLINK("#Biology!D88","→ Biology")</f>
        <v>→ Biology</v>
      </c>
      <c r="F56" t="inlineStr" s="272">
        <is>
          <t>Mean-field, with no CO₂ at all; the pre-pulse sawtooth peaks higher, so treat it as a lower bound and re-read row 92 with it entered. A screen, not a mixture safety certification.</t>
        </is>
      </c>
    </row>
    <row r="58">
      <c r="A58" t="inlineStr" s="278">
        <is>
          <t>START-UP CURRENT (lag phase, until uptake starts)</t>
        </is>
      </c>
      <c r="B58" s="278"/>
      <c r="C58" s="278"/>
      <c r="D58" s="278"/>
      <c r="E58" s="278"/>
      <c r="F58" s="278"/>
    </row>
    <row r="59" ht="32" customHeight="1">
      <c r="A59" t="inlineStr" s="274">
        <is>
          <t>Start-up current for the lag DO target</t>
        </is>
      </c>
      <c r="B59" t="inlineStr" s="266">
        <is>
          <t>res_I_su</t>
        </is>
      </c>
      <c r="C59" t="inlineStr" s="265">
        <is>
          <t>mA</t>
        </is>
      </c>
      <c r="D59" s="198">
        <f>Electrochemistry!I_su*1000</f>
        <v>3.649619879361</v>
      </c>
      <c r="E59" s="275" t="str">
        <f>HYPERLINK("#Electrochemistry!D180","→ Electrochemistry")</f>
        <v>→ Electrochemistry</v>
      </c>
      <c r="F59" t="inlineStr" s="270">
        <is>
          <t>First-order: the current whose net lag O₂ the surface kLa in use can hold at the DO target, with the cathodic O₂ loss held at its lag value. The start-up interval (row 23) is sized at the set power, which is the safe side.</t>
        </is>
      </c>
    </row>
    <row r="60" ht="32" customHeight="1">
      <c r="A60" t="inlineStr" s="274">
        <is>
          <t>Is the start-up power inside the measured current curve?</t>
        </is>
      </c>
      <c r="B60" t="inlineStr" s="266">
        <is>
          <t>res_su_power_basis</t>
        </is>
      </c>
      <c r="C60" t="inlineStr" s="265">
        <is>
          <t>-</t>
        </is>
      </c>
      <c r="D60" s="279" t="str">
        <f>Electrochemistry!power_su_basis</f>
        <v>EXTRAPOLATED below the 3 % current curve – DATA GAP: measure the low-power current curve</v>
      </c>
      <c r="E60" s="275" t="str">
        <f>HYPERLINK("#Electrochemistry!D183","→ Electrochemistry")</f>
        <v>→ Electrochemistry</v>
      </c>
      <c r="F60" t="inlineStr" s="270">
        <is>
          <t>Gerrit’s Law is fitted from 3 % up. Below that the power in row 24 is extrapolated: a DATA GAP until the low-power current curve is measured (experiment row 134).</t>
        </is>
      </c>
    </row>
    <row r="62" x14ac:dyDescent="0.2">
      <c r="A62" t="inlineStr" s="278">
        <is>
          <t>POTENTIAL MEDIA IMPROVEMENTS (fix the medium first, owner T7; at today’s schedule)</t>
        </is>
      </c>
      <c r="B62" s="278"/>
      <c r="C62" s="278"/>
      <c r="D62" s="278"/>
      <c r="E62" s="278"/>
      <c r="F62" s="278"/>
    </row>
    <row r="63" ht="17" customHeight="1">
      <c r="A63" t="inlineStr" s="263">
        <is>
          <t>Change to the medium</t>
        </is>
      </c>
      <c r="B63" t="inlineStr" s="263">
        <is>
          <t>Name</t>
        </is>
      </c>
      <c r="C63" t="inlineStr" s="263">
        <is>
          <t>Unit</t>
        </is>
      </c>
      <c r="D63" t="inlineStr" s="263">
        <is>
          <t>Minimum pH over the run</t>
        </is>
      </c>
      <c r="E63" t="inlineStr" s="263">
        <is>
          <t>Source</t>
        </is>
      </c>
      <c r="F63" t="inlineStr" s="264">
        <is>
          <t>Benefit</t>
        </is>
      </c>
    </row>
    <row r="64" ht="32" customHeight="1">
      <c r="A64" s="274" t="str">
        <f>"No change ("&amp;media_sel&amp;", "&amp;N_source_sel&amp;")"</f>
        <v>No change (AM003, Ammonium (recipe))</v>
      </c>
      <c r="B64" t="inlineStr" s="266">
        <is>
          <t>med_none</t>
        </is>
      </c>
      <c r="C64" t="inlineStr" s="265">
        <is>
          <t>pH</t>
        </is>
      </c>
      <c r="D64" s="198">
        <f>Chemistry!pH_min</f>
        <v>6.430267240427</v>
      </c>
      <c r="E64" s="275" t="str">
        <f>HYPERLINK("#Chemistry!D352","→ Chemistry")</f>
        <v>→ Chemistry</v>
      </c>
      <c r="F64" s="270" t="str">
        <f>"Baseline: pH "&amp;TEXT(res_pH,"0.00")&amp;" at the start and "&amp;TEXT(res_pH_end,"0.00")&amp;" at the end of the run."</f>
        <v>Baseline: pH 6.49 at the start and 6.43 at the end of the run.</v>
      </c>
    </row>
    <row r="65" ht="32" customHeight="1">
      <c r="A65" s="274" t="str">
        <f>"Add "&amp;TEXT(Chemistry!alk_run_gL,"0.00")&amp;" g/L NaHCO₃ (on top of row 13)"</f>
        <v>Add 0.81 g/L NaHCO₃ (on top of row 13)</v>
      </c>
      <c r="B65" t="inlineStr" s="266">
        <is>
          <t>med_NaHCO3</t>
        </is>
      </c>
      <c r="C65" t="inlineStr" s="265">
        <is>
          <t>pH</t>
        </is>
      </c>
      <c r="D65" s="198">
        <f>Chemistry!pH_min_alk</f>
        <v>6.5</v>
      </c>
      <c r="E65" s="275" t="str">
        <f>HYPERLINK("#Chemistry!D357","→ Chemistry")</f>
        <v>→ Chemistry</v>
      </c>
      <c r="F65" s="270" t="str">
        <f>IF(Chemistry!alk_run_gL&gt;0,"Raises the minimum pH from "&amp;TEXT(Chemistry!pH_min,"0.00")&amp;" to the "&amp;TEXT(Chemistry!alk_pH_target,"0.00")&amp;" band floor for the whole run.","Not needed: the minimum pH already meets the "&amp;TEXT(Chemistry!alk_pH_target,"0.00")&amp;" target.")</f>
        <v>Raises the minimum pH from 6.43 to the 6.50 band floor for the whole run.</v>
      </c>
    </row>
    <row r="66" ht="32" customHeight="1">
      <c r="A66" s="274" t="str">
        <f>"Nitrate: "&amp;TEXT(Chemistry!NH42SO4_rec_gL,"0.00")&amp;" g/L (NH₄)₂SO₄ → "&amp;TEXT(Chemistry!K2SO4_swap_gL,"0.00")&amp;" g/L K₂SO₄ + "&amp;TEXT(Chemistry!KNO3_gL,"0.00")&amp;" g/L KNO₃"</f>
        <v>Nitrate: 0.94 g/L (NH₄)₂SO₄ → 1.24 g/L K₂SO₄ + 1.44 g/L KNO₃</v>
      </c>
      <c r="B66" t="inlineStr" s="266">
        <is>
          <t>med_nitrate</t>
        </is>
      </c>
      <c r="C66" t="inlineStr" s="265">
        <is>
          <t>pH</t>
        </is>
      </c>
      <c r="D66" s="198">
        <f>Chemistry!pH_min_N</f>
        <v>6.487161438894</v>
      </c>
      <c r="E66" s="275" t="str">
        <f>HYPERLINK("#Chemistry!D350","→ Chemistry")</f>
        <v>→ Chemistry</v>
      </c>
      <c r="F66" s="270" t="str">
        <f>"Minimum pH "&amp;TEXT(Chemistry!pH_min_N,"0.00")&amp;" against "&amp;TEXT(Chemistry!pH_min_A,"0.00")&amp;" with ammonium: nitrate uptake consumes acid, so pH rises as the culture grows ("&amp;TEXT(Chemistry!pH_end_N,"0.00")&amp;" at the end of the run)."&amp;IF(Chemistry!pH_Cl&gt;0," WARNING: with no ammonia nothing scavenges free chlorine, which then builds up to the whole chloride pool in this medium (row 30 shows it when selected).","")</f>
        <v>Minimum pH 6.49 against 6.43 with ammonium: nitrate uptake consumes acid, so pH rises as the culture grows (6.54 at the end of the run).</v>
      </c>
    </row>
    <row r="67" ht="32" customHeight="1">
      <c r="A67" s="274" t="str">
        <f>"Urea: "&amp;TEXT(Chemistry!NH42SO4_rec_gL,"0.00")&amp;" g/L (NH₄)₂SO₄ → "&amp;TEXT(Chemistry!K2SO4_swap_gL,"0.00")&amp;" g/L K₂SO₄ + "&amp;TEXT(Chemistry!urea_gL,"0.00")&amp;" g/L urea"</f>
        <v>Urea: 0.94 g/L (NH₄)₂SO₄ → 1.24 g/L K₂SO₄ + 0.43 g/L urea</v>
      </c>
      <c r="B67" t="inlineStr" s="266">
        <is>
          <t>med_urea</t>
        </is>
      </c>
      <c r="C67" t="inlineStr" s="265">
        <is>
          <t>pH</t>
        </is>
      </c>
      <c r="D67" s="198">
        <f>Chemistry!pH_min_U</f>
        <v>6.487161438894</v>
      </c>
      <c r="E67" s="275" t="str">
        <f>HYPERLINK("#Chemistry!D351","→ Chemistry")</f>
        <v>→ Chemistry</v>
      </c>
      <c r="F67" s="270" t="str">
        <f>"Minimum pH "&amp;TEXT(Chemistry!pH_min_U,"0.00")&amp;" against "&amp;TEXT(Chemistry!pH_min_A,"0.00")&amp;" with ammonium: urea uptake releases no acid, so pH holds near its start value through the run."&amp;IF(Chemistry!pH_Cl&gt;0," WARNING: with no ammonia nothing scavenges free chlorine, which then builds up to the whole chloride pool in this medium (row 30 shows it when selected).","")</f>
        <v>Minimum pH 6.49 against 6.43 with ammonium: urea uptake releases no acid, so pH holds near its start value through the run.</v>
      </c>
    </row>
    <row r="68" x14ac:dyDescent="0.2" ht="32" customHeight="1">
      <c r="A68" t="inlineStr" s="274">
        <is>
          <t>NaHCO₃ for the band floor now (start of the run, first-order)</t>
        </is>
      </c>
      <c r="B68" t="inlineStr" s="266">
        <is>
          <t>res_NaHCO3_gL</t>
        </is>
      </c>
      <c r="C68" t="s" s="265">
        <v>2586</v>
      </c>
      <c r="D68" s="199">
        <f>Chemistry!alk_NaHCO3_gL</f>
        <v>0.129751405739</v>
      </c>
      <c r="E68" s="275" t="str">
        <f>HYPERLINK("#Chemistry!D306","→ Chemistry")</f>
        <v>→ Chemistry</v>
      </c>
      <c r="F68" t="s" s="272">
        <v>2757</v>
      </c>
    </row>
    <row r="69" x14ac:dyDescent="0.2" ht="27" customHeight="1">
      <c r="A69" t="s" s="265">
        <v>2587</v>
      </c>
      <c r="B69" t="inlineStr" s="266">
        <is>
          <t>res_alk_mM</t>
        </is>
      </c>
      <c r="C69" t="s" s="265">
        <v>2588</v>
      </c>
      <c r="D69" s="198">
        <f>Chemistry!alk_needed*1000</f>
        <v>1.544530881222</v>
      </c>
      <c r="E69" s="275" t="str">
        <f>HYPERLINK("#Chemistry!D306","→ Chemistry")</f>
        <v>→ Chemistry</v>
      </c>
      <c r="F69" t="inlineStr" s="272">
        <is>
          <t>Any strong base counts (NaHCO₃, KHCO₃, NaOH). Using nitrate or urea instead of NH₄⁺ also avoids the acid released as the culture takes up ammonium (rows 66–67).</t>
        </is>
      </c>
    </row>
    <row r="71" x14ac:dyDescent="0.2">
      <c r="A71" t="s" s="278">
        <v>1119</v>
      </c>
      <c r="B71" s="278"/>
      <c r="C71" s="278"/>
      <c r="D71" s="278"/>
      <c r="E71" s="278"/>
      <c r="F71" s="278"/>
    </row>
    <row r="72" x14ac:dyDescent="0.2" ht="17" customHeight="1">
      <c r="A72" t="s" s="265">
        <v>1120</v>
      </c>
      <c r="B72" t="s" s="266">
        <v>1709</v>
      </c>
      <c r="C72" t="s" s="265">
        <v>275</v>
      </c>
      <c r="D72" s="198">
        <f>Electrochemistry!I_app*1000</f>
        <v>5.69</v>
      </c>
      <c r="E72" s="275" t="str">
        <f>HYPERLINK("#Electrochemistry!D19","→ Electrochemistry")</f>
        <v>→ Electrochemistry</v>
      </c>
      <c r="F72" t="s" s="270">
        <v>1121</v>
      </c>
    </row>
    <row r="73" x14ac:dyDescent="0.2" ht="17" customHeight="1">
      <c r="A73" t="s" s="265">
        <v>1122</v>
      </c>
      <c r="B73" t="s" s="266">
        <v>1710</v>
      </c>
      <c r="C73" t="s" s="265">
        <v>1123</v>
      </c>
      <c r="D73" s="198">
        <f>Electrochemistry!j_anode</f>
        <v>3.287810437489</v>
      </c>
      <c r="E73" s="275" t="str">
        <f>HYPERLINK("#Electrochemistry!D48","→ Electrochemistry")</f>
        <v>→ Electrochemistry</v>
      </c>
      <c r="F73" t="s" s="270">
        <v>1124</v>
      </c>
    </row>
    <row r="74" x14ac:dyDescent="0.2" ht="17" customHeight="1">
      <c r="A74" t="s" s="265">
        <v>1127</v>
      </c>
      <c r="B74" t="s" s="266">
        <v>1712</v>
      </c>
      <c r="C74" t="s" s="265">
        <v>40</v>
      </c>
      <c r="D74" s="277">
        <f>Electrochemistry!power_max</f>
        <v>10.0</v>
      </c>
      <c r="E74" s="275" t="str">
        <f>HYPERLINK("#Electrochemistry!D73","→ Electrochemistry")</f>
        <v>→ Electrochemistry</v>
      </c>
      <c r="F74" t="s" s="270">
        <v>1128</v>
      </c>
    </row>
    <row r="75" x14ac:dyDescent="0.2" ht="17" customHeight="1">
      <c r="A75" t="s" s="265">
        <v>1129</v>
      </c>
      <c r="B75" t="s" s="266">
        <v>1713</v>
      </c>
      <c r="C75" t="s" s="265">
        <v>275</v>
      </c>
      <c r="D75" s="212">
        <f>Electrochemistry!I_max</f>
        <v>12.9</v>
      </c>
      <c r="E75" s="275" t="str">
        <f>HYPERLINK("#Electrochemistry!D74","→ Electrochemistry")</f>
        <v>→ Electrochemistry</v>
      </c>
      <c r="F75" t="s" s="270">
        <v>1130</v>
      </c>
    </row>
    <row r="76" x14ac:dyDescent="0.2" ht="17" customHeight="1">
      <c r="A76" t="s" s="265">
        <v>1131</v>
      </c>
      <c r="B76" t="s" s="266">
        <v>1714</v>
      </c>
      <c r="C76" t="s" s="265">
        <v>1123</v>
      </c>
      <c r="D76" s="198">
        <f>Electrochemistry!j_anode_max</f>
        <v>7.453911185169</v>
      </c>
      <c r="E76" s="275" t="str">
        <f>HYPERLINK("#Electrochemistry!D75","→ Electrochemistry")</f>
        <v>→ Electrochemistry</v>
      </c>
      <c r="F76" t="s" s="270">
        <v>1132</v>
      </c>
    </row>
    <row r="77" x14ac:dyDescent="0.2" ht="32" customHeight="1">
      <c r="A77" t="s" s="273">
        <v>1133</v>
      </c>
      <c r="B77" t="s" s="266">
        <v>1715</v>
      </c>
      <c r="D77" s="277" t="str">
        <f>Electrochemistry!j_flag_max</f>
        <v>EXCEED - max current over a limit</v>
      </c>
      <c r="E77" s="275" t="str">
        <f>HYPERLINK("#Electrochemistry!D76","→ Electrochemistry")</f>
        <v>→ Electrochemistry</v>
      </c>
      <c r="F77" t="s" s="270">
        <v>1134</v>
      </c>
    </row>
    <row r="79" x14ac:dyDescent="0.2">
      <c r="A79" t="s" s="278">
        <v>1719</v>
      </c>
      <c r="B79" s="278"/>
      <c r="C79" s="278"/>
      <c r="D79" s="278"/>
      <c r="E79" s="278"/>
      <c r="F79" s="278"/>
    </row>
    <row r="80" x14ac:dyDescent="0.2" ht="32" customHeight="1">
      <c r="A80" t="s" s="273">
        <v>1456</v>
      </c>
      <c r="B80" t="s" s="266">
        <v>1720</v>
      </c>
      <c r="C80" t="s" s="265">
        <v>1116</v>
      </c>
      <c r="D80" s="199">
        <f>Electrochemistry!etaF_calc</f>
        <v>0.964044311944</v>
      </c>
      <c r="E80" s="275" t="str">
        <f>HYPERLINK("#Electrochemistry!D88","→ Electrochemistry")</f>
        <v>→ Electrochemistry</v>
      </c>
      <c r="F80" t="s" s="270">
        <v>1721</v>
      </c>
    </row>
    <row r="81" x14ac:dyDescent="0.2" ht="17" customHeight="1">
      <c r="A81" t="s" s="265">
        <v>1536</v>
      </c>
      <c r="B81" t="s" s="266">
        <v>1722</v>
      </c>
      <c r="C81" t="s" s="265">
        <v>1412</v>
      </c>
      <c r="D81" s="198">
        <f>Electrochemistry!V_cell_est</f>
        <v>2.649439101382</v>
      </c>
      <c r="E81" s="275" t="str">
        <f>HYPERLINK("#Electrochemistry!D119","→ Electrochemistry")</f>
        <v>→ Electrochemistry</v>
      </c>
      <c r="F81" t="s" s="270">
        <v>1626</v>
      </c>
    </row>
    <row r="82" x14ac:dyDescent="0.2" ht="32" customHeight="1">
      <c r="A82" t="s" s="273">
        <v>1726</v>
      </c>
      <c r="B82" t="s" s="266">
        <v>1727</v>
      </c>
      <c r="C82" t="s" s="265">
        <v>1412</v>
      </c>
      <c r="D82" s="277" t="str">
        <f>IF(Chemistry!pH_Cl&gt;0,Chemistry!E_Cl_margin,"n/a – no chloride in the medium")</f>
        <v>n/a – no chloride in the medium</v>
      </c>
      <c r="E82" s="275" t="str">
        <f>HYPERLINK("#Chemistry!D209","→ Chemistry")</f>
        <v>→ Chemistry</v>
      </c>
      <c r="F82" t="s" s="272">
        <v>1728</v>
      </c>
    </row>
    <row r="83" x14ac:dyDescent="0.2" ht="32" customHeight="1">
      <c r="A83" t="s" s="273">
        <v>1416</v>
      </c>
      <c r="B83" t="s" s="266">
        <v>1729</v>
      </c>
      <c r="C83" t="s" s="265">
        <v>1412</v>
      </c>
      <c r="D83" s="198">
        <f>Chemistry!E_Cu_margin</f>
        <v>1.248916601067</v>
      </c>
      <c r="E83" s="275" t="str">
        <f>HYPERLINK("#Chemistry!D211","→ Chemistry")</f>
        <v>→ Chemistry</v>
      </c>
      <c r="F83" t="s" s="272">
        <v>1730</v>
      </c>
    </row>
    <row r="85" thickBot="1" x14ac:dyDescent="0.25">
      <c r="A85" t="s" s="278">
        <v>82</v>
      </c>
      <c r="B85" s="278"/>
      <c r="C85" s="278"/>
      <c r="D85" s="278"/>
      <c r="E85" s="278"/>
      <c r="F85" s="278"/>
    </row>
    <row r="86" x14ac:dyDescent="0.2" ht="17" customHeight="1">
      <c r="A86" t="s" s="265">
        <v>84</v>
      </c>
      <c r="B86" t="s" s="266">
        <v>1706</v>
      </c>
      <c r="C86" t="s" s="265">
        <v>85</v>
      </c>
      <c r="D86" s="199">
        <f>'Mass Transfer'!tip_speed</f>
        <v>0.628318530718</v>
      </c>
      <c r="E86" s="275" t="str">
        <f>HYPERLINK("#'Mass Transfer'!D68","→ Mass Transfer")</f>
        <v>→ Mass Transfer</v>
      </c>
      <c r="F86" t="inlineStr" s="270">
        <is>
          <t>Checked against 1.5 m/s in row 108.</t>
        </is>
      </c>
    </row>
    <row r="87" x14ac:dyDescent="0.2" ht="27" customHeight="1">
      <c r="A87" t="s" s="265">
        <v>1707</v>
      </c>
      <c r="B87" t="s" s="266">
        <v>1708</v>
      </c>
      <c r="C87" t="s" s="265">
        <v>87</v>
      </c>
      <c r="D87" s="196">
        <f>Biology!CO2_margin_trough</f>
        <v>509.521897908088</v>
      </c>
      <c r="E87" s="275" t="str">
        <f>HYPERLINK("#Biology!D98","→ Biology")</f>
        <v>→ Biology</v>
      </c>
      <c r="F87" t="inlineStr" s="272">
        <is>
          <t>Dissolved CO₂ at the lowest point of the dosing cycle vs RuBisCO Km (was the in-sparge saturation peak, which a sub-second pulse never reaches); large = ample carbon. Complements the supply:demand ratio (D103).</t>
        </is>
      </c>
    </row>
    <row r="88" x14ac:dyDescent="0.2" ht="32" customHeight="1">
      <c r="A88" t="s" s="273">
        <v>1768</v>
      </c>
      <c r="B88" t="s" s="266">
        <v>1769</v>
      </c>
      <c r="C88" t="s" s="265">
        <v>87</v>
      </c>
      <c r="D88" s="198">
        <f>'Mass Transfer'!CO2_uptake_ratio</f>
        <v>2.503892293977</v>
      </c>
      <c r="E88" s="275" t="str">
        <f>HYPERLINK("#'Mass Transfer'!D417","→ Mass Transfer")</f>
        <v>→ Mass Transfer</v>
      </c>
      <c r="F88" t="inlineStr" s="272">
        <is>
          <t>Shown beside D103: CO₂ the liquid takes up after each pulse (incl. bicarbonate), per hour, over fixation. Informative, not pass/fail: below 1 the culture also draws on headspace CO₂ between pulses. Carbon sufficiency is row 87.</t>
        </is>
      </c>
    </row>
    <row r="90" thickBot="1" x14ac:dyDescent="0.25">
      <c r="A90" t="s" s="263">
        <v>62</v>
      </c>
      <c r="B90" s="263"/>
      <c r="C90" s="263"/>
      <c r="D90" t="s" s="263">
        <v>23</v>
      </c>
      <c r="E90" t="s" s="263">
        <v>24</v>
      </c>
      <c r="F90" t="s" s="264">
        <v>25</v>
      </c>
    </row>
    <row r="91">
      <c r="A91" t="inlineStr" s="278">
        <is>
          <t>SAFETY (red = a danger to people or equipment)</t>
        </is>
      </c>
      <c r="B91" s="278"/>
      <c r="C91" s="278"/>
      <c r="D91" s="278"/>
      <c r="E91" s="278"/>
      <c r="F91" s="278"/>
    </row>
    <row r="92" x14ac:dyDescent="0.2" ht="77" customHeight="1">
      <c r="A92" t="s" s="265">
        <v>1685</v>
      </c>
      <c r="B92" t="s" s="266">
        <v>1686</v>
      </c>
      <c r="C92" s="271"/>
      <c r="D92" s="276" t="str">
        <f>Biology!H2_safety</f>
        <v>POTENTIAL FLAMMABILITY (lag screen): H₂ 9% mean, 14% before each pulse; O₂ 5% mean, 8% before each pulse – until uptake starts, sparge every ≤2.3 min or sweep ≥1.0 mL/min N₂; vent to a hood; no ignition sources</v>
      </c>
      <c r="E92" s="275" t="str">
        <f>HYPERLINK("#Biology!D44","→ Biology")</f>
        <v>→ Biology</v>
      </c>
      <c r="F92" t="s" s="272">
        <v>2736</v>
      </c>
    </row>
    <row r="94">
      <c r="A94" t="inlineStr" s="278">
        <is>
          <t>CULTURE HEALTH (red = likely to harm or kill the culture)</t>
        </is>
      </c>
      <c r="B94" s="278"/>
      <c r="C94" s="278"/>
      <c r="D94" s="278"/>
      <c r="E94" s="278"/>
      <c r="F94" s="278"/>
    </row>
    <row r="95" x14ac:dyDescent="0.2" ht="52" customHeight="1">
      <c r="A95" t="s" s="273">
        <v>1764</v>
      </c>
      <c r="B95" t="s" s="266">
        <v>2740</v>
      </c>
      <c r="D95" s="276" t="str">
        <f>IF(ISNA('Mass Transfer'!F_vent_ex+'Mass Transfer'!O2_src_sched),"#N/A – check the selectors in D2–D5, D11 and D12",IF(NOT(ISNUMBER('Mass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95" s="275" t="str">
        <f>HYPERLINK("#Chemistry!D220","→ Chemistry")</f>
        <v>→ Chemistry</v>
      </c>
      <c r="F95" s="272" t="inlineStr">
        <is>
          <t xml:space="preserve">Screen of pH at mean CO₂ and mean DO only, including overrides. It does not enforce pH extremes, end-of-run pH, minimum DO, peak impairment or growth/productivity. Row 32 qualifies the candidate; the full optimisation requirements are below the Key.</t>
        </is>
      </c>
    </row>
    <row r="96" x14ac:dyDescent="0.2" ht="39.5" customHeight="1">
      <c r="A96" t="s" s="273">
        <v>1678</v>
      </c>
      <c r="B96" t="s" s="266">
        <v>1679</v>
      </c>
      <c r="C96" s="271"/>
      <c r="D96" s="276" t="str">
        <f>'Mass Transfer'!DO_peak_band</f>
        <v>organism band unknown – peak 2.5 mg/L is under the inhibition ceiling</v>
      </c>
      <c r="E96" s="275" t="str">
        <f>HYPERLINK("#'Mass Transfer'!D374","→ Mass Transfer")</f>
        <v>→ Mass Transfer</v>
      </c>
      <c r="F96" t="s" s="272">
        <v>1680</v>
      </c>
    </row>
    <row r="97" x14ac:dyDescent="0.2" ht="17" customHeight="1">
      <c r="A97" t="s" s="265">
        <v>65</v>
      </c>
      <c r="B97" t="s" s="266">
        <v>1681</v>
      </c>
      <c r="C97" s="271"/>
      <c r="D97" s="277" t="str">
        <f>'Mass Transfer'!DO_ss_vs_min</f>
        <v>minimum DO unknown - measure</v>
      </c>
      <c r="E97" s="275" t="str">
        <f>HYPERLINK("#'Mass Transfer'!D110","→ Mass Transfer")</f>
        <v>→ Mass Transfer</v>
      </c>
      <c r="F97" t="s" s="270">
        <v>66</v>
      </c>
    </row>
    <row r="98" x14ac:dyDescent="0.2" ht="32" customHeight="1">
      <c r="A98" t="s" s="274">
        <v>1749</v>
      </c>
      <c r="B98" t="inlineStr" s="266">
        <is>
          <t>chk_DO_peak_g</t>
        </is>
      </c>
      <c r="D98" s="277" t="str">
        <f>'Mass Transfer'!DO_peak_chk_g</f>
        <v>peak 2.5 mg/L under the 10.1 mg/L ceiling</v>
      </c>
      <c r="E98" s="275" t="str">
        <f>HYPERLINK("#'Mass Transfer'!D348","→ Mass Transfer")</f>
        <v>→ Mass Transfer</v>
      </c>
      <c r="F98" t="s" s="272">
        <v>2750</v>
      </c>
    </row>
    <row r="99" x14ac:dyDescent="0.2" ht="32" customHeight="1">
      <c r="A99" t="s" s="274">
        <v>1750</v>
      </c>
      <c r="B99" t="inlineStr" s="266">
        <is>
          <t>chk_DO_peak_l</t>
        </is>
      </c>
      <c r="D99" s="277" t="str">
        <f>'Mass Transfer'!DO_peak_chk_l</f>
        <v>peak 6.0 mg/L under the 10.1 mg/L ceiling</v>
      </c>
      <c r="E99" s="275" t="str">
        <f>HYPERLINK("#'Mass Transfer'!D369","→ Mass Transfer")</f>
        <v>→ Mass Transfer</v>
      </c>
      <c r="F99" t="s" s="272">
        <v>2751</v>
      </c>
    </row>
    <row r="100" x14ac:dyDescent="0.2" ht="17" customHeight="1">
      <c r="A100" t="s" s="265">
        <v>1751</v>
      </c>
      <c r="B100" t="inlineStr" s="266">
        <is>
          <t>chk_DO_feas_g</t>
        </is>
      </c>
      <c r="D100" s="277" t="str">
        <f>'Mass Transfer'!DO_feas_g</f>
        <v>reachable – kLa margin 1.72×</v>
      </c>
      <c r="E100" s="275" t="str">
        <f>HYPERLINK("#'Mass Transfer'!D347","→ Mass Transfer")</f>
        <v>→ Mass Transfer</v>
      </c>
      <c r="F100" t="s" s="270">
        <v>1752</v>
      </c>
    </row>
    <row r="101" x14ac:dyDescent="0.2" ht="47" customHeight="1">
      <c r="A101" t="s" s="265">
        <v>1753</v>
      </c>
      <c r="B101" t="inlineStr" s="266">
        <is>
          <t>chk_DO_feas_l</t>
        </is>
      </c>
      <c r="D101" s="276" t="str">
        <f>'Mass Transfer'!DO_feas_l</f>
        <v>UNREACHABLE at this surface kLa – margin 0.61× (raise kL_surf, lower the current, or accept a higher DO)</v>
      </c>
      <c r="E101" s="275" t="str">
        <f>HYPERLINK("#'Mass Transfer'!D368","→ Mass Transfer")</f>
        <v>→ Mass Transfer</v>
      </c>
      <c r="F101" s="272" t="str">
        <f>"Same on the lag source. Currently "&amp;TEXT('Mass Transfer'!kLa_margin_l,"0.00")&amp;"×: "&amp;IF('Mass Transfer'!kLa_margin_l&lt;1,"the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102" ht="32" customHeight="1">
      <c r="A102" t="inlineStr" s="274">
        <is>
          <t>pH still in band at the end of the run?</t>
        </is>
      </c>
      <c r="B102" t="inlineStr" s="266">
        <is>
          <t>chk_pH_end</t>
        </is>
      </c>
      <c r="C102" t="inlineStr" s="265">
        <is>
          <t>-</t>
        </is>
      </c>
      <c r="D102" s="279" t="str">
        <f>IF(NOT(ISNUMBER(Chemistry!pH_end)),"#N/A – check the nitrogen source (row 16)",IF(Chemistry!pH_end&lt;Chemistry!pH_red_lo,"pH BELOW "&amp;TEXT(Chemistry!pH_red_lo,"0.0")&amp;" by the end of the run ("&amp;TEXT(Chemistry!pH_end,"0.00")&amp;"): fix the medium",IF(Chemistry!pH_end&gt;Chemistry!pH_red_hi,"pH ABOVE "&amp;TEXT(Chemistry!pH_red_hi,"0.0")&amp;" by the end of the run ("&amp;TEXT(Chemistry!pH_end,"0.00")&amp;"): fix the medium",IF(OR(Chemistry!pH_end&lt;Chemistry!pH_band_lo,Chemistry!pH_end&gt;Chemistry!pH_band_hi),"watch – pH "&amp;TEXT(Chemistry!pH_end,"0.00")&amp;" by the end of the run, outside the "&amp;TEXT(Chemistry!pH_band_lo,"0.0")&amp;"–"&amp;TEXT(Chemistry!pH_band_hi,"0.0")&amp;" band","OK – pH "&amp;TEXT(Chemistry!pH_end,"0.00")&amp;" at the end of the run"))))</f>
        <v>watch – pH 6.43 by the end of the run, outside the 6.5–7.5 band</v>
      </c>
      <c r="E102" s="275" t="str">
        <f>HYPERLINK("#Chemistry!D348","→ Chemistry")</f>
        <v>→ Chemistry</v>
      </c>
      <c r="F102" s="270" t="str">
        <f>"Row 28 against the red limits and the HOB band. Red or amber: pick a media option (rows 64–67). "&amp;IF(Chemistry!N_limit_chk="OK","",Chemistry!N_limit_chk)</f>
        <v>Row 28 against the red limits and the HOB band. Red or amber: pick a media option (rows 64–67). </v>
      </c>
    </row>
    <row r="103" x14ac:dyDescent="0.2" ht="32" customHeight="1">
      <c r="A103" t="s" s="265">
        <v>69</v>
      </c>
      <c r="B103" t="s" s="266">
        <v>1688</v>
      </c>
      <c r="C103" s="271"/>
      <c r="D103" s="276" t="str">
        <f>IFERROR("×"&amp;TEXT('Mass Transfer'!CO2_sd_ratio,"0.0")&amp;IF('Mass Transfer'!CO2_sd_ratio&gt;=1," OK"," SHORTFALL (CO2 &lt; demand)")&amp;" delivered; ×"&amp;TEXT('Mass Transfer'!CO2_uptake_ratio,"0.0")&amp;" absorbed per pulse (row 88)","calibrate this reactor first")</f>
        <v>×50.7 OK delivered; ×2.5 absorbed per pulse (row 88)</v>
      </c>
      <c r="E103" s="275" t="str">
        <f>HYPERLINK("#'Mass Transfer'!D126","→ Mass Transfer")</f>
        <v>→ Mass Transfer</v>
      </c>
      <c r="F103" t="inlineStr" s="272">
        <is>
          <t>Ratio of CO₂ delivered to carbon demand (should be ≥ 1), with the absorbed ratio beside it (row 88): delivered counts gas the pulse expels unabsorbed, absorbed does not.</t>
        </is>
      </c>
    </row>
    <row r="104" x14ac:dyDescent="0.2" ht="32" customHeight="1">
      <c r="A104" t="s" s="273">
        <v>2745</v>
      </c>
      <c r="B104" t="s" s="266">
        <v>2746</v>
      </c>
      <c r="D104" s="277" t="str">
        <f>'Mass Transfer'!pool_start_chk</f>
        <v>OK</v>
      </c>
      <c r="E104" s="275" t="str">
        <f>HYPERLINK("#'Mass Transfer'!D435","→ Mass Transfer")</f>
        <v>→ Mass Transfer</v>
      </c>
      <c r="F104" t="s" s="272">
        <v>2747</v>
      </c>
    </row>
    <row r="105" x14ac:dyDescent="0.2" ht="62" customHeight="1">
      <c r="A105" t="s" s="265">
        <v>1482</v>
      </c>
      <c r="B105" t="inlineStr" s="266">
        <is>
          <t>chk_H2O2</t>
        </is>
      </c>
      <c r="C105" t="s" s="265">
        <v>1116</v>
      </c>
      <c r="D105" s="276" t="str">
        <f>Electrochemistry!H2O2_flag</f>
        <v>watch — steady growth is clear (0.043 mg/L) but LAG PHASE is not: peroxide passes the threshold in 6 min (0.84 mg/L after 1 h) before biomass can scavenge it</v>
      </c>
      <c r="E105" s="275" t="str">
        <f>HYPERLINK("#Electrochemistry!D99","→ Electrochemistry")</f>
        <v>→ Electrochemistry</v>
      </c>
      <c r="F105" t="s" s="272">
        <v>1628</v>
      </c>
    </row>
    <row r="106" x14ac:dyDescent="0.2" ht="32" customHeight="1">
      <c r="A106" t="s" s="265">
        <v>1629</v>
      </c>
      <c r="B106" t="inlineStr" s="266">
        <is>
          <t>chk_buffer</t>
        </is>
      </c>
      <c r="C106" t="s" s="265">
        <v>1116</v>
      </c>
      <c r="D106" s="276" t="str">
        <f>Chemistry!buffer_flag</f>
        <v>OK — buffer holds the electrode surfaces at the bulk pH</v>
      </c>
      <c r="E106" s="275" t="str">
        <f>HYPERLINK("#Chemistry!D219","→ Chemistry")</f>
        <v>→ Chemistry</v>
      </c>
      <c r="F106" t="s" s="270">
        <v>1630</v>
      </c>
    </row>
    <row r="107" x14ac:dyDescent="0.2" ht="17" customHeight="1">
      <c r="A107" t="s" s="265">
        <v>1125</v>
      </c>
      <c r="B107" t="inlineStr" s="266">
        <is>
          <t>chk_j</t>
        </is>
      </c>
      <c r="D107" s="277" t="str">
        <f>Electrochemistry!j_flag</f>
        <v>watch - above optimum current density</v>
      </c>
      <c r="E107" s="275" t="str">
        <f>HYPERLINK("#Electrochemistry!D62","→ Electrochemistry")</f>
        <v>→ Electrochemistry</v>
      </c>
      <c r="F107" t="s" s="272">
        <v>1126</v>
      </c>
    </row>
    <row r="108" x14ac:dyDescent="0.2" ht="17" customHeight="1">
      <c r="A108" t="s" s="265">
        <v>74</v>
      </c>
      <c r="B108" t="s" s="266">
        <v>1693</v>
      </c>
      <c r="C108" s="271"/>
      <c r="D108" s="277" t="str">
        <f>'Mass Transfer'!tip_warn</f>
        <v>OK</v>
      </c>
      <c r="E108" s="275" t="str">
        <f>HYPERLINK("#'Mass Transfer'!D111","→ Mass Transfer")</f>
        <v>→ Mass Transfer</v>
      </c>
      <c r="F108" t="s" s="270">
        <v>75</v>
      </c>
    </row>
    <row r="110">
      <c r="A110" t="inlineStr" s="278">
        <is>
          <t>OPERATION (red = the schedule cannot be run as modelled)</t>
        </is>
      </c>
      <c r="B110" s="278"/>
      <c r="C110" s="278"/>
      <c r="D110" s="278"/>
      <c r="E110" s="278"/>
      <c r="F110" s="278"/>
    </row>
    <row r="111" x14ac:dyDescent="0.2" ht="27" customHeight="1">
      <c r="A111" t="s" s="265">
        <v>70</v>
      </c>
      <c r="B111" t="s" s="266">
        <v>1689</v>
      </c>
      <c r="C111" s="271"/>
      <c r="D111" s="277" t="str">
        <f>IFERROR('Mass Transfer'!dur_ok,"calibrate this reactor first (CO₂ flow section of the Calibrations tab, or a CO2 flows row)")</f>
        <v>OK</v>
      </c>
      <c r="E111" s="275" t="str">
        <f>HYPERLINK("#'Mass Transfer'!D130","→ Mass Transfer")</f>
        <v>→ Mass Transfer</v>
      </c>
      <c r="F111" s="272" t="inlineStr">
        <is>
          <t xml:space="preserve">The optimal pulse must exceed the shortest reliable sparge (Cal CO2 flow log Min pulse, else CO2 flows column I, else the default on Mass Transfer D396).</t>
        </is>
      </c>
    </row>
    <row r="112" x14ac:dyDescent="0.2" ht="17" customHeight="1">
      <c r="A112" t="s" s="265">
        <v>71</v>
      </c>
      <c r="B112" t="s" s="266">
        <v>1691</v>
      </c>
      <c r="C112" s="271"/>
      <c r="D112" s="277" t="str">
        <f>IFERROR('Mass Transfer'!od_ok,"calibrate this reactor first (CO₂ flow section of the Calibrations tab, or a CO2 flows row)")</f>
        <v>OK</v>
      </c>
      <c r="E112" s="275" t="str">
        <f>HYPERLINK("#'Mass Transfer'!D95","→ Mass Transfer")</f>
        <v>→ Mass Transfer</v>
      </c>
      <c r="F112" t="s" s="270">
        <v>72</v>
      </c>
    </row>
    <row r="114">
      <c r="A114" t="inlineStr" s="278">
        <is>
          <t>HARDWARE (red = the vessel or its drive cannot do what the model assumes)</t>
        </is>
      </c>
      <c r="B114" s="278"/>
      <c r="C114" s="278"/>
      <c r="D114" s="278"/>
      <c r="E114" s="278"/>
      <c r="F114" s="278"/>
    </row>
    <row r="115" x14ac:dyDescent="0.2" ht="32" customHeight="1">
      <c r="A115" t="s" s="265">
        <v>73</v>
      </c>
      <c r="B115" t="s" s="266">
        <v>1692</v>
      </c>
      <c r="C115" s="271"/>
      <c r="D115" s="276" t="str">
        <f>'Mass Transfer'!carry_flag</f>
        <v>not measured – record the max flow without carryover for ed04 in CO2 flows column M</v>
      </c>
      <c r="E115" s="275" t="str">
        <f>HYPERLINK("#'Mass Transfer'!D59","→ Mass Transfer")</f>
        <v>→ Mass Transfer</v>
      </c>
      <c r="F115" s="272" t="inlineStr">
        <is>
          <t xml:space="preserve">Pulse flow against the measured no-carryover maximum for this reactor (CO2 flows column K). Reads "not measured" (amber) until one is recorded; the superficial-velocity rule of thumb is row 116.</t>
        </is>
      </c>
    </row>
    <row r="116" x14ac:dyDescent="0.2" ht="32" customHeight="1">
      <c r="A116" t="s" s="273">
        <v>1770</v>
      </c>
      <c r="B116" t="s" s="266">
        <v>1771</v>
      </c>
      <c r="D116" s="276" t="str">
        <f>'Mass Transfer'!carry_flag_usg</f>
        <v>OK – 6.6 mm/s against the 50 mm/s rule of thumb</v>
      </c>
      <c r="E116" s="275" t="str">
        <f>HYPERLINK("#'Mass Transfer'!D414","→ Mass Transfer")</f>
        <v>→ Mass Transfer</v>
      </c>
      <c r="F116" t="inlineStr" s="272">
        <is>
          <t>Secondary to row 115: gas velocity against the provisional 50 mm/s entrainment rule of thumb. It cannot fail at bench flows; row 115 tests the measured limit.</t>
        </is>
      </c>
    </row>
    <row r="117" x14ac:dyDescent="0.2" ht="17" customHeight="1">
      <c r="A117" t="s" s="265">
        <v>76</v>
      </c>
      <c r="B117" t="s" s="266">
        <v>1694</v>
      </c>
      <c r="C117" s="271"/>
      <c r="D117" s="277" t="str">
        <f>Geometry!media_vol_warn</f>
        <v>OK</v>
      </c>
      <c r="E117" s="275" t="str">
        <f>HYPERLINK("#Geometry!D54","→ Geometry")</f>
        <v>→ Geometry</v>
      </c>
      <c r="F117" t="s" s="270">
        <v>77</v>
      </c>
    </row>
    <row r="118" x14ac:dyDescent="0.2" ht="17" customHeight="1">
      <c r="A118" t="s" s="265">
        <v>78</v>
      </c>
      <c r="B118" t="s" s="266">
        <v>1695</v>
      </c>
      <c r="C118" s="271"/>
      <c r="D118" s="277" t="str">
        <f>Geometry!depth_warn</f>
        <v>OK</v>
      </c>
      <c r="E118" s="275" t="str">
        <f>HYPERLINK("#Geometry!D55","→ Geometry")</f>
        <v>→ Geometry</v>
      </c>
      <c r="F118" t="s" s="270">
        <v>79</v>
      </c>
    </row>
    <row r="119" x14ac:dyDescent="0.2" ht="17" customHeight="1">
      <c r="A119" t="s" s="265">
        <v>1545</v>
      </c>
      <c r="B119" t="inlineStr" s="266">
        <is>
          <t>chk_V_cell</t>
        </is>
      </c>
      <c r="C119" t="s" s="265">
        <v>1116</v>
      </c>
      <c r="D119" s="277" t="str">
        <f>Electrochemistry!V_flag</f>
        <v>OK — 2.65 V estimated against a 5 V rail</v>
      </c>
      <c r="E119" s="275" t="str">
        <f>HYPERLINK("#Electrochemistry!D122","→ Electrochemistry")</f>
        <v>→ Electrochemistry</v>
      </c>
      <c r="F119" t="s" s="270">
        <v>1627</v>
      </c>
    </row>
    <row r="121">
      <c r="A121" t="inlineStr" s="278">
        <is>
          <t>MODEL VALIDITY (red = the results above cannot be trusted until it is fixed)</t>
        </is>
      </c>
      <c r="B121" s="278"/>
      <c r="C121" s="278"/>
      <c r="D121" s="278"/>
      <c r="E121" s="278"/>
      <c r="F121" s="278"/>
    </row>
    <row r="122" x14ac:dyDescent="0.2" ht="32" customHeight="1">
      <c r="A122" t="s" s="265">
        <v>63</v>
      </c>
      <c r="B122" t="s" s="266">
        <v>1675</v>
      </c>
      <c r="C122" s="271"/>
      <c r="D122" s="276" t="str">
        <f>Geometry!geom_check</f>
        <v>VIAL GEOMETRY INCONSISTENT - measure the true headspace (protocols/vial-geometry.md)</v>
      </c>
      <c r="E122" s="275" t="str">
        <f>HYPERLINK("#Geometry!D90","→ Geometry")</f>
        <v>→ Geometry</v>
      </c>
      <c r="F122" s="272" t="inlineStr">
        <is>
          <t xml:space="preserve">Red until the vial headspace is measured (vial-geometry.md); while red, the pulse above is provisional (~4x uncertain). Once a headspace and its working fill are included in its calibration log it reads OK, because the measured headspace replaces the cylinder approximation.</t>
        </is>
      </c>
    </row>
    <row r="123" x14ac:dyDescent="0.2" ht="27" customHeight="1">
      <c r="A123" t="s" s="265">
        <v>64</v>
      </c>
      <c r="B123" t="s" s="266">
        <v>1676</v>
      </c>
      <c r="C123" s="271"/>
      <c r="D123" s="277" t="str">
        <f>'Mass Transfer'!cal_warning</f>
        <v>calibrated: ed04 (flow from CO2 flows)</v>
      </c>
      <c r="E123" s="275" t="str">
        <f>HYPERLINK("#'Mass Transfer'!D120","→ Mass Transfer")</f>
        <v>→ Mass Transfer</v>
      </c>
      <c r="F123" s="272" t="inlineStr">
        <is>
          <t xml:space="preserve">Red = no CO₂-flow calibration for this reactor (neither an included run in the Cal CO2 flow log nor a CO2 flows row); results read 'calibrate first' (flow-calibration.md). Green names the source in use.</t>
        </is>
      </c>
    </row>
    <row r="124" thickBot="1" x14ac:dyDescent="0.25" ht="32" customHeight="1">
      <c r="A124" t="s" s="265">
        <v>884</v>
      </c>
      <c r="B124" t="s" s="266">
        <v>1697</v>
      </c>
      <c r="C124" s="271"/>
      <c r="D124" s="276" t="str">
        <f>IF(AND(ISNUMBER(Biology!DO_min),ISNUMBER(Biology!DO_opt),ISNUMBER(Biology!DO_impair),ISNUMBER(Biology!DO_toxic)),"inputs present","DATA GAP - organism DO thresholds unmeasured; results unreliable")</f>
        <v>DATA GAP - organism DO thresholds unmeasured; results unreliable</v>
      </c>
      <c r="E124" s="275" t="str">
        <f>HYPERLINK("#Biology!D45","→ Biology")</f>
        <v>→ Biology</v>
      </c>
      <c r="F124" t="s" s="272">
        <v>885</v>
      </c>
    </row>
    <row r="125" thickBot="1" x14ac:dyDescent="0.25" ht="17" customHeight="1">
      <c r="A125" t="s" s="265">
        <v>80</v>
      </c>
      <c r="B125" t="s" s="266">
        <v>1696</v>
      </c>
      <c r="C125" s="271"/>
      <c r="D125" s="277" t="str">
        <f>Electrochemistry!I_valid</f>
        <v>OK</v>
      </c>
      <c r="E125" s="275" t="str">
        <f>HYPERLINK("#Electrochemistry!D20","→ Electrochemistry")</f>
        <v>→ Electrochemistry</v>
      </c>
      <c r="F125" t="s" s="270">
        <v>81</v>
      </c>
    </row>
    <row r="126" x14ac:dyDescent="0.2" ht="17" customHeight="1">
      <c r="A126" t="s" s="265">
        <v>67</v>
      </c>
      <c r="B126" t="s" s="266">
        <v>1687</v>
      </c>
      <c r="C126" s="271"/>
      <c r="D126" s="277" t="str">
        <f>'Mass Transfer'!bubble_regime</f>
        <v>Dynamic</v>
      </c>
      <c r="E126" s="275" t="str">
        <f>HYPERLINK("#'Mass Transfer'!D64","→ Mass Transfer")</f>
        <v>→ Mass Transfer</v>
      </c>
      <c r="F126" t="s" s="272">
        <v>68</v>
      </c>
    </row>
    <row r="127" x14ac:dyDescent="0.2" ht="39.5" customHeight="1">
      <c r="A127" t="s" s="273">
        <v>1767</v>
      </c>
      <c r="B127" t="s" s="266">
        <v>2743</v>
      </c>
      <c r="D127" s="276" t="str">
        <f>'Mass Transfer'!hs_sag_chk</f>
        <v>UNVERIFIED pressure closure: air ingress is assumed; measure vent make-up flow</v>
      </c>
      <c r="E127" s="275" t="str">
        <f>HYPERLINK("#'Mass Transfer'!D391","→ Mass Transfer")</f>
        <v>→ Mass Transfer</v>
      </c>
      <c r="F127" t="inlineStr" s="272">
        <is>
          <t>"HEADSPACE SAGS" = the check-valve model needs more vacuum than a real cap holds: switch D11 to Open vent or Air exchange. With an open vent or air exchange it reads UNVERIFIED, because the air ingress is assumed until the vent back-draw is measured (row 138); OK when an N₂ dose covers the per-cycle deficit.</t>
        </is>
      </c>
    </row>
    <row r="128" ht="32" customHeight="1">
      <c r="A128" t="inlineStr" s="274">
        <is>
          <t>Start-up power inside the measured current curve?</t>
        </is>
      </c>
      <c r="B128" t="inlineStr" s="266">
        <is>
          <t>chk_su_current</t>
        </is>
      </c>
      <c r="C128" t="inlineStr" s="265">
        <is>
          <t>-</t>
        </is>
      </c>
      <c r="D128" s="279" t="str">
        <f>Electrochemistry!power_su_basis</f>
        <v>EXTRAPOLATED below the 3 % current curve – DATA GAP: measure the low-power current curve</v>
      </c>
      <c r="E128" s="275" t="str">
        <f>HYPERLINK("#Electrochemistry!D183","→ Electrochemistry")</f>
        <v>→ Electrochemistry</v>
      </c>
      <c r="F128" t="inlineStr" s="270">
        <is>
          <t>Red = the start-up power (row 24) is extrapolated below the 3 % current curve, the worst class of data in the model.</t>
        </is>
      </c>
    </row>
    <row r="130" x14ac:dyDescent="0.2" ht="17" customHeight="1">
      <c r="A130" t="inlineStr" s="263">
        <is>
          <t>Experiments to improve accuracy</t>
        </is>
      </c>
      <c r="B130" t="s" s="263">
        <v>99</v>
      </c>
      <c r="C130" t="s" s="263">
        <v>100</v>
      </c>
      <c r="D130" t="inlineStr" s="263">
        <is>
          <t>Status</t>
        </is>
      </c>
      <c r="E130" t="inlineStr" s="263">
        <is>
          <t>Protocol</t>
        </is>
      </c>
      <c r="F130" t="s" s="264">
        <v>102</v>
      </c>
    </row>
    <row r="131" x14ac:dyDescent="0.2" ht="32" customHeight="1">
      <c r="A131" t="s" s="273">
        <v>910</v>
      </c>
      <c r="B131" t="s" s="265">
        <v>911</v>
      </c>
      <c r="C131" t="s" s="265">
        <v>912</v>
      </c>
      <c r="D131" s="277" t="str">
        <f>Calibrations!xs_vial</f>
        <v>Not done</v>
      </c>
      <c r="E131" s="275" t="str">
        <f>HYPERLINK("https://github.com/amy-bo/electroPioreactor/blob/AEP02/Media/protocols/vial-geometry.md","vial-geometry.md →")</f>
        <v>vial-geometry.md →</v>
      </c>
      <c r="F131" t="s" s="272">
        <v>1717</v>
      </c>
    </row>
    <row r="132" x14ac:dyDescent="0.2" ht="27" customHeight="1">
      <c r="A132" t="s" s="265">
        <v>2785</v>
      </c>
      <c r="B132" t="s" s="265">
        <v>908</v>
      </c>
      <c r="C132" t="s" s="265">
        <v>912</v>
      </c>
      <c r="D132" s="277" t="str">
        <f>Calibrations!xs_flow</f>
        <v>Done</v>
      </c>
      <c r="E132" s="275" t="str">
        <f>HYPERLINK("https://github.com/amy-bo/electroPioreactor/blob/AEP02/Media/protocols/flow-calibration.md","flow-calibration.md →")</f>
        <v>flow-calibration.md →</v>
      </c>
      <c r="F132" t="s" s="272">
        <v>2786</v>
      </c>
    </row>
    <row r="133" x14ac:dyDescent="0.2" ht="39.5" customHeight="1">
      <c r="A133" t="s" s="273">
        <v>1651</v>
      </c>
      <c r="B133" t="s" s="265">
        <v>914</v>
      </c>
      <c r="C133" t="s" s="265">
        <v>938</v>
      </c>
      <c r="D133" s="277" t="str">
        <f>Calibrations!xs_km</f>
        <v>Not done</v>
      </c>
      <c r="E133" s="275" t="str">
        <f>HYPERLINK("https://github.com/amy-bo/electroPioreactor/blob/AEP02/Media/protocols/electrode-mass-transfer.md","electrode-mass-transfer.md →")</f>
        <v>electrode-mass-transfer.md →</v>
      </c>
      <c r="F133" s="272" t="inlineStr">
        <is>
          <t xml:space="preserve">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its calibration log.</t>
        </is>
      </c>
    </row>
    <row r="134" x14ac:dyDescent="0.2" ht="27" customHeight="1">
      <c r="A134" t="s" s="265">
        <v>2789</v>
      </c>
      <c r="B134" t="inlineStr" s="265">
        <is>
          <t>HIGH</t>
        </is>
      </c>
      <c r="C134" t="s" s="265">
        <v>912</v>
      </c>
      <c r="D134" s="277" t="str">
        <f>Calibrations!xs_lowI</f>
        <v>Not done</v>
      </c>
      <c r="E134" s="275" t="str">
        <f>HYPERLINK("https://github.com/amy-bo/electroPioreactor/blob/AEP02/Media/protocols/gerrit-current.md","gerrit-current.md →")</f>
        <v>gerrit-current.md →</v>
      </c>
      <c r="F134" t="inlineStr" s="272">
        <is>
          <t>Gerrit’s Law is fitted from 3 % up. The start-up power for the lag DO target (row 24) falls below that, so it is extrapolated: a DATA GAP that also shows in rows 60 and 128. A few current readings between 0.5 and 3 % settle it.</t>
        </is>
      </c>
    </row>
    <row r="135" x14ac:dyDescent="0.2" ht="32" customHeight="1">
      <c r="A135" t="s" s="273">
        <v>2791</v>
      </c>
      <c r="B135" t="s" s="265">
        <v>908</v>
      </c>
      <c r="C135" t="s" s="265">
        <v>912</v>
      </c>
      <c r="D135" s="277" t="str">
        <f>Calibrations!xs_review</f>
        <v>Not done</v>
      </c>
      <c r="E135" s="275" t="str">
        <f>HYPERLINK("https://github.com/amy-bo/electroPioreactor/blob/AEP02/Media/protocols/README.md","README.md →")</f>
        <v>README.md →</v>
      </c>
      <c r="F135" t="inlineStr" s="272">
        <is>
          <t>Weakest inputs: the anodic exchange-current density (four decades in the literature) and the electrode mass-transfer coefficient. Rows 80–83, with the verdicts in rows 105, 106 and 119, are the numbers to hand over.</t>
        </is>
      </c>
    </row>
    <row r="136" x14ac:dyDescent="0.2" ht="32" customHeight="1">
      <c r="A136" t="s" s="273">
        <v>1654</v>
      </c>
      <c r="B136" t="s" s="265">
        <v>914</v>
      </c>
      <c r="C136" t="s" s="265">
        <v>938</v>
      </c>
      <c r="D136" s="277" t="str">
        <f>Calibrations!xs_V</f>
        <v>Not done</v>
      </c>
      <c r="E136" s="275" t="str">
        <f>HYPERLINK("https://github.com/amy-bo/electroPioreactor/blob/AEP02/Media/protocols/gerrit-current.md","gerrit-current.md →")</f>
        <v>gerrit-current.md →</v>
      </c>
      <c r="F136" s="272" t="str">
        <f>"The cell-voltage budget is a testable prediction: about "&amp;TEXT(Electrochemistry!V_cell_est,"0.00")&amp;" V of the "&amp;TEXT(Electrochemistry!V_rail,"0")&amp;" V rail at the current settings (row 81). A multimeter reading across the electrodes tests the cell-constant choice and, with a high-power point, bounds the j₀ errors."</f>
        <v>The cell-voltage budget is a testable prediction: about 2.65 V of the 5 V rail at the current settings (row 81). A multimeter reading across the electrodes tests the cell-constant choice and, with a high-power point, bounds the j₀ errors.</v>
      </c>
    </row>
    <row r="137" x14ac:dyDescent="0.2" ht="32" customHeight="1">
      <c r="A137" t="s" s="273">
        <v>2776</v>
      </c>
      <c r="B137" t="s" s="265">
        <v>908</v>
      </c>
      <c r="C137" t="s" s="265">
        <v>909</v>
      </c>
      <c r="D137" s="277" t="str">
        <f>Calibrations!xs_hsgas</f>
        <v>Not done</v>
      </c>
      <c r="E137" s="275" t="str">
        <f>HYPERLINK("https://github.com/amy-bo/electroPioreactor/blob/AEP02/Media/protocols/headspace-gas-safety.md","headspace-gas-safety.md →")</f>
        <v>headspace-gas-safety.md →</v>
      </c>
      <c r="F137" t="inlineStr" s="272">
        <is>
          <t>Safety. The model puts the lag-phase headspace at about 9 % H₂ (D92), above the 4 % lower flammable limit, until the cells take up H₂.</t>
        </is>
      </c>
    </row>
    <row r="138" x14ac:dyDescent="0.2" ht="27" customHeight="1">
      <c r="A138" t="s" s="265">
        <v>2772</v>
      </c>
      <c r="B138" t="s" s="265">
        <v>908</v>
      </c>
      <c r="C138" t="s" s="265">
        <v>909</v>
      </c>
      <c r="D138" s="277" t="str">
        <f>Calibrations!xs_vent</f>
        <v>Not done</v>
      </c>
      <c r="E138" s="275" t="str">
        <f>HYPERLINK("https://github.com/amy-bo/electroPioreactor/blob/AEP02/Media/protocols/headspace-vent.md","headspace-vent.md →")</f>
        <v>headspace-vent.md →</v>
      </c>
      <c r="F138" t="s" s="272">
        <v>2773</v>
      </c>
    </row>
    <row r="139" x14ac:dyDescent="0.2" ht="27" customHeight="1">
      <c r="A139" t="s" s="265">
        <v>907</v>
      </c>
      <c r="B139" t="s" s="265">
        <v>908</v>
      </c>
      <c r="C139" t="s" s="265">
        <v>909</v>
      </c>
      <c r="D139" s="277" t="str">
        <f>Calibrations!xs_kLa</f>
        <v>Not done</v>
      </c>
      <c r="E139" s="275" t="str">
        <f>HYPERLINK("https://github.com/amy-bo/electroPioreactor/blob/AEP02/Media/protocols/surface-kla.md","surface-kla.md →")</f>
        <v>surface-kla.md →</v>
      </c>
      <c r="F139" t="s" s="272">
        <v>1716</v>
      </c>
    </row>
    <row r="140" x14ac:dyDescent="0.2" ht="32" customHeight="1">
      <c r="A140" t="s" s="273">
        <v>2774</v>
      </c>
      <c r="B140" t="s" s="265">
        <v>908</v>
      </c>
      <c r="C140" t="s" s="265">
        <v>909</v>
      </c>
      <c r="D140" s="277" t="str">
        <f>Calibrations!xs_DOtrace</f>
        <v>Not done</v>
      </c>
      <c r="E140" s="275" t="str">
        <f>HYPERLINK("https://github.com/amy-bo/electroPioreactor/blob/AEP02/Media/protocols/abiotic-do-trace.md","abiotic-do-trace.md →")</f>
        <v>abiotic-do-trace.md →</v>
      </c>
      <c r="F140" t="inlineStr" s="272">
        <is>
          <t>One run with no cells at 3 % logging DO with an optical spot: tests the whole headspace balance against the lag-phase predictions (rows 46–47).</t>
        </is>
      </c>
    </row>
    <row r="141" ht="32" customHeight="1">
      <c r="A141" t="inlineStr" s="274">
        <is>
          <t>pH through a growth run (tests the nitrogen-uptake acidification)</t>
        </is>
      </c>
      <c r="B141" t="inlineStr" s="265">
        <is>
          <t>HIGH</t>
        </is>
      </c>
      <c r="C141" t="inlineStr" s="265">
        <is>
          <t>med</t>
        </is>
      </c>
      <c r="D141" s="277" t="str">
        <f>Calibrations!xs_pHrun</f>
        <v>Not done</v>
      </c>
      <c r="E141" s="275" t="str">
        <f>HYPERLINK("https://github.com/amy-bo/electroPioreactor/blob/AEP02/Media/protocols/ph-growth-run.md","ph-growth-run.md →")</f>
        <v>ph-growth-run.md →</v>
      </c>
      <c r="F141" t="inlineStr" s="270">
        <is>
          <t>Log pH with a probe, and OD, through one growth run at the schedule in use. Tests the end-of-run pH (row 28) and the media options (rows 64–67), and with them the 11.4 % biomass nitrogen.</t>
        </is>
      </c>
    </row>
    <row r="142" x14ac:dyDescent="0.2" ht="32" customHeight="1">
      <c r="A142" t="s" s="273">
        <v>1655</v>
      </c>
      <c r="B142" t="s" s="265">
        <v>914</v>
      </c>
      <c r="C142" t="s" s="265">
        <v>921</v>
      </c>
      <c r="D142" s="277" t="str">
        <f>Calibrations!xs_metals</f>
        <v>Not done</v>
      </c>
      <c r="E142" s="275" t="str">
        <f>HYPERLINK("https://github.com/amy-bo/electroPioreactor/blob/AEP02/Media/protocols/README.md","README.md →")</f>
        <v>README.md →</v>
      </c>
      <c r="F142" t="inlineStr" s="272">
        <is>
          <t>Cu/Ni/Fe by ICP or a colorimetric kit. The operating anode sits well above the Cu²⁺/Cu equilibrium (row 83), so dissolution is thermodynamically allowed; this is the unmodelled prime suspect for the Exp-2 death and it also closes the anodic charge budget.</t>
        </is>
      </c>
    </row>
    <row r="143" x14ac:dyDescent="0.2" ht="32" customHeight="1">
      <c r="A143" t="s" s="273">
        <v>913</v>
      </c>
      <c r="B143" t="s" s="265">
        <v>914</v>
      </c>
      <c r="C143" t="s" s="265">
        <v>915</v>
      </c>
      <c r="D143" s="277" t="str">
        <f>Calibrations!xs_FE</f>
        <v>Not done</v>
      </c>
      <c r="E143" s="275" t="str">
        <f>HYPERLINK("https://github.com/amy-bo/electroPioreactor/blob/AEP02/Media/protocols/faradaic-efficiency.md","faradaic-efficiency.md →")</f>
        <v>faradaic-efficiency.md →</v>
      </c>
      <c r="F143" t="s" s="272">
        <v>1718</v>
      </c>
    </row>
    <row r="144" x14ac:dyDescent="0.2" ht="27" customHeight="1">
      <c r="A144" t="s" s="265">
        <v>2765</v>
      </c>
      <c r="B144" t="inlineStr" s="265">
        <is>
          <t>HIGH</t>
        </is>
      </c>
      <c r="C144" t="inlineStr" s="265">
        <is>
          <t>high</t>
        </is>
      </c>
      <c r="D144" s="277" t="str">
        <f>Calibrations!xs_DOthr</f>
        <v>Not done</v>
      </c>
      <c r="E144" s="275" t="str">
        <f>HYPERLINK("https://github.com/amy-bo/electroPioreactor/blob/AEP02/Media/protocols/dissolved-oxygen.md","dissolved-oxygen.md →")</f>
        <v>dissolved-oxygen.md →</v>
      </c>
      <c r="F144" t="inlineStr" s="272">
        <is>
          <t>Minimum, optimum and impairment DO for the organism in use: all four are data gaps for X. tagetidis, and the C. necator optimum and impairment that set the fallback target fraction (Biology D61) are provisional working values (row 97 is the minimum check).</t>
        </is>
      </c>
    </row>
    <row r="145" x14ac:dyDescent="0.2" ht="27" customHeight="1">
      <c r="A145" t="s" s="265">
        <v>2778</v>
      </c>
      <c r="B145" t="s" s="265">
        <v>908</v>
      </c>
      <c r="C145" t="s" s="265">
        <v>918</v>
      </c>
      <c r="D145" s="277" t="str">
        <f>Calibrations!xs_offgas</f>
        <v>Not done</v>
      </c>
      <c r="E145" s="275" t="str">
        <f>HYPERLINK("https://github.com/amy-bo/electroPioreactor/blob/AEP02/Media/protocols/knallgas-stoichiometry.md","knallgas-stoichiometry.md →")</f>
        <v>knallgas-stoichiometry.md →</v>
      </c>
      <c r="F145" s="272" t="inlineStr">
        <is>
          <t xml:space="preserve">Measure H₂ uptake by species and inventory balance, including vent losses. Enter the accepted utilisation fraction in Biology D128 and its evidence in F128; uptake ratios alone do not determine the fraction consumed. It changes O₂ surplus, carbon demand and residual growth H₂.</t>
        </is>
      </c>
    </row>
    <row r="146" x14ac:dyDescent="0.2" ht="17" customHeight="1">
      <c r="A146" t="s" s="265">
        <v>930</v>
      </c>
      <c r="B146" t="s" s="265">
        <v>931</v>
      </c>
      <c r="C146" t="s" s="265">
        <v>932</v>
      </c>
      <c r="D146" s="277" t="str">
        <f>Calibrations!xs_flow_all</f>
        <v>Approximate</v>
      </c>
      <c r="E146" s="275" t="str">
        <f>HYPERLINK("https://github.com/amy-bo/electroPioreactor/blob/AEP02/Media/protocols/flow-calibration.md","flow-calibration.md →")</f>
        <v>flow-calibration.md →</v>
      </c>
      <c r="F146" t="inlineStr" s="272">
        <is>
          <t>Each reactor needs its own CO₂ flow calibration; only ed04 has one (row 132 for the reactor actually in use).</t>
        </is>
      </c>
    </row>
    <row r="147" x14ac:dyDescent="0.2" ht="17" customHeight="1">
      <c r="A147" t="s" s="265">
        <v>922</v>
      </c>
      <c r="B147" t="s" s="265">
        <v>923</v>
      </c>
      <c r="C147" t="s" s="265">
        <v>924</v>
      </c>
      <c r="D147" s="277" t="str">
        <f>Calibrations!xs_wall</f>
        <v>Not done</v>
      </c>
      <c r="E147" s="275" t="str">
        <f>HYPERLINK("https://github.com/amy-bo/electroPioreactor/blob/AEP02/Media/protocols/vial-geometry.md","vial-geometry.md →")</f>
        <v>vial-geometry.md →</v>
      </c>
      <c r="F147" t="inlineStr" s="272">
        <is>
          <t>Calipers on the vial body; drives the headspace and displacement budget alongside the total volume (row 131).</t>
        </is>
      </c>
    </row>
    <row r="148" x14ac:dyDescent="0.2" ht="27" customHeight="1">
      <c r="A148" t="s" s="265">
        <v>2780</v>
      </c>
      <c r="B148" t="s" s="265">
        <v>917</v>
      </c>
      <c r="C148" t="s" s="265">
        <v>912</v>
      </c>
      <c r="D148" s="277" t="str">
        <f>Calibrations!xs_DPD</f>
        <v>Not needed</v>
      </c>
      <c r="E148" s="275" t="str">
        <f>HYPERLINK("https://github.com/amy-bo/electroPioreactor/blob/AEP02/Media/protocols/chlorine-species.md","chlorine-species.md →")</f>
        <v>chlorine-species.md →</v>
      </c>
      <c r="F148" t="s" s="272">
        <v>2781</v>
      </c>
    </row>
    <row r="149" x14ac:dyDescent="0.2" ht="32" customHeight="1">
      <c r="A149" t="inlineStr" s="273">
        <is>
          <t>Conductivity of the medium in use at the operating temperature</t>
        </is>
      </c>
      <c r="B149" t="s" s="265">
        <v>917</v>
      </c>
      <c r="C149" t="s" s="265">
        <v>912</v>
      </c>
      <c r="D149" s="277" t="str">
        <f>Calibrations!xs_cond</f>
        <v>Not done</v>
      </c>
      <c r="E149" s="275" t="str">
        <f>HYPERLINK("https://github.com/amy-bo/electroPioreactor/blob/AEP02/Media/protocols/README.md","README.md →")</f>
        <v>README.md →</v>
      </c>
      <c r="F149" s="272" t="inlineStr">
        <is>
          <t xml:space="preserve">The ohmic term uses a Kohlrausch sum × a finite-strength factor (0.78) anchored near I ≈ 0.1 M; AM003 is about 0.2 M. A conductivity-meter reading at 30 °C replaces both (Chemistry D178–D180).</t>
        </is>
      </c>
    </row>
    <row r="150" x14ac:dyDescent="0.2" ht="32" customHeight="1">
      <c r="A150" t="s" s="273">
        <v>1652</v>
      </c>
      <c r="B150" t="s" s="265">
        <v>931</v>
      </c>
      <c r="C150" t="s" s="265">
        <v>938</v>
      </c>
      <c r="D150" s="277" t="str">
        <f>Calibrations!xs_gap</f>
        <v>Not done</v>
      </c>
      <c r="E150" s="275" t="str">
        <f>HYPERLINK("https://github.com/amy-bo/electroPioreactor/blob/AEP02/Media/protocols/vial-geometry.md","vial-geometry.md →")</f>
        <v>vial-geometry.md →</v>
      </c>
      <c r="F150" t="s" s="272">
        <v>1653</v>
      </c>
    </row>
    <row r="151" x14ac:dyDescent="0.2" ht="39.5" customHeight="1">
      <c r="A151" t="s" s="273">
        <v>919</v>
      </c>
      <c r="B151" t="s" s="265">
        <v>920</v>
      </c>
      <c r="C151" t="s" s="265">
        <v>921</v>
      </c>
      <c r="D151" s="277" t="str">
        <f>Calibrations!xs_FE_OER</f>
        <v>Not done</v>
      </c>
      <c r="E151" s="275" t="str">
        <f>HYPERLINK("https://github.com/amy-bo/electroPioreactor/blob/AEP02/Media/protocols/faradaic-efficiency.md","faradaic-efficiency.md →")</f>
        <v>faradaic-efficiency.md →</v>
      </c>
      <c r="F151" t="s" s="272">
        <v>2763</v>
      </c>
    </row>
    <row r="152" x14ac:dyDescent="0.2" ht="32" customHeight="1">
      <c r="A152" t="s" s="273">
        <v>916</v>
      </c>
      <c r="B152" t="s" s="265">
        <v>917</v>
      </c>
      <c r="C152" t="s" s="265">
        <v>918</v>
      </c>
      <c r="D152" s="277" t="str">
        <f>Calibrations!xs_knall</f>
        <v>Not done</v>
      </c>
      <c r="E152" s="275" t="str">
        <f>HYPERLINK("https://github.com/amy-bo/electroPioreactor/blob/AEP02/Media/protocols/knallgas-stoichiometry.md","knallgas-stoichiometry.md →")</f>
        <v>knallgas-stoichiometry.md →</v>
      </c>
      <c r="F152" s="272" t="str">
        <f>IFERROR("Sets the O₂ surplus and the carbon demand: each 1 % on the O₂:H₂ uptake ratio moves the surplus "&amp;TEXT(Biology!O2_cons/Biology!O2_excess,"0.0")&amp;" % (Biology E16); needs a growing culture.","Sets the O₂ surplus and the carbon demand; needs a growing culture.")</f>
        <v>Sets the O₂ surplus and the carbon demand: each 1 % on the O₂:H₂ uptake ratio moves the surplus 2.0 % (Biology E16); needs a growing culture.</v>
      </c>
    </row>
    <row r="153" x14ac:dyDescent="0.2" ht="32" customHeight="1">
      <c r="A153" t="s" s="273">
        <v>925</v>
      </c>
      <c r="B153" t="s" s="265">
        <v>926</v>
      </c>
      <c r="C153" t="s" s="265">
        <v>927</v>
      </c>
      <c r="D153" s="277" t="str">
        <f>Calibrations!xs_floor</f>
        <v>Approximate</v>
      </c>
      <c r="E153" s="275" t="str">
        <f>HYPERLINK("https://github.com/amy-bo/electroPioreactor/blob/AEP02/Media/protocols/flow-calibration.md","flow-calibration.md →")</f>
        <v>flow-calibration.md →</v>
      </c>
      <c r="F153" t="inlineStr" s="272">
        <is>
          <t>Sets the solenoid floor (pulse_floor, now 0.25 s), which binds only when it exceeds the optimal pulse (0.67 s): it does not now, so it matters only for a smaller headspace, a faster flow or the "Shortest reliable pulse" rule (row 18). Trivial to characterise on the bench (flow-calibration.md).</t>
        </is>
      </c>
    </row>
    <row r="154" x14ac:dyDescent="0.2" ht="17" customHeight="1">
      <c r="A154" t="s" s="265">
        <v>2782</v>
      </c>
      <c r="B154" t="s" s="265">
        <v>926</v>
      </c>
      <c r="C154" t="s" s="265">
        <v>912</v>
      </c>
      <c r="D154" s="277" t="str">
        <f>Calibrations!xs_spflow</f>
        <v>Approximate</v>
      </c>
      <c r="E154" s="275" t="str">
        <f>HYPERLINK("https://github.com/amy-bo/electroPioreactor/blob/AEP02/Media/protocols/flow-calibration.md","flow-calibration.md →")</f>
        <v>flow-calibration.md →</v>
      </c>
      <c r="F154" t="s" s="272">
        <v>2590</v>
      </c>
    </row>
    <row r="155" x14ac:dyDescent="0.2" ht="17" customHeight="1">
      <c r="A155" t="s" s="265">
        <v>2783</v>
      </c>
      <c r="B155" t="s" s="265">
        <v>926</v>
      </c>
      <c r="C155" t="s" s="265">
        <v>912</v>
      </c>
      <c r="D155" s="277" t="str">
        <f>Calibrations!xs_carry</f>
        <v>Approximate</v>
      </c>
      <c r="E155" s="275" t="str">
        <f>HYPERLINK("https://github.com/amy-bo/electroPioreactor/blob/AEP02/Media/protocols/flow-calibration.md","flow-calibration.md →")</f>
        <v>flow-calibration.md →</v>
      </c>
      <c r="F155" s="272" t="inlineStr">
        <is>
          <t xml:space="preserve">Record the highest flow without liquid carryover for each reactor in CO2 flows column K; D115 reads "not measured" until then.</t>
        </is>
      </c>
    </row>
    <row r="156" x14ac:dyDescent="0.2" ht="17" customHeight="1">
      <c r="A156" t="s" s="265">
        <v>933</v>
      </c>
      <c r="B156" t="s" s="265">
        <v>934</v>
      </c>
      <c r="C156" t="s" s="265">
        <v>935</v>
      </c>
      <c r="D156" s="277" t="str">
        <f>Calibrations!xs_sinter</f>
        <v>Not done</v>
      </c>
      <c r="E156" s="275" t="str">
        <f>HYPERLINK("https://github.com/amy-bo/electroPioreactor/blob/AEP02/Media/protocols/sinter-porosity.md","sinter-porosity.md →")</f>
        <v>sinter-porosity.md →</v>
      </c>
      <c r="F156" t="s" s="272">
        <v>2768</v>
      </c>
    </row>
    <row r="157" x14ac:dyDescent="0.2" ht="27" customHeight="1">
      <c r="A157" t="s" s="265">
        <v>936</v>
      </c>
      <c r="B157" t="s" s="265">
        <v>937</v>
      </c>
      <c r="C157" t="s" s="265">
        <v>938</v>
      </c>
      <c r="D157" s="277" t="str">
        <f>Calibrations!xs_patm</f>
        <v>Not done</v>
      </c>
      <c r="E157" s="275" t="str">
        <f>HYPERLINK("https://github.com/amy-bo/electroPioreactor/blob/AEP02/Media/protocols/README.md","README.md →")</f>
        <v>README.md →</v>
      </c>
      <c r="F157" t="s" s="272">
        <v>2769</v>
      </c>
    </row>
    <row r="158">
      <c r="A158" s="291" t="str">
        <f>HYPERLINK("#Summary!A212","Growth-validation experiments →")</f>
        <v>Growth-validation experiments →</v>
      </c>
      <c r="F158" s="270" t="inlineStr">
        <is>
          <t xml:space="preserve">Additional experiments required for highest measured growth/productivity: response trials, cycle-resolved measurements and independent validation (rows 213–215).</t>
        </is>
      </c>
    </row>
    <row r="159" x14ac:dyDescent="0.2" ht="17" customHeight="1">
      <c r="A159" t="inlineStr" s="263">
        <is>
          <t>Potential model improvements</t>
        </is>
      </c>
      <c r="B159" t="s" s="263">
        <v>99</v>
      </c>
      <c r="C159" t="s" s="263">
        <v>100</v>
      </c>
      <c r="D159" t="s" s="263">
        <v>2793</v>
      </c>
      <c r="E159" s="263"/>
      <c r="F159" t="s" s="264">
        <v>102</v>
      </c>
    </row>
    <row r="160" x14ac:dyDescent="0.2" ht="39.5" customHeight="1">
      <c r="A160" t="s" s="265">
        <v>2794</v>
      </c>
      <c r="B160" t="s" s="265">
        <v>926</v>
      </c>
      <c r="C160" t="s" s="265">
        <v>909</v>
      </c>
      <c r="D160" t="inlineStr" s="270">
        <is>
          <t>Owner: only if N₂ is used at all (T7 prefers fixing the medium)</t>
        </is>
      </c>
      <c r="F160" t="inlineStr" s="272">
        <is>
          <t>Row 14 enters N₂ by its mean flow. That is exact for the mean-field fractions (rows 55–56 size it) but not for the sawtooth: a separate N₂ flush lets H₂ and O₂ build for longer between flushes, so the pre-pulse peaks can be well above what the continuous surrogate shows. It would not change whether N₂ is warranted, only how to pulse it safely, so it waits until N₂ is chosen.</t>
        </is>
      </c>
    </row>
    <row r="161" ht="32" customHeight="1">
      <c r="A161" t="inlineStr" s="274">
        <is>
          <t>Ionic strength of each media option</t>
        </is>
      </c>
      <c r="B161" t="inlineStr" s="265">
        <is>
          <t>LOW</t>
        </is>
      </c>
      <c r="C161" t="inlineStr" s="265">
        <is>
          <t>med</t>
        </is>
      </c>
      <c r="D161" t="inlineStr" s="269">
        <is>
          <t>Nothing: a refinement</t>
        </is>
      </c>
      <c r="F161" t="inlineStr" s="270">
        <is>
          <t>The end-of-run pH and the media options (row 28, rows 64–67) keep today’s activity coefficients. Swapping (NH₄)₂SO₄ for K₂SO₄ + KNO₃ raises the ionic strength a little and uptake lowers it; solving each option at its own ionic strength would move those pH values by a few hundredths.</t>
        </is>
      </c>
    </row>
    <row r="162">
      <c r="A162" s="275" t="str">
        <f>HYPERLINK("#Summary!A203","Required for growth/productivity optimisation →")</f>
        <v>Required for growth/productivity optimisation →</v>
      </c>
      <c r="F162" s="272" t="inlineStr">
        <is>
          <t xml:space="preserve">The two refinements above are insufficient by themselves. The mandatory optimisation and validation work continues below the Key and thresholds.</t>
        </is>
      </c>
    </row>
    <row r="163" x14ac:dyDescent="0.2">
      <c r="A163" t="s" s="263">
        <v>88</v>
      </c>
      <c r="B163" s="263"/>
      <c r="C163" s="263"/>
      <c r="D163" s="263"/>
      <c r="E163" s="263"/>
      <c r="F163" s="263"/>
    </row>
    <row r="164" x14ac:dyDescent="0.2">
      <c r="A164" s="280" t="s">
        <v>89</v>
      </c>
      <c r="B164" s="271"/>
      <c r="C164" s="271"/>
      <c r="D164" s="281"/>
      <c r="E164" s="271"/>
      <c r="F164" t="inlineStr" s="270">
        <is>
          <t>Column E fill on every calculation sheet: how far to trust the value in that row.</t>
        </is>
      </c>
    </row>
    <row r="165" x14ac:dyDescent="0.2">
      <c r="A165" s="282" t="s">
        <v>90</v>
      </c>
      <c r="B165" s="271"/>
      <c r="C165" s="271"/>
      <c r="D165" s="281"/>
      <c r="E165" s="271"/>
      <c r="F165" s="271"/>
    </row>
    <row r="166" x14ac:dyDescent="0.2">
      <c r="A166" s="283" t="s">
        <v>91</v>
      </c>
      <c r="B166" s="271"/>
      <c r="C166" s="271"/>
      <c r="D166" s="281"/>
      <c r="E166" s="271"/>
      <c r="F166" s="271"/>
    </row>
    <row r="167" x14ac:dyDescent="0.2">
      <c r="A167" s="284" t="s">
        <v>92</v>
      </c>
      <c r="B167" s="271"/>
      <c r="C167" s="271"/>
      <c r="D167" s="281"/>
      <c r="E167" s="271"/>
      <c r="F167" s="271"/>
    </row>
    <row r="168" x14ac:dyDescent="0.2">
      <c r="A168" s="285" t="s">
        <v>93</v>
      </c>
      <c r="B168" s="271"/>
      <c r="C168" s="271"/>
      <c r="D168" s="281"/>
      <c r="E168" s="286"/>
      <c r="F168" s="271"/>
    </row>
    <row r="169" x14ac:dyDescent="0.2">
      <c r="A169" s="287" t="s">
        <v>94</v>
      </c>
      <c r="B169" s="271"/>
      <c r="C169" s="271"/>
      <c r="D169" s="281"/>
      <c r="E169" s="286"/>
      <c r="F169" t="inlineStr" s="270">
        <is>
          <t>Also a "?" in a lookup table, and the start-up power while it is extrapolated below the 3 % current curve.</t>
        </is>
      </c>
    </row>
    <row r="170" x14ac:dyDescent="0.2">
      <c r="A170" s="288" t="s">
        <v>3363</v>
      </c>
      <c r="B170" s="271"/>
      <c r="C170" s="271"/>
      <c r="D170" s="281"/>
      <c r="E170" s="286"/>
      <c r="F170" t="inlineStr" s="270">
        <is>
          <t>Inputs: Summary rows 2–18, the blue cells of the calculation sheets and the data-entry tables (Calibrations, CO2 flows).</t>
        </is>
      </c>
    </row>
    <row r="171" x14ac:dyDescent="0.2">
      <c r="A171" s="289" t="s">
        <v>95</v>
      </c>
      <c r="B171" s="271"/>
      <c r="C171" s="271"/>
      <c r="D171" s="271"/>
      <c r="E171" s="271"/>
      <c r="F171" t="inlineStr" s="270">
        <is>
          <t>Labels, units and notes are plain text in the same black.</t>
        </is>
      </c>
    </row>
    <row r="172" x14ac:dyDescent="0.2">
      <c r="A172" s="290" t="s">
        <v>3364</v>
      </c>
      <c r="B172" s="271"/>
      <c r="C172" s="271"/>
      <c r="D172" s="271"/>
      <c r="E172" s="271"/>
      <c r="F172" s="271"/>
    </row>
    <row r="173" s="271" customFormat="1" x14ac:dyDescent="0.2">
      <c r="A173" s="291" t="str">
        <f>HYPERLINK("#Summary!A174","→ Link")</f>
        <v>→ Link</v>
      </c>
    </row>
    <row r="174" s="271" customFormat="1" x14ac:dyDescent="0.2">
      <c r="A174" s="292" t="s">
        <v>96</v>
      </c>
      <c r="F174" t="inlineStr" s="270">
        <is>
          <t>Check passes · experiment Done here (or Not needed) · input valid · impact HIGH / effort low.</t>
        </is>
      </c>
    </row>
    <row r="175" s="271" customFormat="1" x14ac:dyDescent="0.2">
      <c r="A175" s="293" t="s">
        <v>97</v>
      </c>
      <c r="F175" t="inlineStr" s="270">
        <is>
          <t>Check needs watching · experiment Approximate · input valid but not the best choice · a model value overridden in column G · impact or effort MED.</t>
        </is>
      </c>
    </row>
    <row r="176" x14ac:dyDescent="0.2" ht="27" customHeight="1">
      <c r="A176" s="294" t="s">
        <v>98</v>
      </c>
      <c r="B176" s="271"/>
      <c r="C176" s="271"/>
      <c r="D176" s="271"/>
      <c r="E176" s="271"/>
      <c r="F176" t="inlineStr" s="270">
        <is>
          <t>Check fails · experiment Not done · input empty, impossible or harmful (power over the strain ceiling) · a data point excluded · impact LOW / effort high.</t>
        </is>
      </c>
    </row>
    <row r="177" s="271" customFormat="1" x14ac:dyDescent="0.2">
      <c r="A177" s="263" t="s">
        <v>3367</v>
      </c>
    </row>
    <row r="178" s="271" customFormat="1" x14ac:dyDescent="0.2">
      <c r="A178" s="278" t="s">
        <v>3366</v>
      </c>
    </row>
    <row r="180" x14ac:dyDescent="0.2">
      <c r="A180" t="inlineStr" s="278">
        <is>
          <t>COLOUR AND INPUT-CHECK THRESHOLDS (the conditional formats and input validation on this sheet read these cells)</t>
        </is>
      </c>
      <c r="B180" s="278"/>
      <c r="C180" s="278"/>
      <c r="D180" s="278"/>
      <c r="E180" s="278"/>
      <c r="F180" s="278"/>
    </row>
    <row r="181" x14ac:dyDescent="0.2" ht="17" customHeight="1">
      <c r="A181" t="s" s="265">
        <v>1772</v>
      </c>
      <c r="B181" t="s" s="266">
        <v>1773</v>
      </c>
      <c r="C181" t="s" s="265">
        <v>1774</v>
      </c>
      <c r="D181" s="277">
        <f>Chemistry!pH_red_lo</f>
        <v>6.0</v>
      </c>
      <c r="E181" s="275" t="str">
        <f>HYPERLINK("#Chemistry!D299","→ Chemistry")</f>
        <v>→ Chemistry</v>
      </c>
      <c r="F181" t="s" s="270">
        <v>1775</v>
      </c>
    </row>
    <row r="182" x14ac:dyDescent="0.2" ht="17" customHeight="1">
      <c r="A182" t="s" s="265">
        <v>1776</v>
      </c>
      <c r="B182" t="s" s="266">
        <v>1777</v>
      </c>
      <c r="C182" t="s" s="265">
        <v>1774</v>
      </c>
      <c r="D182" s="198">
        <f>Chemistry!pH_band_lo</f>
        <v>6.5</v>
      </c>
      <c r="E182" s="275" t="str">
        <f>HYPERLINK("#Chemistry!D236","→ Chemistry")</f>
        <v>→ Chemistry</v>
      </c>
      <c r="F182" t="s" s="270">
        <v>1775</v>
      </c>
    </row>
    <row r="183" x14ac:dyDescent="0.2" ht="17" customHeight="1">
      <c r="A183" t="s" s="265">
        <v>1778</v>
      </c>
      <c r="B183" t="s" s="266">
        <v>1779</v>
      </c>
      <c r="C183" t="s" s="265">
        <v>1774</v>
      </c>
      <c r="D183" s="198">
        <f>Chemistry!pH_band_hi</f>
        <v>7.5</v>
      </c>
      <c r="E183" s="275" t="str">
        <f>HYPERLINK("#Chemistry!D237","→ Chemistry")</f>
        <v>→ Chemistry</v>
      </c>
      <c r="F183" t="s" s="270">
        <v>1775</v>
      </c>
    </row>
    <row r="184" x14ac:dyDescent="0.2" ht="17" customHeight="1">
      <c r="A184" t="s" s="265">
        <v>1780</v>
      </c>
      <c r="B184" t="s" s="266">
        <v>1781</v>
      </c>
      <c r="C184" t="s" s="265">
        <v>1774</v>
      </c>
      <c r="D184" s="277">
        <f>Chemistry!pH_red_hi</f>
        <v>8.0</v>
      </c>
      <c r="E184" s="275" t="str">
        <f>HYPERLINK("#Chemistry!D300","→ Chemistry")</f>
        <v>→ Chemistry</v>
      </c>
      <c r="F184" t="s" s="270">
        <v>1775</v>
      </c>
    </row>
    <row r="185" x14ac:dyDescent="0.2" ht="17" customHeight="1">
      <c r="A185" t="s" s="265">
        <v>1782</v>
      </c>
      <c r="B185" t="s" s="266">
        <v>1783</v>
      </c>
      <c r="C185" t="s" s="265">
        <v>83</v>
      </c>
      <c r="D185" s="199">
        <f>Chemistry!Cl_onset</f>
        <v>0.1</v>
      </c>
      <c r="E185" s="275" t="str">
        <f>HYPERLINK("#Chemistry!D146","→ Chemistry")</f>
        <v>→ Chemistry</v>
      </c>
      <c r="F185" t="s" s="270">
        <v>1775</v>
      </c>
    </row>
    <row r="186" x14ac:dyDescent="0.2" ht="17" customHeight="1">
      <c r="A186" t="s" s="265">
        <v>1784</v>
      </c>
      <c r="B186" t="s" s="266">
        <v>1785</v>
      </c>
      <c r="C186" t="s" s="265">
        <v>83</v>
      </c>
      <c r="D186" s="277">
        <f>Chemistry!Cl_kill</f>
        <v>2.0</v>
      </c>
      <c r="E186" s="275" t="str">
        <f>HYPERLINK("#Chemistry!D147","→ Chemistry")</f>
        <v>→ Chemistry</v>
      </c>
      <c r="F186" t="s" s="270">
        <v>1775</v>
      </c>
    </row>
    <row r="187" ht="32" customHeight="1">
      <c r="A187" t="inlineStr" s="274">
        <is>
          <t>Electrolysis power, lowest the model accepts</t>
        </is>
      </c>
      <c r="B187" t="inlineStr" s="266">
        <is>
          <t>cf_power_lo</t>
        </is>
      </c>
      <c r="C187" t="inlineStr" s="265">
        <is>
          <t>%</t>
        </is>
      </c>
      <c r="D187" s="277">
        <f>Electrochemistry!gerrit_min</f>
        <v>3.0</v>
      </c>
      <c r="E187" s="275" t="str">
        <f>HYPERLINK("#Electrochemistry!D13","→ Electrochemistry")</f>
        <v>→ Electrochemistry</v>
      </c>
      <c r="F187" t="inlineStr" s="270">
        <is>
          <t>Import from Electrochemistry!D13 (gerrit_min).</t>
        </is>
      </c>
    </row>
    <row r="188" ht="32" customHeight="1">
      <c r="A188" t="inlineStr" s="274">
        <is>
          <t>Electrolysis power, highest the plugin allows</t>
        </is>
      </c>
      <c r="B188" t="inlineStr" s="266">
        <is>
          <t>cf_power_hi</t>
        </is>
      </c>
      <c r="C188" t="inlineStr" s="265">
        <is>
          <t>%</t>
        </is>
      </c>
      <c r="D188" s="277">
        <f>Electrochemistry!power_max</f>
        <v>10.0</v>
      </c>
      <c r="E188" s="275" t="str">
        <f>HYPERLINK("#Electrochemistry!D73","→ Electrochemistry")</f>
        <v>→ Electrochemistry</v>
      </c>
      <c r="F188" t="inlineStr" s="270">
        <is>
          <t>Import from Electrochemistry!D73 (power_max).</t>
        </is>
      </c>
    </row>
    <row r="189" ht="17" customHeight="1">
      <c r="A189" t="inlineStr" s="265">
        <is>
          <t>Stirrer rate, lowest</t>
        </is>
      </c>
      <c r="B189" t="inlineStr" s="266">
        <is>
          <t>cf_rpm_lo</t>
        </is>
      </c>
      <c r="C189" t="inlineStr" s="265">
        <is>
          <t>rpm</t>
        </is>
      </c>
      <c r="D189" s="268">
        <v>125</v>
      </c>
      <c r="E189" t="inlineStr" s="269">
        <is>
          <t>input</t>
        </is>
      </c>
      <c r="F189" t="inlineStr" s="270">
        <is>
          <t>Pioreactor stirrer range.</t>
        </is>
      </c>
    </row>
    <row r="190" ht="17" customHeight="1">
      <c r="A190" t="inlineStr" s="265">
        <is>
          <t>Stirrer rate, highest</t>
        </is>
      </c>
      <c r="B190" t="inlineStr" s="266">
        <is>
          <t>cf_rpm_hi</t>
        </is>
      </c>
      <c r="C190" t="inlineStr" s="265">
        <is>
          <t>rpm</t>
        </is>
      </c>
      <c r="D190" s="268">
        <v>2000</v>
      </c>
      <c r="E190" t="inlineStr" s="269">
        <is>
          <t>input</t>
        </is>
      </c>
      <c r="F190" t="inlineStr" s="270">
        <is>
          <t>Pioreactor stirrer range.</t>
        </is>
      </c>
    </row>
    <row r="191" ht="17" customHeight="1">
      <c r="A191" t="inlineStr" s="265">
        <is>
          <t>Temperature, lowest</t>
        </is>
      </c>
      <c r="B191" t="inlineStr" s="266">
        <is>
          <t>cf_T_lo</t>
        </is>
      </c>
      <c r="C191" t="inlineStr" s="265">
        <is>
          <t>°C</t>
        </is>
      </c>
      <c r="D191" s="268">
        <v>15</v>
      </c>
      <c r="E191" t="inlineStr" s="269">
        <is>
          <t>input</t>
        </is>
      </c>
      <c r="F191" t="inlineStr" s="270">
        <is>
          <t>Range of the water-property fits (Mass Transfer D29–D32).</t>
        </is>
      </c>
    </row>
    <row r="192" ht="17" customHeight="1">
      <c r="A192" t="inlineStr" s="265">
        <is>
          <t>Temperature, highest</t>
        </is>
      </c>
      <c r="B192" t="inlineStr" s="266">
        <is>
          <t>cf_T_hi</t>
        </is>
      </c>
      <c r="C192" t="inlineStr" s="265">
        <is>
          <t>°C</t>
        </is>
      </c>
      <c r="D192" s="268">
        <v>40</v>
      </c>
      <c r="E192" t="inlineStr" s="269">
        <is>
          <t>input</t>
        </is>
      </c>
      <c r="F192" t="inlineStr" s="270">
        <is>
          <t>Range of the water-property fits (Mass Transfer D29–D32).</t>
        </is>
      </c>
    </row>
    <row r="193" ht="17" customHeight="1">
      <c r="A193" t="inlineStr" s="265">
        <is>
          <t>Ambient pressure, lowest</t>
        </is>
      </c>
      <c r="B193" t="inlineStr" s="266">
        <is>
          <t>cf_Patm_lo</t>
        </is>
      </c>
      <c r="C193" t="inlineStr" s="265">
        <is>
          <t>Pa</t>
        </is>
      </c>
      <c r="D193" s="268">
        <v>80000</v>
      </c>
      <c r="E193" t="inlineStr" s="269">
        <is>
          <t>input</t>
        </is>
      </c>
      <c r="F193" t="inlineStr" s="270">
        <is>
          <t>Plausible laboratory pressure.</t>
        </is>
      </c>
    </row>
    <row r="194" ht="17" customHeight="1">
      <c r="A194" t="inlineStr" s="265">
        <is>
          <t>Ambient pressure, highest</t>
        </is>
      </c>
      <c r="B194" t="inlineStr" s="266">
        <is>
          <t>cf_Patm_hi</t>
        </is>
      </c>
      <c r="C194" t="inlineStr" s="265">
        <is>
          <t>Pa</t>
        </is>
      </c>
      <c r="D194" s="268">
        <v>110000</v>
      </c>
      <c r="E194" t="inlineStr" s="269">
        <is>
          <t>input</t>
        </is>
      </c>
      <c r="F194" t="inlineStr" s="270">
        <is>
          <t>Plausible laboratory pressure.</t>
        </is>
      </c>
    </row>
    <row r="195" ht="17" customHeight="1">
      <c r="A195" t="inlineStr" s="265">
        <is>
          <t>Added NaHCO₃, highest</t>
        </is>
      </c>
      <c r="B195" t="inlineStr" s="266">
        <is>
          <t>cf_NaHCO3_hi</t>
        </is>
      </c>
      <c r="C195" t="inlineStr" s="265">
        <is>
          <t>g/L</t>
        </is>
      </c>
      <c r="D195" s="268">
        <v>10</v>
      </c>
      <c r="E195" t="inlineStr" s="269">
        <is>
          <t>input</t>
        </is>
      </c>
      <c r="F195" t="inlineStr" s="270">
        <is>
          <t>Far above any useful dose; guards a typing error.</t>
        </is>
      </c>
    </row>
    <row r="196" ht="17" customHeight="1">
      <c r="A196" t="inlineStr" s="265">
        <is>
          <t>N₂ dose, highest</t>
        </is>
      </c>
      <c r="B196" t="inlineStr" s="266">
        <is>
          <t>cf_N2_hi</t>
        </is>
      </c>
      <c r="C196" t="inlineStr" s="265">
        <is>
          <t>mL/min</t>
        </is>
      </c>
      <c r="D196" s="268">
        <v>20</v>
      </c>
      <c r="E196" t="inlineStr" s="269">
        <is>
          <t>input</t>
        </is>
      </c>
      <c r="F196" t="inlineStr" s="270">
        <is>
          <t>Far above any useful dose; guards a typing error.</t>
        </is>
      </c>
    </row>
    <row r="197" ht="17" customHeight="1">
      <c r="A197" t="inlineStr" s="265">
        <is>
          <t>Solenoid resolution, lowest</t>
        </is>
      </c>
      <c r="B197" t="inlineStr" s="266">
        <is>
          <t>cf_res_lo</t>
        </is>
      </c>
      <c r="C197" t="inlineStr" s="265">
        <is>
          <t>s</t>
        </is>
      </c>
      <c r="D197" s="268">
        <v>0.001</v>
      </c>
      <c r="E197" t="inlineStr" s="269">
        <is>
          <t>input</t>
        </is>
      </c>
      <c r="F197" t="inlineStr" s="270">
        <is>
          <t>Finer than any solenoid timer.</t>
        </is>
      </c>
    </row>
    <row r="198" ht="17" customHeight="1">
      <c r="A198" t="inlineStr" s="265">
        <is>
          <t>Solenoid resolution, highest</t>
        </is>
      </c>
      <c r="B198" t="inlineStr" s="266">
        <is>
          <t>cf_res_hi</t>
        </is>
      </c>
      <c r="C198" t="inlineStr" s="265">
        <is>
          <t>s</t>
        </is>
      </c>
      <c r="D198" s="268">
        <v>1</v>
      </c>
      <c r="E198" t="inlineStr" s="269">
        <is>
          <t>input</t>
        </is>
      </c>
      <c r="F198" t="inlineStr" s="270">
        <is>
          <t>Coarser than any useful pulse.</t>
        </is>
      </c>
    </row>
    <row r="199" ht="32" customHeight="1">
      <c r="A199" t="inlineStr" s="274">
        <is>
          <t>(import) Recommended maximum working volume</t>
        </is>
      </c>
      <c r="B199" t="inlineStr" s="266">
        <is>
          <t>cf_Vmax</t>
        </is>
      </c>
      <c r="C199" t="inlineStr" s="265">
        <is>
          <t>mL</t>
        </is>
      </c>
      <c r="D199" s="277">
        <f>Geometry!V_max</f>
        <v>16.0</v>
      </c>
      <c r="E199" s="275" t="str">
        <f>HYPERLINK("#Geometry!D23","→ Geometry")</f>
        <v>→ Geometry</v>
      </c>
      <c r="F199" t="inlineStr" s="270">
        <is>
          <t>Import from Geometry!D23 (V_max).</t>
        </is>
      </c>
    </row>
    <row r="200" ht="32" customHeight="1">
      <c r="A200" t="inlineStr" s="274">
        <is>
          <t>(import) NaHCO₃ that holds the band floor through the run</t>
        </is>
      </c>
      <c r="B200" t="inlineStr" s="266">
        <is>
          <t>cf_alk_run</t>
        </is>
      </c>
      <c r="C200" t="inlineStr" s="265">
        <is>
          <t>g/L</t>
        </is>
      </c>
      <c r="D200" s="199">
        <f>Chemistry!alk_run_gL</f>
        <v>0.812191810457</v>
      </c>
      <c r="E200" s="275" t="str">
        <f>HYPERLINK("#Chemistry!D357","→ Chemistry")</f>
        <v>→ Chemistry</v>
      </c>
      <c r="F200" t="inlineStr" s="270">
        <is>
          <t>Import from Chemistry (alk_run_gL).</t>
        </is>
      </c>
    </row>
    <row r="201" ht="32" customHeight="1">
      <c r="A201" t="inlineStr" s="274">
        <is>
          <t>(import) Nitrogen supply against the end-of-run biomass</t>
        </is>
      </c>
      <c r="B201" t="inlineStr" s="266">
        <is>
          <t>cf_N_limit</t>
        </is>
      </c>
      <c r="C201" t="inlineStr" s="265">
        <is>
          <t>-</t>
        </is>
      </c>
      <c r="D201" s="277" t="str">
        <f>Chemistry!N_limit_chk</f>
        <v>OK</v>
      </c>
      <c r="E201" s="275" t="str">
        <f>HYPERLINK("#Chemistry!D337","→ Chemistry")</f>
        <v>→ Chemistry</v>
      </c>
      <c r="F201" t="inlineStr" s="270">
        <is>
          <t>Import from Chemistry (N_limit_chk).</t>
        </is>
      </c>
    </row>
    <row r="203">
      <c r="A203" s="263" t="inlineStr">
        <is>
          <t xml:space="preserve">Required optimisation work</t>
        </is>
      </c>
      <c r="B203" s="263" t="inlineStr">
        <is>
          <t xml:space="preserve">Impact</t>
        </is>
      </c>
      <c r="C203" s="263" t="inlineStr">
        <is>
          <t xml:space="preserve">Effort</t>
        </is>
      </c>
      <c r="D203" s="263" t="inlineStr">
        <is>
          <t xml:space="preserve">Waits on</t>
        </is>
      </c>
      <c r="F203" s="264" t="inlineStr">
        <is>
          <t xml:space="preserve">Acceptance criterion</t>
        </is>
      </c>
    </row>
    <row r="204" ht="60" customHeight="1">
      <c r="A204" s="274" t="inlineStr">
        <is>
          <t xml:space="preserve">Define the measured objective and operating domain</t>
        </is>
      </c>
      <c r="B204" s="265" t="inlineStr">
        <is>
          <t xml:space="preserve">HIGH</t>
        </is>
      </c>
      <c r="C204" s="265" t="inlineStr">
        <is>
          <t xml:space="preserve">low</t>
        </is>
      </c>
      <c r="D204" s="270" t="inlineStr">
        <is>
          <t xml:space="preserve">Outcome definition</t>
        </is>
      </c>
      <c r="F204" s="270" t="inlineStr">
        <is>
          <t xml:space="preserve">Optimise measured specific growth rate or volumetric product formation per time; these can have different winners. State the primary metric, phase, operating domain and uncertainty. Do not substitute a DO target or minimum CO₂ use for productivity.</t>
        </is>
      </c>
    </row>
    <row r="205" ht="60" customHeight="1">
      <c r="A205" s="274" t="inlineStr">
        <is>
          <t xml:space="preserve">Joint search of duration and frequency</t>
        </is>
      </c>
      <c r="B205" s="265" t="inlineStr">
        <is>
          <t xml:space="preserve">HIGH</t>
        </is>
      </c>
      <c r="C205" s="265" t="inlineStr">
        <is>
          <t xml:space="preserve">high</t>
        </is>
      </c>
      <c r="D205" s="270" t="inlineStr">
        <is>
          <t xml:space="preserve">Measured response and limits</t>
        </is>
      </c>
      <c r="F205" s="270" t="inlineStr">
        <is>
          <t xml:space="preserve">Search executable pulse durations and intervals jointly within calibrated bounds; use a growth/productivity response fitted to replicated trials. Re-evaluate each rounded pair, rather than keeping a fixed pulse rule. Report best tested or predicted within the searched domain, grid resolution and uncertainty; no global-optimum claim.</t>
        </is>
      </c>
    </row>
    <row r="206" ht="60" customHeight="1">
      <c r="A206" s="274" t="inlineStr">
        <is>
          <t xml:space="preserve">Enforce every biological and operational constraint</t>
        </is>
      </c>
      <c r="B206" s="265" t="inlineStr">
        <is>
          <t xml:space="preserve">HIGH</t>
        </is>
      </c>
      <c r="C206" s="265" t="inlineStr">
        <is>
          <t xml:space="preserve">high</t>
        </is>
      </c>
      <c r="D206" s="270" t="inlineStr">
        <is>
          <t xml:space="preserve">Measured limits</t>
        </is>
      </c>
      <c r="F206" s="270" t="inlineStr">
        <is>
          <t xml:space="preserve">Reject candidates outside pH bounds across the pulse cycle and biomass range, below minimum DO or above peak impairment, below the CO₂ trough, with inadequate H₂ supply, excessive chlorine/peroxide, carryover or insufficient OD-read gap. Apply the validated gas hazard limits in both phases; return NO FEASIBLE SCHEDULE when none pass.</t>
        </is>
      </c>
    </row>
    <row r="207" ht="60" customHeight="1">
      <c r="A207" s="274" t="inlineStr">
        <is>
          <t xml:space="preserve">Couple gas uptake, transfer and growth over time</t>
        </is>
      </c>
      <c r="B207" s="265" t="inlineStr">
        <is>
          <t xml:space="preserve">HIGH</t>
        </is>
      </c>
      <c r="C207" s="265" t="inlineStr">
        <is>
          <t xml:space="preserve">high</t>
        </is>
      </c>
      <c r="D207" s="270" t="inlineStr">
        <is>
          <t xml:space="preserve">Uptake and dynamic traces</t>
        </is>
      </c>
      <c r="F207" s="270" t="inlineStr">
        <is>
          <t xml:space="preserve">Measured H₂ utilisation now enters Biology D128. Fit its dependence on biomass, gas availability, pulse duration and interval; couple O₂/CO₂ uptake, acidification and lag-to-growth transition. Resolve DIC and electrode reference states self-consistently at each candidate; a fixed reference is not valid over an unrestricted search.</t>
        </is>
      </c>
    </row>
    <row r="208" ht="60" customHeight="1">
      <c r="A208" s="274" t="inlineStr">
        <is>
          <t xml:space="preserve">Propagate uncertainty and verify search convergence</t>
        </is>
      </c>
      <c r="B208" s="265" t="inlineStr">
        <is>
          <t xml:space="preserve">HIGH</t>
        </is>
      </c>
      <c r="C208" s="265" t="inlineStr">
        <is>
          <t xml:space="preserve">med</t>
        </is>
      </c>
      <c r="D208" s="270" t="inlineStr">
        <is>
          <t xml:space="preserve">Calibration uncertainties</t>
        </is>
      </c>
      <c r="F208" s="270" t="inlineStr">
        <is>
          <t xml:space="preserve">Propagate joint input and fitted-response uncertainty, including correlations and pulse-volume calibration error. Select a schedule meeting agreed reliability margins; refine duration/interval search until the outcome stabilises. One-at-a-time sensitivity is not a confidence bound or proof of optimality.</t>
        </is>
      </c>
    </row>
    <row r="209" ht="60" customHeight="1">
      <c r="A209" s="274" t="inlineStr">
        <is>
          <t xml:space="preserve">Condition-matched calibration and acceptance gates</t>
        </is>
      </c>
      <c r="B209" s="265" t="inlineStr">
        <is>
          <t xml:space="preserve">HIGH</t>
        </is>
      </c>
      <c r="C209" s="265" t="inlineStr">
        <is>
          <t xml:space="preserve">med</t>
        </is>
      </c>
      <c r="D209" s="270" t="inlineStr">
        <is>
          <t xml:space="preserve">Accepted experiment records</t>
        </is>
      </c>
      <c r="F209" s="270" t="inlineStr">
        <is>
          <t xml:space="preserve">Ensure every measurement feeds an operative parameter for the selected reactor, electrode, organism, medium, temperature, stirring and phase. A Done record alone is insufficient. Fit the low-power current curve before using start-up power; reject out-of-domain extrapolation and stale or mismatched calibrations.</t>
        </is>
      </c>
    </row>
    <row r="210" ht="60" customHeight="1">
      <c r="A210" s="274" t="inlineStr">
        <is>
          <t xml:space="preserve">Independent validation of the recommended schedule</t>
        </is>
      </c>
      <c r="B210" s="265" t="inlineStr">
        <is>
          <t xml:space="preserve">HIGH</t>
        </is>
      </c>
      <c r="C210" s="265" t="inlineStr">
        <is>
          <t xml:space="preserve">high</t>
        </is>
      </c>
      <c r="D210" s="270" t="inlineStr">
        <is>
          <t xml:space="preserve">Held-out trials</t>
        </is>
      </c>
      <c r="F210" s="270" t="inlineStr">
        <is>
          <t xml:space="preserve">Predict the winner before collecting validation data. Compare it with neighbouring duration–interval pairs and the existing schedule in independent replicated runs, with DO/pH/gas limits logged. State repeatability and uncertainty; if winners cannot be distinguished, report a plateau or several equivalent schedules.</t>
        </is>
      </c>
    </row>
    <row r="212">
      <c r="A212" s="263" t="inlineStr">
        <is>
          <t xml:space="preserve">Growth-validation experiments</t>
        </is>
      </c>
      <c r="B212" s="263" t="inlineStr">
        <is>
          <t xml:space="preserve">Impact</t>
        </is>
      </c>
      <c r="C212" s="263" t="inlineStr">
        <is>
          <t xml:space="preserve">Effort</t>
        </is>
      </c>
      <c r="D212" s="263" t="inlineStr">
        <is>
          <t xml:space="preserve">Status</t>
        </is>
      </c>
      <c r="F212" s="264" t="inlineStr">
        <is>
          <t xml:space="preserve">Measurement and acceptance</t>
        </is>
      </c>
    </row>
    <row r="213" ht="60" customHeight="1">
      <c r="A213" s="274" t="inlineStr">
        <is>
          <t xml:space="preserve">Replicated duration × interval response experiment</t>
        </is>
      </c>
      <c r="B213" s="265" t="inlineStr">
        <is>
          <t xml:space="preserve">HIGH</t>
        </is>
      </c>
      <c r="C213" s="265" t="inlineStr">
        <is>
          <t xml:space="preserve">high</t>
        </is>
      </c>
      <c r="D213" s="268" t="inlineStr">
        <is>
          <t xml:space="preserve">Not done</t>
        </is>
      </c>
      <c r="E213" s="295" t="inlineStr">
        <is>
          <t xml:space="preserve">Manual status; record evidence in F.</t>
        </is>
      </c>
      <c r="F213" s="270" t="inlineStr">
        <is>
          <t xml:space="preserve">Randomise executable duration–interval pairs over the calibrated feasible domain; include the existing schedule and matched controls. Measure specific growth rate and, separately, volumetric productivity, with uncertainty; record reactor, strain, medium, temperature, stirring, power, biomass and phase. Do not rank unreplicated observations.</t>
        </is>
      </c>
    </row>
    <row r="214" ht="60" customHeight="1">
      <c r="A214" s="274" t="inlineStr">
        <is>
          <t xml:space="preserve">Cycle-resolved DO, pH, DIC and H₂ at candidate schedules</t>
        </is>
      </c>
      <c r="B214" s="265" t="inlineStr">
        <is>
          <t xml:space="preserve">HIGH</t>
        </is>
      </c>
      <c r="C214" s="265" t="inlineStr">
        <is>
          <t xml:space="preserve">high</t>
        </is>
      </c>
      <c r="D214" s="268" t="inlineStr">
        <is>
          <t xml:space="preserve">Not done</t>
        </is>
      </c>
      <c r="E214" s="295" t="inlineStr">
        <is>
          <t xml:space="preserve">Manual status; record evidence in F.</t>
        </is>
      </c>
      <c r="F214" s="270" t="inlineStr">
        <is>
          <t xml:space="preserve">Measure troughs, peaks and means through lag, growth and the target biomass range. Correct sensor delay, gas sampling and DIC inventory; quantify H₂ lost to venting. This tests the constraint envelope and schedule-dependent uptake, not just one mean value.</t>
        </is>
      </c>
    </row>
    <row r="215" ht="60" customHeight="1">
      <c r="A215" s="274" t="inlineStr">
        <is>
          <t xml:space="preserve">Independent confirmation against neighbouring schedules</t>
        </is>
      </c>
      <c r="B215" s="265" t="inlineStr">
        <is>
          <t xml:space="preserve">HIGH</t>
        </is>
      </c>
      <c r="C215" s="265" t="inlineStr">
        <is>
          <t xml:space="preserve">high</t>
        </is>
      </c>
      <c r="D215" s="268" t="inlineStr">
        <is>
          <t xml:space="preserve">Not done</t>
        </is>
      </c>
      <c r="E215" s="295" t="inlineStr">
        <is>
          <t xml:space="preserve">Manual status; record evidence in F.</t>
        </is>
      </c>
      <c r="F215" s="270" t="inlineStr">
        <is>
          <t xml:space="preserve">After choosing the objective and fitting the response, test the predicted optimum and neighbouring executable pairs using independent replicated runs. Confirm the primary outcome and every constraint; report a best-tested region if the differences are within uncertainty.</t>
        </is>
      </c>
    </row>
  </sheetData>
  <conditionalFormatting sqref="D32">
    <cfRule type="expression" dxfId="48" priority="54">
      <formula>LEFT(D32,11)&lt;&gt;"PROVISIONAL"</formula>
    </cfRule>
    <cfRule type="expression" dxfId="47" priority="55">
      <formula>LEFT(D32,11)="PROVISIONAL"</formula>
    </cfRule>
  </conditionalFormatting>
  <conditionalFormatting sqref="D213:D215">
    <cfRule type="expression" dxfId="48" priority="56">
      <formula>D213="Not done"</formula>
    </cfRule>
    <cfRule type="expression" dxfId="47" priority="57">
      <formula>D213="Approximate"</formula>
    </cfRule>
    <cfRule type="expression" dxfId="46" priority="58">
      <formula>D213="Done"</formula>
    </cfRule>
  </conditionalFormatting>
  <conditionalFormatting sqref="D77 D92 D95 D96 D97 D98 D99 D100 D101 D102 D103 D104 D105 D106 D107 D108 D111 D112 D115 D116 D117 D118 D119 D122 D123 D124 D125 D126 D127 D128">
    <cfRule type="expression" dxfId="48" priority="1" stopIfTrue="1">
      <formula>OR(ISNUMBER(FIND("INCONSISTENT",D77)),ISNUMBER(FIND("OVER",D77)),ISNUMBER(FIND("BELOW",D77)),ISNUMBER(FIND("ABOVE",D77)),ISNUMBER(FIND("EXCEED",D77)),ISNUMBER(FIND("NO CALIB",D77)),ISNUMBER(SEARCH("calibrate this",D77)),ISNUMBER(FIND("RISK",D77)),ISNUMBER(FIND("EXPLOSIVE",D77)),ISNUMBER(FIND("FLAMMAB",D77)),ISNUMBER(FIND("OOR",D77)),ISNUMBER(SEARCH("insufficient",D77)),ISNUMBER(FIND("TIP SPEED",D77)),ISNUMBER(FIND("SHORTFALL",D77)),ISNUMBER(SEARCH("unreachable",D77)),ISNUMBER(FIND("SAGS",D77)),EXACT(LEFT(D77,4),"NO –"),EXACT(D77,"OUT"),EXACT(D77,"LOW"),ISNUMBER(FIND("GAP",D77)),ISNUMBER(FIND("#N/A",D77)))</formula>
    </cfRule>
    <cfRule type="expression" dxfId="47" priority="2" stopIfTrue="1">
      <formula>OR(ISNUMBER(SEARCH("above optimum",D77)),ISNUMBER(SEARCH("watch",D77)),ISNUMBER(SEARCH("NEAREST",D77)),ISNUMBER(SEARCH("unknown",D77)),ISNUMBER(SEARCH("TIGHT",D77)),ISNUMBER(SEARCH("not measured",D77)),ISNUMBER(SEARCH("UNVERIFIED",D77)))</formula>
    </cfRule>
    <cfRule type="expression" dxfId="46" priority="3" stopIfTrue="1">
      <formula>OR(EXACT(D77,"OK"),EXACT(LEFT(D77,2),"OK"),ISNUMBER(SEARCH(" OK",D77)),ISNUMBER(SEARCH("calibrated:",D77)),ISNUMBER(SEARCH("optimum",D77)),ISNUMBER(SEARCH("above min",D77)),ISNUMBER(SEARCH("Static",D77)),ISNUMBER(SEARCH("Dynamic",D77)),ISNUMBER(SEARCH("present",D77)),ISNUMBER(SEARCH("under the",D77)),ISNUMBER(SEARCH("reachable",D77)),EXACT(LEFT(D77,3),"yes"),ISNUMBER(FIND("Below the H₂ LFL",D77)),ISNUMBER(SEARCH("not needed",D77)),ISNUMBER(SEARCH("within the measured",D77)))</formula>
    </cfRule>
  </conditionalFormatting>
  <conditionalFormatting sqref="D27">
    <cfRule type="expression" dxfId="48" priority="4" stopIfTrue="1">
      <formula>OR(D27&lt;cf_pH_red_lo,D27&gt;cf_pH_red_hi)</formula>
    </cfRule>
    <cfRule type="expression" dxfId="47" priority="5" stopIfTrue="1">
      <formula>OR(D27&lt;cf_pH_lo,D27&gt;cf_pH_hi)</formula>
    </cfRule>
    <cfRule type="expression" dxfId="46" priority="6" stopIfTrue="1">
      <formula>ISNUMBER(D27)</formula>
    </cfRule>
  </conditionalFormatting>
  <conditionalFormatting sqref="D28">
    <cfRule type="expression" dxfId="48" priority="7" stopIfTrue="1">
      <formula>OR(D28&lt;cf_pH_red_lo,D28&gt;cf_pH_red_hi)</formula>
    </cfRule>
    <cfRule type="expression" dxfId="47" priority="8" stopIfTrue="1">
      <formula>OR(D28&lt;cf_pH_lo,D28&gt;cf_pH_hi)</formula>
    </cfRule>
    <cfRule type="expression" dxfId="46" priority="9" stopIfTrue="1">
      <formula>ISNUMBER(D28)</formula>
    </cfRule>
  </conditionalFormatting>
  <conditionalFormatting sqref="D30">
    <cfRule type="expression" dxfId="48" priority="10" stopIfTrue="1">
      <formula>D30&gt;cf_Cl_kill</formula>
    </cfRule>
    <cfRule type="expression" dxfId="47" priority="11" stopIfTrue="1">
      <formula>D30&gt;cf_Cl_onset</formula>
    </cfRule>
    <cfRule type="expression" dxfId="46" priority="12" stopIfTrue="1">
      <formula>ISNUMBER(D30)</formula>
    </cfRule>
  </conditionalFormatting>
  <conditionalFormatting sqref="D64:D67">
    <cfRule type="expression" dxfId="48" priority="13" stopIfTrue="1">
      <formula>OR(D64&lt;cf_pH_red_lo,D64&gt;cf_pH_red_hi)</formula>
    </cfRule>
    <cfRule type="expression" dxfId="47" priority="14" stopIfTrue="1">
      <formula>OR(D64&lt;cf_pH_lo,D64&gt;cf_pH_hi)</formula>
    </cfRule>
    <cfRule type="expression" dxfId="46" priority="15" stopIfTrue="1">
      <formula>ISNUMBER(D64)</formula>
    </cfRule>
  </conditionalFormatting>
  <conditionalFormatting sqref="D21">
    <cfRule type="expression" dxfId="48" priority="16" stopIfTrue="1">
      <formula>ISNUMBER(SEARCH("calibrate this",D21))</formula>
    </cfRule>
  </conditionalFormatting>
  <conditionalFormatting sqref="D22">
    <cfRule type="expression" dxfId="48" priority="17" stopIfTrue="1">
      <formula>ISNUMBER(SEARCH("calibrate this",D22))</formula>
    </cfRule>
  </conditionalFormatting>
  <conditionalFormatting sqref="D34">
    <cfRule type="expression" dxfId="48" priority="18" stopIfTrue="1">
      <formula>ISNUMBER(SEARCH("calibrate this",D34))</formula>
    </cfRule>
  </conditionalFormatting>
  <conditionalFormatting sqref="D35">
    <cfRule type="expression" dxfId="48" priority="19" stopIfTrue="1">
      <formula>ISNUMBER(SEARCH("calibrate this",D35))</formula>
    </cfRule>
  </conditionalFormatting>
  <conditionalFormatting sqref="D21">
    <cfRule type="expression" dxfId="47" priority="20" stopIfTrue="1">
      <formula>AND(ISNUMBER($G$21),$G$21&gt;0)</formula>
    </cfRule>
  </conditionalFormatting>
  <conditionalFormatting sqref="D22">
    <cfRule type="expression" dxfId="47" priority="21" stopIfTrue="1">
      <formula>AND(ISNUMBER($G$22),$G$22&gt;0)</formula>
    </cfRule>
  </conditionalFormatting>
  <conditionalFormatting sqref="E24 E60 E128">
    <cfRule type="expression" dxfId="49" priority="22">
      <formula>ISNUMBER(SEARCH("DATA GAP",res_su_power_basis))</formula>
    </cfRule>
  </conditionalFormatting>
  <conditionalFormatting sqref="D131:D157">
    <cfRule type="expression" dxfId="46" priority="23" stopIfTrue="1">
      <formula>OR(D131="Done",D131="Not needed")</formula>
    </cfRule>
    <cfRule type="expression" dxfId="47" priority="24" stopIfTrue="1">
      <formula>D131="Approximate"</formula>
    </cfRule>
    <cfRule type="expression" dxfId="48" priority="25" stopIfTrue="1">
      <formula>D131="Not done"</formula>
    </cfRule>
  </conditionalFormatting>
  <conditionalFormatting sqref="B131:B157 B160:B161 B204:B210 B213:B215">
    <cfRule type="expression" dxfId="46" priority="26" stopIfTrue="1">
      <formula>EXACT(B131,"HIGH")</formula>
    </cfRule>
    <cfRule type="expression" dxfId="47" priority="27" stopIfTrue="1">
      <formula>EXACT(B131,"MED")</formula>
    </cfRule>
    <cfRule type="expression" dxfId="48" priority="28" stopIfTrue="1">
      <formula>EXACT(B131,"LOW")</formula>
    </cfRule>
  </conditionalFormatting>
  <conditionalFormatting sqref="C131:C157 C160:C161 C204:C210 C213:C215">
    <cfRule type="expression" dxfId="46" priority="29" stopIfTrue="1">
      <formula>EXACT(C131,"low")</formula>
    </cfRule>
    <cfRule type="expression" dxfId="47" priority="30" stopIfTrue="1">
      <formula>EXACT(C131,"med")</formula>
    </cfRule>
    <cfRule type="expression" dxfId="48" priority="31" stopIfTrue="1">
      <formula>EXACT(C131,"high")</formula>
    </cfRule>
  </conditionalFormatting>
  <conditionalFormatting sqref="D2">
    <cfRule type="expression" dxfId="48" priority="32" stopIfTrue="1">
      <formula>OR(D2="",ISNA(MATCH(D2,ReactorList,0)))</formula>
    </cfRule>
  </conditionalFormatting>
  <conditionalFormatting sqref="D3">
    <cfRule type="expression" dxfId="48" priority="33" stopIfTrue="1">
      <formula>OR(D3="",ISNA(MATCH(D3,ElectrodeList,0)))</formula>
    </cfRule>
  </conditionalFormatting>
  <conditionalFormatting sqref="D4">
    <cfRule type="expression" dxfId="48" priority="34" stopIfTrue="1">
      <formula>OR(D4="",ISNA(MATCH(D4,OrganismList,0)))</formula>
    </cfRule>
  </conditionalFormatting>
  <conditionalFormatting sqref="D5">
    <cfRule type="expression" dxfId="48" priority="35" stopIfTrue="1">
      <formula>OR(D5="",ISNA(MATCH(D5,MediaList,0)))</formula>
    </cfRule>
  </conditionalFormatting>
  <conditionalFormatting sqref="D6">
    <cfRule type="expression" dxfId="48" priority="36" stopIfTrue="1">
      <formula>OR(NOT(ISNUMBER(D6)),D6&lt;cf_power_lo,D6&gt;cf_power_hi,ISNUMBER(SEARCH("EXCEED",chk_j)))</formula>
    </cfRule>
    <cfRule type="expression" dxfId="47" priority="37" stopIfTrue="1">
      <formula>ISNUMBER(SEARCH("watch",chk_j))</formula>
    </cfRule>
  </conditionalFormatting>
  <conditionalFormatting sqref="D7">
    <cfRule type="expression" dxfId="48" priority="38" stopIfTrue="1">
      <formula>OR(NOT(ISNUMBER(D7)),D7&lt;cf_rpm_lo,D7&gt;cf_rpm_hi)</formula>
    </cfRule>
  </conditionalFormatting>
  <conditionalFormatting sqref="D8">
    <cfRule type="expression" dxfId="48" priority="39" stopIfTrue="1">
      <formula>OR(NOT(ISNUMBER(D8)),D8&lt;cf_T_lo,D8&gt;cf_T_hi)</formula>
    </cfRule>
  </conditionalFormatting>
  <conditionalFormatting sqref="D9">
    <cfRule type="expression" dxfId="48" priority="40" stopIfTrue="1">
      <formula>AND(D9&lt;&gt;"",OR(NOT(ISNUMBER(D9)),D9&lt;=0,D9&gt;cf_Vmax))</formula>
    </cfRule>
  </conditionalFormatting>
  <conditionalFormatting sqref="D10">
    <cfRule type="expression" dxfId="48" priority="41" stopIfTrue="1">
      <formula>AND(D10&lt;&gt;"",OR(NOT(ISNUMBER(D10)),D10&lt;cf_Patm_lo,D10&gt;cf_Patm_hi))</formula>
    </cfRule>
  </conditionalFormatting>
  <conditionalFormatting sqref="D11">
    <cfRule type="expression" dxfId="48" priority="42" stopIfTrue="1">
      <formula>NOT(OR(D11="Outflow only",D11="Open vent",D11="Air exchange"))</formula>
    </cfRule>
  </conditionalFormatting>
  <conditionalFormatting sqref="D12">
    <cfRule type="expression" dxfId="48" priority="43" stopIfTrue="1">
      <formula>NOT(OR(D12="Growth",D12="Lag"))</formula>
    </cfRule>
  </conditionalFormatting>
  <conditionalFormatting sqref="D13">
    <cfRule type="expression" dxfId="48" priority="44" stopIfTrue="1">
      <formula>AND(D13&lt;&gt;"",OR(NOT(ISNUMBER(D13)),D13&lt;0,D13&gt;cf_NaHCO3_hi))</formula>
    </cfRule>
    <cfRule type="expression" dxfId="47" priority="45" stopIfTrue="1">
      <formula>cf_alk_run&gt;0</formula>
    </cfRule>
  </conditionalFormatting>
  <conditionalFormatting sqref="D14">
    <cfRule type="expression" dxfId="48" priority="46" stopIfTrue="1">
      <formula>AND(D14&lt;&gt;"",OR(NOT(ISNUMBER(D14)),D14&lt;0,D14&gt;cf_N2_hi))</formula>
    </cfRule>
    <cfRule type="expression" dxfId="47" priority="47" stopIfTrue="1">
      <formula>AND(ISNUMBER(D14),D14&gt;0)</formula>
    </cfRule>
  </conditionalFormatting>
  <conditionalFormatting sqref="D15">
    <cfRule type="expression" dxfId="48" priority="48" stopIfTrue="1">
      <formula>OR(NOT(ISNUMBER(D15)),D15&lt;cf_res_lo,D15&gt;cf_res_hi)</formula>
    </cfRule>
  </conditionalFormatting>
  <conditionalFormatting sqref="D16">
    <cfRule type="expression" dxfId="48" priority="49" stopIfTrue="1">
      <formula>ISNA(MATCH(D16,NSourceList,0))</formula>
    </cfRule>
    <cfRule type="expression" dxfId="47" priority="50" stopIfTrue="1">
      <formula>LEFT(chk_pH_end,2)&lt;&gt;"OK"</formula>
    </cfRule>
  </conditionalFormatting>
  <conditionalFormatting sqref="D17">
    <cfRule type="expression" dxfId="48" priority="51" stopIfTrue="1">
      <formula>AND(D17&lt;&gt;"",OR(NOT(ISNUMBER(D17)),D17&lt;0))</formula>
    </cfRule>
    <cfRule type="expression" dxfId="47" priority="52" stopIfTrue="1">
      <formula>cf_N_limit&lt;&gt;"OK"</formula>
    </cfRule>
  </conditionalFormatting>
  <conditionalFormatting sqref="D18">
    <cfRule type="expression" dxfId="48" priority="53" stopIfTrue="1">
      <formula>ISNA(MATCH(D18,PulseRuleList,0))</formula>
    </cfRule>
  </conditionalFormatting>
  <dataValidations count="18">
    <dataValidation type="list" allowBlank="1" showInputMessage="1" showErrorMessage="1" errorTitle="Not a listed reactor" error="Pick a reactor from the list (Geometry A59:A80)." sqref="D2" xr:uid="{FA3410B6-8AF6-B249-BE93-FA08A4FF0457}">
      <formula1>ReactorList</formula1>
    </dataValidation>
    <dataValidation type="list" allowBlank="1" showInputMessage="1" showErrorMessage="1" errorTitle="Not a listed electrode" error="Pick an electrode from the list (Electrochemistry A35:A38)." sqref="D3" xr:uid="{855685B5-55D4-4D4A-A812-983FE798F572}">
      <formula1>ElectrodeList</formula1>
    </dataValidation>
    <dataValidation type="list" allowBlank="1" showInputMessage="1" showErrorMessage="1" errorTitle="Not a listed organism" error="Pick an organism from the list (Biology A52:A57)." sqref="D4" xr:uid="{F76212D7-0425-984A-B84E-BC6BE12073FA}">
      <formula1>OrganismList</formula1>
    </dataValidation>
    <dataValidation type="list" allowBlank="1" showInputMessage="1" showErrorMessage="1" errorTitle="Not a listed medium" error="Pick a medium from the list (Chemistry A114:A116)." sqref="D5" xr:uid="{36D65BF8-5061-6F49-9C51-018025593999}">
      <formula1>MediaList</formula1>
    </dataValidation>
    <dataValidation type="whole" allowBlank="1" showErrorMessage="1" errorTitle="Invalid value" error="Stirrer rate 125–2000 rpm." sqref="D7" xr:uid="{F6935098-5A17-1646-A7CF-470D29BF8663}">
      <formula1>cf_rpm_lo</formula1>
      <formula2>cf_rpm_hi</formula2>
    </dataValidation>
    <dataValidation type="decimal" allowBlank="1" showErrorMessage="1" errorTitle="Invalid value" error="Temperature 15–40 °C: the water-property fits are valid in that range." sqref="D8" xr:uid="{3F20AFC9-9C45-E949-A0A3-E6CF27A6ABBF}">
      <formula1>cf_T_lo</formula1>
      <formula2>cf_T_hi</formula2>
    </dataValidation>
    <dataValidation type="decimal" operator="greaterThan" allowBlank="1" showErrorMessage="1" errorTitle="Invalid value" error="Media volume in mL, or leave blank for the recommended working volume." sqref="D9" xr:uid="{6D46DE83-543B-C642-8AEA-A5153A6A4F3C}">
      <formula1>0</formula1>
    </dataValidation>
    <dataValidation type="decimal" allowBlank="1" showErrorMessage="1" errorTitle="Invalid value" error="Ambient pressure in Pa (80000–110000), or leave blank for 101325 Pa." sqref="D10" xr:uid="{A2565110-5FA6-2040-A0D0-CDF77137421F}">
      <formula1>cf_Patm_lo</formula1>
      <formula2>cf_Patm_hi</formula2>
    </dataValidation>
    <dataValidation type="list" allowBlank="1" showErrorMessage="1" errorTitle="Invalid value" error="Choose Growth or Lag." sqref="D12" xr:uid="{86B38C5D-3876-D249-A2D4-60FB5BD3B48B}">
      <formula1>"Growth,Lag"</formula1>
    </dataValidation>
    <dataValidation type="list" allowBlank="1" showErrorMessage="1" errorTitle="Invalid value" error="Choose Outflow only, Open vent or Air exchange." sqref="D11" xr:uid="{04D1B1D1-947D-D148-9799-085ED21DF281}">
      <formula1>"Outflow only,Open vent,Air exchange"</formula1>
    </dataValidation>
    <dataValidation type="decimal" allowBlank="1" showErrorMessage="1" errorTitle="Invalid value" error="Added NaHCO₃ in g/L (0–10), or leave blank for none." sqref="D13" xr:uid="{9428835F-0363-DA46-A1AB-92A148F80BC6}">
      <formula1>0</formula1>
      <formula2>cf_NaHCO3_hi</formula2>
    </dataValidation>
    <dataValidation type="decimal" allowBlank="1" showErrorMessage="1" errorTitle="Invalid value" error="Electrolysis power 3–10 %: Gerrit's Law fit range intersected with the AEP-Plugin clamp; outside it the model returns no schedule." sqref="D6" xr:uid="{4BC4D4E2-6A50-714B-AFAA-3106284B03AA}">
      <formula1>cf_power_lo</formula1>
      <formula2>cf_power_hi</formula2>
    </dataValidation>
    <dataValidation type="decimal" allowBlank="1" showErrorMessage="1" errorTitle="Invalid value" error="N₂ sweep in mL/min (0–20), or leave blank for none." sqref="D14" xr:uid="{56D30697-F32F-4749-B929-1D4627D69EF1}">
      <formula1>0</formula1>
      <formula2>cf_N2_hi</formula2>
    </dataValidation>
    <dataValidation type="decimal" allowBlank="1" showErrorMessage="1" errorTitle="Invalid value" error="Command resolution in seconds (0.001–1)." sqref="D15" xr:uid="{456095A3-8887-F94B-A996-43B3B6EE1BEB}">
      <formula1>cf_res_lo</formula1>
      <formula2>cf_res_hi</formula2>
    </dataValidation>
    <dataValidation type="list" allowBlank="1" showErrorMessage="1" errorTitle="Not a listed nitrogen source" error="Pick Ammonium (recipe), Nitrate (KNO₃) or Urea." sqref="D16">
      <formula1>NSourceList</formula1>
    </dataValidation>
    <dataValidation type="list" allowBlank="1" showErrorMessage="1" errorTitle="Not a listed rule" error="Pick Headspace flush or Shortest reliable pulse." sqref="D18">
      <formula1>PulseRuleList</formula1>
    </dataValidation>
    <dataValidation type="decimal" operator="greaterThanOrEqual" allowBlank="1" showErrorMessage="1" errorTitle="Invalid value" error="Biomass in g/L dry weight (0 or more), or leave blank for the start of the run." sqref="D17">
      <formula1>0</formula1>
    </dataValidation>
    <dataValidation type="list" allowBlank="0" showErrorMessage="1" errorStyle="stop" sqref="D213:D215">
      <formula1>"Not done,Approximate,Done"</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B6739A3E-8708-0F44-A672-F111EACBC242}">
          <x14:formula1>
            <xm:f>Geometry!$A$59:$A$80</xm:f>
          </x14:formula1>
          <xm:sqref>D2</xm:sqref>
        </x14:dataValidation>
        <x14:dataValidation type="list" allowBlank="1" xr:uid="{E75AF4DF-9980-0D4E-9581-1E3839481578}">
          <x14:formula1>
            <xm:f>Electrochemistry!$A$35:$A$38</xm:f>
          </x14:formula1>
          <xm:sqref>D3</xm:sqref>
        </x14:dataValidation>
        <x14:dataValidation type="list" allowBlank="1" xr:uid="{0B36DBF5-C7BA-EA4D-B005-CFBE2C6B19DF}">
          <x14:formula1>
            <xm:f>Biology!$A$52:$A$57</xm:f>
          </x14:formula1>
          <xm:sqref>D4</xm:sqref>
        </x14:dataValidation>
        <x14:dataValidation type="list" allowBlank="1" xr:uid="{F89C58CA-CCCB-6A48-B2DF-B245A06990EE}">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workbookViewId="0">
      <pane xSplit="1" ySplit="2" topLeftCell="B3" activePane="bottomRight" state="frozen"/>
      <selection pane="bottomRight" activeCell="B3" sqref="B3"/>
    </sheetView>
  </sheetViews>
  <sheetFormatPr baseColWidth="10" defaultColWidth="8.83203125" defaultRowHeight="15" x14ac:dyDescent="0.2"/>
  <cols>
    <col min="1" max="1" width="52" customWidth="1"/>
    <col min="2" max="2" width="15" customWidth="1"/>
    <col min="4" max="4" width="18" customWidth="1"/>
    <col min="5" max="5" width="60" customWidth="1"/>
  </cols>
  <sheetData>
    <row r="1" ht="16" customHeight="1" x14ac:dyDescent="0.2">
      <c r="A1" t="s" s="263">
        <v>103</v>
      </c>
      <c r="B1" s="263"/>
      <c r="C1" s="263"/>
      <c r="D1" s="263"/>
      <c r="E1" s="263"/>
      <c r="F1" s="271"/>
      <c r="G1" s="271"/>
      <c r="H1" s="271"/>
      <c r="I1" s="271"/>
    </row>
    <row r="2" x14ac:dyDescent="0.2">
      <c r="A2" t="s" s="263">
        <v>20</v>
      </c>
      <c r="B2" t="s" s="263">
        <v>21</v>
      </c>
      <c r="C2" t="s" s="263">
        <v>22</v>
      </c>
      <c r="D2" t="s" s="263">
        <v>23</v>
      </c>
      <c r="E2" t="s" s="263">
        <v>104</v>
      </c>
      <c r="F2" s="271"/>
      <c r="G2" s="271"/>
      <c r="H2" s="271"/>
      <c r="I2" s="271"/>
    </row>
    <row r="3" x14ac:dyDescent="0.2">
      <c r="A3" s="281"/>
      <c r="B3" s="290"/>
      <c r="C3" s="267"/>
      <c r="D3" s="297"/>
      <c r="E3" s="276"/>
      <c r="F3" s="271"/>
      <c r="G3" s="271"/>
      <c r="H3" s="271"/>
      <c r="I3" s="271"/>
    </row>
    <row r="4" ht="16" customHeight="1" x14ac:dyDescent="0.2">
      <c r="A4" t="s" s="278">
        <v>105</v>
      </c>
      <c r="B4" s="278"/>
      <c r="C4" s="278"/>
      <c r="D4" s="278"/>
      <c r="E4" s="298"/>
      <c r="F4" s="271"/>
      <c r="G4" s="271"/>
      <c r="H4" s="271"/>
      <c r="I4" s="271"/>
    </row>
    <row r="5" x14ac:dyDescent="0.2">
      <c r="A5" t="s" s="265">
        <v>106</v>
      </c>
      <c r="B5" t="s" s="266">
        <v>107</v>
      </c>
      <c r="C5" t="s" s="265">
        <v>108</v>
      </c>
      <c r="D5" s="277" t="str">
        <f>Summary!Reactor_sel</f>
        <v>ed04</v>
      </c>
      <c r="E5" s="299" t="str">
        <f>HYPERLINK("#Summary!D2","→ Summary")</f>
        <v>→ Summary</v>
      </c>
      <c r="F5" s="271"/>
      <c r="G5" s="271"/>
      <c r="H5" s="271"/>
      <c r="I5" s="271"/>
    </row>
    <row r="6" x14ac:dyDescent="0.2">
      <c r="A6" t="s" s="265">
        <v>109</v>
      </c>
      <c r="B6" t="s" s="266">
        <v>51</v>
      </c>
      <c r="C6" t="s" s="265">
        <v>52</v>
      </c>
      <c r="D6" s="277">
        <f>Summary!media_volume</f>
        <v>0.0</v>
      </c>
      <c r="E6" s="299" t="str">
        <f>HYPERLINK("#Summary!D9","→ Summary")</f>
        <v>→ Summary</v>
      </c>
      <c r="F6" s="271"/>
      <c r="G6" s="271"/>
      <c r="H6" s="271"/>
      <c r="I6" s="271"/>
    </row>
    <row r="7" x14ac:dyDescent="0.2">
      <c r="A7" s="281"/>
      <c r="B7" s="290"/>
      <c r="C7" s="267"/>
      <c r="D7" s="300"/>
      <c r="E7" s="276"/>
      <c r="F7" s="271"/>
      <c r="G7" s="271"/>
      <c r="H7" s="271"/>
      <c r="I7" s="271"/>
    </row>
    <row r="8" x14ac:dyDescent="0.2" hidden="1">
      <c r="A8" s="281"/>
      <c r="B8" s="290"/>
      <c r="C8" s="267"/>
      <c r="D8" s="288"/>
      <c r="E8" s="301"/>
      <c r="F8" s="271"/>
      <c r="G8" s="271"/>
      <c r="H8" s="271"/>
      <c r="I8" s="271"/>
    </row>
    <row r="9" x14ac:dyDescent="0.2" hidden="1">
      <c r="A9" s="281"/>
      <c r="B9" s="290"/>
      <c r="C9" s="267"/>
      <c r="D9" s="288"/>
      <c r="E9" s="301"/>
      <c r="F9" s="271"/>
      <c r="G9" s="271"/>
      <c r="H9" s="271"/>
      <c r="I9" s="271"/>
    </row>
    <row r="10" x14ac:dyDescent="0.2" hidden="1">
      <c r="A10" s="281"/>
      <c r="B10" s="290"/>
      <c r="C10" s="267"/>
      <c r="D10" s="302"/>
      <c r="E10" s="301"/>
      <c r="F10" s="271"/>
      <c r="G10" s="271"/>
      <c r="H10" s="271"/>
      <c r="I10" s="271"/>
    </row>
    <row r="11" x14ac:dyDescent="0.2" hidden="1">
      <c r="A11" s="281"/>
      <c r="B11" s="290"/>
      <c r="C11" s="267"/>
      <c r="D11" s="302"/>
      <c r="E11" s="301"/>
      <c r="F11" s="271"/>
      <c r="G11" s="271"/>
      <c r="H11" s="271"/>
      <c r="I11" s="271"/>
    </row>
    <row r="12" x14ac:dyDescent="0.2" hidden="1">
      <c r="A12" s="281"/>
      <c r="B12" s="290"/>
      <c r="C12" s="267"/>
      <c r="D12" s="302"/>
      <c r="E12" s="301"/>
      <c r="F12" s="271"/>
      <c r="G12" s="271"/>
      <c r="H12" s="271"/>
      <c r="I12" s="271"/>
    </row>
    <row r="13" x14ac:dyDescent="0.2" hidden="1">
      <c r="A13" s="281"/>
      <c r="B13" s="290"/>
      <c r="C13" s="267"/>
      <c r="D13" s="302"/>
      <c r="E13" s="301"/>
      <c r="F13" s="271"/>
      <c r="G13" s="271"/>
      <c r="H13" s="271"/>
      <c r="I13" s="271"/>
    </row>
    <row r="14" x14ac:dyDescent="0.2" hidden="1">
      <c r="A14" s="281"/>
      <c r="B14" s="290"/>
      <c r="C14" s="267"/>
      <c r="D14" s="302"/>
      <c r="E14" s="301"/>
      <c r="F14" s="271"/>
      <c r="G14" s="271"/>
      <c r="H14" s="271"/>
      <c r="I14" s="271"/>
    </row>
    <row r="15" x14ac:dyDescent="0.2" hidden="1">
      <c r="A15" s="281"/>
      <c r="B15" s="290"/>
      <c r="C15" s="267"/>
      <c r="D15" s="302"/>
      <c r="E15" s="301"/>
      <c r="F15" s="271"/>
      <c r="G15" s="271"/>
      <c r="H15" s="271"/>
      <c r="I15" s="271"/>
    </row>
    <row r="16" x14ac:dyDescent="0.2" hidden="1">
      <c r="A16" s="281"/>
      <c r="B16" s="290"/>
      <c r="C16" s="267"/>
      <c r="D16" s="302"/>
      <c r="E16" s="301"/>
      <c r="F16" s="271"/>
      <c r="G16" s="271"/>
      <c r="H16" s="271"/>
      <c r="I16" s="271"/>
    </row>
    <row r="17" x14ac:dyDescent="0.2" hidden="1">
      <c r="A17" s="281"/>
      <c r="B17" s="290"/>
      <c r="C17" s="267"/>
      <c r="D17" s="302"/>
      <c r="E17" s="301"/>
      <c r="F17" s="271"/>
      <c r="G17" s="271"/>
      <c r="H17" s="271"/>
      <c r="I17" s="271"/>
    </row>
    <row r="18" x14ac:dyDescent="0.2">
      <c r="A18" t="s" s="265">
        <v>113</v>
      </c>
      <c r="B18" t="s" s="266">
        <v>114</v>
      </c>
      <c r="C18" t="s" s="265">
        <v>112</v>
      </c>
      <c r="D18" s="212">
        <f>VLOOKUP(rx_ver,tbl_rxtype,MATCH("vial OD (mm)",tbl_rxtype_hdr,0),FALSE)</f>
        <v>27.48</v>
      </c>
      <c r="E18" t="s" s="303">
        <v>115</v>
      </c>
      <c r="F18" s="271"/>
      <c r="G18" s="271"/>
      <c r="H18" s="271"/>
      <c r="I18" s="271"/>
    </row>
    <row r="19" x14ac:dyDescent="0.2" ht="27" customHeight="1">
      <c r="A19" t="s" s="265">
        <v>116</v>
      </c>
      <c r="B19" t="s" s="266">
        <v>117</v>
      </c>
      <c r="C19" t="s" s="265">
        <v>112</v>
      </c>
      <c r="D19" s="268">
        <v>1.1000000000000001</v>
      </c>
      <c r="E19" t="s" s="304">
        <v>118</v>
      </c>
      <c r="F19" s="271"/>
      <c r="G19" s="271"/>
      <c r="H19" s="271"/>
      <c r="I19" s="271"/>
    </row>
    <row r="20" x14ac:dyDescent="0.2">
      <c r="A20" t="s" s="265">
        <v>119</v>
      </c>
      <c r="B20" t="s" s="266">
        <v>120</v>
      </c>
      <c r="C20" t="s" s="265">
        <v>112</v>
      </c>
      <c r="D20" s="212">
        <f>vial_OD-2*vial_wall</f>
        <v>25.28</v>
      </c>
      <c r="E20" t="s" s="303">
        <v>121</v>
      </c>
      <c r="F20" s="271"/>
      <c r="G20" s="271"/>
      <c r="H20" s="271"/>
      <c r="I20" s="271"/>
    </row>
    <row r="21" x14ac:dyDescent="0.2">
      <c r="A21" t="s" s="265">
        <v>122</v>
      </c>
      <c r="B21" t="s" s="266">
        <v>123</v>
      </c>
      <c r="C21" t="s" s="265">
        <v>124</v>
      </c>
      <c r="D21" s="196">
        <f>PI()/4*vial_ID^2</f>
        <v>501.93100162698</v>
      </c>
      <c r="E21" t="s" s="303">
        <v>125</v>
      </c>
      <c r="F21" s="271"/>
      <c r="G21" s="271"/>
      <c r="H21" s="271"/>
      <c r="I21" s="271"/>
    </row>
    <row r="22" x14ac:dyDescent="0.2" ht="39.5" customHeight="1">
      <c r="A22" t="s" s="265">
        <v>126</v>
      </c>
      <c r="B22" t="s" s="266">
        <v>127</v>
      </c>
      <c r="C22" t="s" s="265">
        <v>112</v>
      </c>
      <c r="D22" s="262">
        <f>VLOOKUP(rx_ver,tbl_rxtype,MATCH("usable depth (mm)",tbl_rxtype_hdr,0),FALSE)</f>
        <v>55.0</v>
      </c>
      <c r="E22" t="s" s="303">
        <v>2809</v>
      </c>
      <c r="F22" s="271"/>
      <c r="G22" s="271"/>
      <c r="H22" s="271"/>
      <c r="I22" s="271"/>
    </row>
    <row r="23" x14ac:dyDescent="0.2">
      <c r="A23" t="s" s="265">
        <v>129</v>
      </c>
      <c r="B23" t="s" s="266">
        <v>130</v>
      </c>
      <c r="C23" t="s" s="265">
        <v>52</v>
      </c>
      <c r="D23" s="262">
        <f>VLOOKUP(rx_ver,tbl_rxtype,MATCH("max working (mL)",tbl_rxtype_hdr,0),FALSE)</f>
        <v>16.0</v>
      </c>
      <c r="E23" t="s" s="303">
        <v>128</v>
      </c>
      <c r="F23" s="271"/>
      <c r="G23" s="271"/>
      <c r="H23" s="271"/>
      <c r="I23" s="271"/>
    </row>
    <row r="24" x14ac:dyDescent="0.2">
      <c r="A24" t="s" s="265">
        <v>131</v>
      </c>
      <c r="B24" t="s" s="266">
        <v>132</v>
      </c>
      <c r="C24" t="s" s="265">
        <v>52</v>
      </c>
      <c r="D24" s="262">
        <f>IF(ISNUMBER(cal_Vtot),cal_Vtot,VLOOKUP(rx_ver,tbl_rxtype,MATCH("total vial (mL)",tbl_rxtype_hdr,0),FALSE))</f>
        <v>20.0</v>
      </c>
      <c r="E24" t="s" s="303">
        <v>128</v>
      </c>
      <c r="F24" s="271"/>
      <c r="G24" s="271"/>
      <c r="H24" s="271"/>
      <c r="I24" s="271"/>
    </row>
    <row r="25" x14ac:dyDescent="0.2">
      <c r="A25" t="s" s="265">
        <v>133</v>
      </c>
      <c r="B25" t="s" s="266">
        <v>134</v>
      </c>
      <c r="C25" t="s" s="265">
        <v>112</v>
      </c>
      <c r="D25" s="212">
        <f>V_max*1000/A_x</f>
        <v>31.876891341911</v>
      </c>
      <c r="E25" t="s" s="303">
        <v>135</v>
      </c>
      <c r="F25" s="271"/>
      <c r="G25" s="271"/>
      <c r="H25" s="271"/>
      <c r="I25" s="271"/>
    </row>
    <row r="26" x14ac:dyDescent="0.2">
      <c r="A26" t="s" s="265">
        <v>136</v>
      </c>
      <c r="B26" t="s" s="266">
        <v>137</v>
      </c>
      <c r="C26" t="s" s="265">
        <v>112</v>
      </c>
      <c r="D26" s="268">
        <v>6</v>
      </c>
      <c r="E26" t="s" s="305">
        <v>138</v>
      </c>
      <c r="F26" s="271"/>
      <c r="G26" s="271"/>
      <c r="H26" s="271"/>
      <c r="I26" s="271"/>
    </row>
    <row r="27" x14ac:dyDescent="0.2">
      <c r="A27" t="s" s="265">
        <v>139</v>
      </c>
      <c r="B27" t="s" s="266">
        <v>140</v>
      </c>
      <c r="C27" t="s" s="265">
        <v>108</v>
      </c>
      <c r="D27" s="268">
        <v>2</v>
      </c>
      <c r="E27" t="s" s="303">
        <v>141</v>
      </c>
      <c r="F27" s="271"/>
      <c r="G27" s="271"/>
      <c r="H27" s="271"/>
      <c r="I27" s="271"/>
    </row>
    <row r="28" x14ac:dyDescent="0.2" ht="27" customHeight="1">
      <c r="A28" t="s" s="265">
        <v>142</v>
      </c>
      <c r="B28" t="s" s="266">
        <v>143</v>
      </c>
      <c r="C28" t="s" s="265">
        <v>112</v>
      </c>
      <c r="D28" s="268">
        <v>22</v>
      </c>
      <c r="E28" t="s" s="305">
        <v>144</v>
      </c>
      <c r="F28" s="271"/>
      <c r="G28" s="271"/>
      <c r="H28" s="271"/>
      <c r="I28" s="271"/>
    </row>
    <row r="29" x14ac:dyDescent="0.2" ht="27" customHeight="1">
      <c r="A29" t="s" s="265">
        <v>145</v>
      </c>
      <c r="B29" t="s" s="266">
        <v>146</v>
      </c>
      <c r="C29" t="s" s="265">
        <v>112</v>
      </c>
      <c r="D29" s="262">
        <f>D_int-elec_clear</f>
        <v>33.0</v>
      </c>
      <c r="E29" t="s" s="303">
        <v>147</v>
      </c>
      <c r="F29" s="271"/>
      <c r="G29" s="271"/>
      <c r="H29" s="271"/>
      <c r="I29" s="271"/>
    </row>
    <row r="30" x14ac:dyDescent="0.2">
      <c r="A30" t="s" s="265">
        <v>148</v>
      </c>
      <c r="B30" t="s" s="266">
        <v>149</v>
      </c>
      <c r="C30" t="s" s="265">
        <v>112</v>
      </c>
      <c r="D30" s="268">
        <v>3.1749999999999998</v>
      </c>
      <c r="E30" t="s" s="303">
        <v>150</v>
      </c>
      <c r="F30" s="271"/>
      <c r="G30" s="271"/>
      <c r="H30" s="271"/>
      <c r="I30" s="271"/>
    </row>
    <row r="31" x14ac:dyDescent="0.2">
      <c r="A31" t="s" s="265">
        <v>151</v>
      </c>
      <c r="B31" t="s" s="266">
        <v>152</v>
      </c>
      <c r="C31" t="s" s="265">
        <v>112</v>
      </c>
      <c r="D31" s="268">
        <v>1.5874999999999999</v>
      </c>
      <c r="E31" t="s" s="303">
        <v>153</v>
      </c>
      <c r="F31" s="271"/>
      <c r="G31" s="271"/>
      <c r="H31" s="271"/>
      <c r="I31" s="271"/>
    </row>
    <row r="32" x14ac:dyDescent="0.2">
      <c r="A32" t="s" s="265">
        <v>154</v>
      </c>
      <c r="B32" t="s" s="266">
        <v>155</v>
      </c>
      <c r="C32" t="s" s="265">
        <v>112</v>
      </c>
      <c r="D32" s="262">
        <f>elec_clear</f>
        <v>22.0</v>
      </c>
      <c r="E32" t="s" s="305">
        <v>156</v>
      </c>
      <c r="F32" s="271"/>
      <c r="G32" s="271"/>
      <c r="H32" s="271"/>
      <c r="I32" s="271"/>
    </row>
    <row r="33" x14ac:dyDescent="0.2">
      <c r="A33" t="s" s="265">
        <v>157</v>
      </c>
      <c r="B33" t="s" s="266">
        <v>158</v>
      </c>
      <c r="C33" t="s" s="265">
        <v>112</v>
      </c>
      <c r="D33" s="268">
        <v>3.1749999999999998</v>
      </c>
      <c r="E33" t="s" s="303">
        <v>150</v>
      </c>
      <c r="F33" s="271"/>
      <c r="G33" s="271"/>
      <c r="H33" s="271"/>
      <c r="I33" s="271"/>
    </row>
    <row r="34" x14ac:dyDescent="0.2">
      <c r="A34" t="s" s="265">
        <v>159</v>
      </c>
      <c r="B34" t="s" s="266">
        <v>160</v>
      </c>
      <c r="C34" t="s" s="265">
        <v>112</v>
      </c>
      <c r="D34" s="268">
        <v>1.5874999999999999</v>
      </c>
      <c r="E34" t="s" s="303">
        <v>153</v>
      </c>
      <c r="F34" s="271"/>
      <c r="G34" s="271"/>
      <c r="H34" s="271"/>
      <c r="I34" s="271"/>
    </row>
    <row r="35" x14ac:dyDescent="0.2">
      <c r="A35" t="s" s="265">
        <v>161</v>
      </c>
      <c r="B35" t="s" s="266">
        <v>162</v>
      </c>
      <c r="C35" t="s" s="265">
        <v>112</v>
      </c>
      <c r="D35" s="198">
        <f>MAX(0,h_datum-elec_clear)</f>
        <v>9.876891341911</v>
      </c>
      <c r="E35" t="s" s="303">
        <v>163</v>
      </c>
      <c r="F35" s="271"/>
      <c r="G35" s="271"/>
      <c r="H35" s="271"/>
      <c r="I35" s="271"/>
    </row>
    <row r="36" x14ac:dyDescent="0.2">
      <c r="A36" t="s" s="265">
        <v>164</v>
      </c>
      <c r="B36" t="s" s="266">
        <v>165</v>
      </c>
      <c r="C36" t="s" s="265">
        <v>52</v>
      </c>
      <c r="D36" s="199">
        <f>rod_n*(PI()/4*rod_d^2)*elec_sub_L/1000</f>
        <v>0.558525047041</v>
      </c>
      <c r="E36" t="s" s="303">
        <v>166</v>
      </c>
      <c r="F36" s="271"/>
      <c r="G36" s="271"/>
      <c r="H36" s="271"/>
      <c r="I36" s="271"/>
    </row>
    <row r="37" x14ac:dyDescent="0.2">
      <c r="A37" t="s" s="265">
        <v>167</v>
      </c>
      <c r="B37" t="s" s="266">
        <v>168</v>
      </c>
      <c r="C37" t="s" s="265">
        <v>52</v>
      </c>
      <c r="D37" s="210">
        <f>(PI()/4*spg_OD^2)*MAX(0,h_datum-spg_tip_h)/1000</f>
        <v>0.078198354893</v>
      </c>
      <c r="E37" t="s" s="303">
        <v>169</v>
      </c>
      <c r="F37" s="271"/>
      <c r="G37" s="271"/>
      <c r="H37" s="271"/>
      <c r="I37" s="271"/>
    </row>
    <row r="38" x14ac:dyDescent="0.2" ht="27" customHeight="1">
      <c r="A38" t="s" s="265">
        <v>170</v>
      </c>
      <c r="B38" t="s" s="266">
        <v>171</v>
      </c>
      <c r="C38" t="s" s="265">
        <v>112</v>
      </c>
      <c r="D38" s="198">
        <f>(eff_OD+eff_ID)/2</f>
        <v>2.38125</v>
      </c>
      <c r="E38" t="s" s="305">
        <v>172</v>
      </c>
      <c r="F38" s="271"/>
      <c r="G38" s="271"/>
      <c r="H38" s="271"/>
      <c r="I38" s="271"/>
    </row>
    <row r="39" x14ac:dyDescent="0.2">
      <c r="A39" t="s" s="265">
        <v>173</v>
      </c>
      <c r="B39" t="s" s="266">
        <v>174</v>
      </c>
      <c r="C39" t="s" s="265">
        <v>52</v>
      </c>
      <c r="D39" s="210">
        <f>(PI()/4*(eff_OD^2-eff_ID^2))*eff_sub_L/1000</f>
        <v>0.014139810757</v>
      </c>
      <c r="E39" t="s" s="305">
        <v>175</v>
      </c>
      <c r="F39" s="271"/>
      <c r="G39" s="271"/>
      <c r="H39" s="271"/>
      <c r="I39" s="271"/>
    </row>
    <row r="40" x14ac:dyDescent="0.2">
      <c r="A40" t="s" s="265">
        <v>176</v>
      </c>
      <c r="B40" t="s" s="266">
        <v>177</v>
      </c>
      <c r="C40" t="s" s="265">
        <v>52</v>
      </c>
      <c r="D40" s="199">
        <f>elec_disp+spg_disp+eff_disp</f>
        <v>0.650863212691</v>
      </c>
      <c r="E40" t="s" s="303">
        <v>178</v>
      </c>
      <c r="F40" s="271"/>
      <c r="G40" s="271"/>
      <c r="H40" s="271"/>
      <c r="I40" s="271"/>
    </row>
    <row r="41" x14ac:dyDescent="0.2">
      <c r="A41" t="s" s="265">
        <v>179</v>
      </c>
      <c r="B41" t="s" s="266">
        <v>180</v>
      </c>
      <c r="C41" t="s" s="265">
        <v>52</v>
      </c>
      <c r="D41" s="200">
        <f>IF(media_volume&gt;0,media_volume,ROUND(V_max-disp_tot,0))</f>
        <v>15.0</v>
      </c>
      <c r="E41" t="s" s="303">
        <v>181</v>
      </c>
      <c r="F41" s="271"/>
      <c r="G41" s="271"/>
      <c r="H41" s="271"/>
      <c r="I41" s="271"/>
    </row>
    <row r="42" x14ac:dyDescent="0.2" ht="27" customHeight="1">
      <c r="A42" t="s" s="265">
        <v>182</v>
      </c>
      <c r="B42" t="s" s="266">
        <v>183</v>
      </c>
      <c r="C42" t="s" s="265">
        <v>112</v>
      </c>
      <c r="D42" s="212">
        <f>(V_charge+disp_tot)*1000/A_x</f>
        <v>31.18130412738</v>
      </c>
      <c r="E42" t="s" s="303">
        <v>184</v>
      </c>
      <c r="F42" s="271"/>
      <c r="G42" s="271"/>
      <c r="H42" s="271"/>
      <c r="I42" s="271"/>
    </row>
    <row r="43" x14ac:dyDescent="0.2">
      <c r="A43" t="s" s="265">
        <v>185</v>
      </c>
      <c r="B43" t="s" s="266">
        <v>186</v>
      </c>
      <c r="C43" t="s" s="265">
        <v>112</v>
      </c>
      <c r="D43" s="198">
        <f>MAX(0,h_actual-spg_tip_h)</f>
        <v>9.18130412738</v>
      </c>
      <c r="E43" t="s" s="303">
        <v>187</v>
      </c>
      <c r="F43" s="271"/>
      <c r="G43" s="271"/>
      <c r="H43" s="271"/>
      <c r="I43" s="271"/>
    </row>
    <row r="44" x14ac:dyDescent="0.2">
      <c r="A44" t="s" s="265">
        <v>188</v>
      </c>
      <c r="B44" t="s" s="266">
        <v>189</v>
      </c>
      <c r="C44" t="s" s="265">
        <v>124</v>
      </c>
      <c r="D44" s="196">
        <f>A_x-(rod_n*(PI()/4*rod_d^2)+(PI()/4*spg_OD^2)+(PI()/4*eff_OD^2))</f>
        <v>429.547725140567</v>
      </c>
      <c r="E44" t="s" s="305">
        <v>190</v>
      </c>
      <c r="F44" s="271"/>
      <c r="G44" s="271"/>
      <c r="H44" s="271"/>
      <c r="I44" s="271"/>
    </row>
    <row r="45" x14ac:dyDescent="0.2">
      <c r="A45" t="s" s="265">
        <v>191</v>
      </c>
      <c r="B45" t="s" s="266">
        <v>192</v>
      </c>
      <c r="C45" t="s" s="265">
        <v>112</v>
      </c>
      <c r="D45" s="198">
        <f>eff_OD</f>
        <v>3.175</v>
      </c>
      <c r="E45" t="s" s="305">
        <v>193</v>
      </c>
      <c r="F45" s="271"/>
      <c r="G45" s="271"/>
      <c r="H45" s="271"/>
      <c r="I45" s="271"/>
    </row>
    <row r="46" x14ac:dyDescent="0.2">
      <c r="A46" t="s" s="265">
        <v>194</v>
      </c>
      <c r="B46" t="s" s="266">
        <v>195</v>
      </c>
      <c r="C46" t="s" s="265">
        <v>108</v>
      </c>
      <c r="D46" s="268">
        <v>3</v>
      </c>
      <c r="E46" t="s" s="305">
        <v>196</v>
      </c>
      <c r="F46" s="271"/>
      <c r="G46" s="271"/>
      <c r="H46" s="271"/>
      <c r="I46" s="271"/>
    </row>
    <row r="47" x14ac:dyDescent="0.2">
      <c r="A47" t="s" s="265">
        <v>197</v>
      </c>
      <c r="B47" t="s" s="266">
        <v>198</v>
      </c>
      <c r="C47" t="s" s="265">
        <v>112</v>
      </c>
      <c r="D47" s="268">
        <v>5</v>
      </c>
      <c r="E47" t="s" s="304">
        <v>199</v>
      </c>
      <c r="F47" s="271"/>
      <c r="G47" s="271"/>
      <c r="H47" s="271"/>
      <c r="I47" s="271"/>
    </row>
    <row r="48" x14ac:dyDescent="0.2" ht="27" customHeight="1">
      <c r="A48" t="s" s="265">
        <v>200</v>
      </c>
      <c r="B48" t="s" s="266">
        <v>201</v>
      </c>
      <c r="C48" t="s" s="265">
        <v>52</v>
      </c>
      <c r="D48" s="198">
        <f>(rod_n*(PI()/4*rod_d^2)*elec_ins+(PI()/4*spg_OD^2)*spg_len+(PI()/4*(eff_OD^2-eff_ID^2))*(D_int-h_actual)+xtube_n*(PI()/4*xtube_OD^2)*xtube_pro)/1000</f>
        <v>2.387571544083</v>
      </c>
      <c r="E48" t="s" s="305">
        <v>202</v>
      </c>
      <c r="F48" s="271"/>
      <c r="G48" s="271"/>
      <c r="H48" s="271"/>
      <c r="I48" s="271"/>
    </row>
    <row r="49" x14ac:dyDescent="0.2" ht="52" customHeight="1">
      <c r="A49" t="s" s="265">
        <v>203</v>
      </c>
      <c r="B49" t="s" s="266">
        <v>204</v>
      </c>
      <c r="C49" t="s" s="265">
        <v>52</v>
      </c>
      <c r="D49" s="198">
        <f>IF(AND(ISNUMBER(cal_hs),ISNUMBER(cal_hs_fill)),cal_hs-(V_charge-cal_hs_fill),V_vial_total-V_charge-V_inserts)</f>
        <v>2.612428455917</v>
      </c>
      <c r="E49" t="s" s="305">
        <v>1786</v>
      </c>
      <c r="F49" s="271"/>
      <c r="G49" s="271"/>
      <c r="H49" s="271"/>
      <c r="I49" s="271"/>
    </row>
    <row r="50" x14ac:dyDescent="0.2">
      <c r="A50" t="s" s="265">
        <v>205</v>
      </c>
      <c r="B50" t="s" s="266">
        <v>206</v>
      </c>
      <c r="C50" t="s" s="265">
        <v>112</v>
      </c>
      <c r="D50" s="262">
        <f>D_int-spg_tip_h</f>
        <v>33.0</v>
      </c>
      <c r="E50" t="s" s="303">
        <v>207</v>
      </c>
      <c r="F50" s="271"/>
      <c r="G50" s="271"/>
      <c r="H50" s="271"/>
      <c r="I50" s="271"/>
    </row>
    <row r="51" x14ac:dyDescent="0.2" ht="27" customHeight="1">
      <c r="A51" t="s" s="265">
        <v>208</v>
      </c>
      <c r="B51" t="s" s="266">
        <v>209</v>
      </c>
      <c r="C51" s="265"/>
      <c r="D51" s="277" t="str">
        <f>VLOOKUP(reactor_sel,tbl_reactor,MATCH("Type",tbl_reactor_hdr,0),FALSE)</f>
        <v>MEP0.3</v>
      </c>
      <c r="E51" t="s" s="303">
        <v>2810</v>
      </c>
      <c r="F51" s="271"/>
      <c r="G51" s="271"/>
      <c r="H51" s="271"/>
      <c r="I51" s="271"/>
    </row>
    <row r="52" x14ac:dyDescent="0.2" ht="27" customHeight="1">
      <c r="A52" t="s" s="265">
        <v>210</v>
      </c>
      <c r="B52" t="s" s="266">
        <v>211</v>
      </c>
      <c r="C52" s="265"/>
      <c r="D52" s="277">
        <f>VLOOKUP(rx_ver,tbl_rxtype,MATCH("stir bar L (mm)",tbl_rxtype_hdr,0),FALSE)</f>
        <v>12.0</v>
      </c>
      <c r="E52" t="s" s="303">
        <v>2811</v>
      </c>
      <c r="F52" s="271"/>
      <c r="G52" s="271"/>
      <c r="H52" s="271"/>
      <c r="I52" s="271"/>
    </row>
    <row r="53" x14ac:dyDescent="0.2">
      <c r="A53" t="s" s="269">
        <v>212</v>
      </c>
      <c r="B53" s="271"/>
      <c r="C53" s="271"/>
      <c r="D53" s="271"/>
      <c r="E53" s="271"/>
      <c r="F53" s="271"/>
      <c r="G53" s="271"/>
      <c r="H53" s="271"/>
      <c r="I53" s="271"/>
    </row>
    <row r="54" x14ac:dyDescent="0.2">
      <c r="A54" t="s" s="265">
        <v>213</v>
      </c>
      <c r="B54" t="s" s="266">
        <v>214</v>
      </c>
      <c r="C54" s="265"/>
      <c r="D54" s="277" t="str">
        <f>IF(V_charge&gt;V_max,"MEDIA &gt; MAX WORKING VOLUME","OK")</f>
        <v>OK</v>
      </c>
      <c r="E54" t="s" s="306">
        <v>2812</v>
      </c>
      <c r="F54" s="271"/>
      <c r="G54" s="271"/>
      <c r="H54" s="271"/>
      <c r="I54" s="271"/>
    </row>
    <row r="55" x14ac:dyDescent="0.2">
      <c r="A55" t="s" s="265">
        <v>215</v>
      </c>
      <c r="B55" t="s" s="266">
        <v>216</v>
      </c>
      <c r="C55" s="265"/>
      <c r="D55" s="277" t="str">
        <f>IF(h_actual&gt;D_int,"LIQUID OVER USABLE DEPTH","OK")</f>
        <v>OK</v>
      </c>
      <c r="E55" t="s" s="306">
        <v>2813</v>
      </c>
      <c r="F55" s="271"/>
      <c r="G55" s="271"/>
      <c r="H55" s="271"/>
      <c r="I55" s="271"/>
    </row>
    <row r="56" x14ac:dyDescent="0.2">
      <c r="A56" s="271"/>
      <c r="B56" s="271"/>
      <c r="C56" s="271"/>
      <c r="D56" s="271"/>
      <c r="E56" s="271"/>
      <c r="F56" s="271"/>
      <c r="G56" s="271"/>
      <c r="H56" s="271"/>
      <c r="I56" s="271"/>
    </row>
    <row r="57" x14ac:dyDescent="0.2">
      <c r="A57" s="278" t="inlineStr">
        <is>
          <t xml:space="preserve">REACTOR AND REACTOR-TYPE LOOKUPS are Tables on the Reactors sheet</t>
        </is>
      </c>
      <c r="B57" s="278"/>
      <c r="C57" s="278"/>
      <c r="D57" s="278"/>
      <c r="E57" s="278"/>
      <c r="F57" s="271"/>
      <c r="G57" s="271"/>
      <c r="H57" s="271"/>
      <c r="I57" s="271"/>
    </row>
    <row r="58" x14ac:dyDescent="0.2"/>
    <row r="59" x14ac:dyDescent="0.2" hidden="1"/>
    <row r="60" x14ac:dyDescent="0.2" hidden="1"/>
    <row r="61" x14ac:dyDescent="0.2" hidden="1"/>
    <row r="62" x14ac:dyDescent="0.2" hidden="1"/>
    <row r="63" x14ac:dyDescent="0.2" hidden="1"/>
    <row r="64" x14ac:dyDescent="0.2" hidden="1"/>
    <row r="65" x14ac:dyDescent="0.2" hidden="1"/>
    <row r="66" x14ac:dyDescent="0.2" hidden="1"/>
    <row r="67" x14ac:dyDescent="0.2" hidden="1"/>
    <row r="68" x14ac:dyDescent="0.2" hidden="1"/>
    <row r="69" x14ac:dyDescent="0.2" hidden="1"/>
    <row r="70" x14ac:dyDescent="0.2" hidden="1"/>
    <row r="71" x14ac:dyDescent="0.2" hidden="1"/>
    <row r="72" x14ac:dyDescent="0.2" hidden="1"/>
    <row r="73" x14ac:dyDescent="0.2" hidden="1"/>
    <row r="74" x14ac:dyDescent="0.2" hidden="1"/>
    <row r="75" x14ac:dyDescent="0.2" hidden="1"/>
    <row r="76" x14ac:dyDescent="0.2" hidden="1"/>
    <row r="77" x14ac:dyDescent="0.2" hidden="1"/>
    <row r="78" x14ac:dyDescent="0.2" hidden="1"/>
    <row r="79" x14ac:dyDescent="0.2" hidden="1"/>
    <row r="80" x14ac:dyDescent="0.2" hidden="1"/>
    <row r="81" x14ac:dyDescent="0.2" hidden="1"/>
    <row r="82" x14ac:dyDescent="0.2" hidden="1"/>
    <row r="83" x14ac:dyDescent="0.2" hidden="1"/>
    <row r="84" x14ac:dyDescent="0.2" hidden="1"/>
    <row r="85" x14ac:dyDescent="0.2" hidden="1"/>
    <row r="86" x14ac:dyDescent="0.2" hidden="1"/>
    <row r="87" x14ac:dyDescent="0.2" hidden="1"/>
    <row r="88" x14ac:dyDescent="0.2" hidden="1">
      <c r="A88" s="271"/>
      <c r="B88" s="271"/>
      <c r="C88" s="271"/>
      <c r="D88" s="271"/>
      <c r="E88" s="271"/>
      <c r="F88" s="271"/>
      <c r="G88" s="271"/>
      <c r="H88" s="271"/>
      <c r="I88" s="271"/>
    </row>
    <row r="89" x14ac:dyDescent="0.2">
      <c r="A89" t="s" s="278">
        <v>253</v>
      </c>
      <c r="B89" s="278"/>
      <c r="C89" s="278"/>
      <c r="D89" s="278"/>
      <c r="E89" s="278"/>
      <c r="F89" s="271"/>
      <c r="G89" s="271"/>
      <c r="H89" s="271"/>
      <c r="I89" s="271"/>
    </row>
    <row r="90" x14ac:dyDescent="0.2" ht="39.5" customHeight="1">
      <c r="A90" t="s" s="265">
        <v>254</v>
      </c>
      <c r="B90" t="s" s="266">
        <v>255</v>
      </c>
      <c r="C90" s="265"/>
      <c r="D90" s="277" t="str">
        <f>IF(ABS(A_x*D_int/1000-V_vial_total)&lt;=geom_tol_mL,"OK",IF(AND(ISNUMBER(cal_hs),ISNUMBER(cal_hs_fill)),"OK – headspace measured (the tapered vial differs from the cylinder, which no longer sets the headspace)","VIAL GEOMETRY INCONSISTENT - measure the true headspace (protocols/vial-geometry.md)"))</f>
        <v>VIAL GEOMETRY INCONSISTENT - measure the true headspace (protocols/vial-geometry.md)</v>
      </c>
      <c r="E90" t="inlineStr" s="303">
        <is>
          <t>Compares the cylinder A_x × D_int with the total vial volume within geom_tol_mL; flags the vial-geometry experiment (Summary row 131) until the true headspace is measured.</t>
        </is>
      </c>
      <c r="F90" t="s" s="269">
        <v>2815</v>
      </c>
      <c r="G90" s="271"/>
      <c r="H90" s="271"/>
      <c r="I90" s="271"/>
    </row>
    <row r="91" x14ac:dyDescent="0.2">
      <c r="A91" t="s" s="278">
        <v>1787</v>
      </c>
      <c r="B91" s="278"/>
      <c r="C91" s="278"/>
      <c r="D91" s="278"/>
      <c r="E91" s="278"/>
    </row>
    <row r="92" x14ac:dyDescent="0.2" ht="52" customHeight="1">
      <c r="A92" t="s" s="265">
        <v>1291</v>
      </c>
      <c r="B92" t="s" s="266">
        <v>1292</v>
      </c>
      <c r="C92" t="s" s="265">
        <v>112</v>
      </c>
      <c r="D92" s="268">
        <v>14</v>
      </c>
      <c r="E92" t="s" s="307">
        <v>1293</v>
      </c>
    </row>
    <row r="93" x14ac:dyDescent="0.2" ht="39.5" customHeight="1">
      <c r="A93" t="s" s="265">
        <v>1294</v>
      </c>
      <c r="B93" t="s" s="266">
        <v>1295</v>
      </c>
      <c r="C93" t="s" s="265">
        <v>112</v>
      </c>
      <c r="D93" s="198">
        <f>MAX(0,h_actual-elec_clear)</f>
        <v>9.18130412738</v>
      </c>
      <c r="E93" t="s" s="303">
        <v>1296</v>
      </c>
    </row>
    <row r="95" x14ac:dyDescent="0.2">
      <c r="A95" t="s" s="278">
        <v>1788</v>
      </c>
      <c r="B95" s="278"/>
      <c r="C95" s="278"/>
      <c r="D95" s="278"/>
      <c r="E95" s="278"/>
    </row>
    <row r="96" x14ac:dyDescent="0.2" ht="27" customHeight="1">
      <c r="A96" t="s" s="265">
        <v>1789</v>
      </c>
      <c r="B96" t="s" s="266">
        <v>1790</v>
      </c>
      <c r="C96" t="s" s="265">
        <v>52</v>
      </c>
      <c r="D96" s="268">
        <v>3</v>
      </c>
      <c r="E96" t="s" s="305">
        <v>1791</v>
      </c>
    </row>
  </sheetData>
  <conditionalFormatting sqref="D19 D26 D28 D30 D31 D33 D34 D47 D92 D96">
    <cfRule type="expression" dxfId="48" priority="1" stopIfTrue="1">
      <formula>OR(ISBLANK(D19),NOT(ISNUMBER(D19)),D19&lt;=0)</formula>
    </cfRule>
  </conditionalFormatting>
  <conditionalFormatting sqref="D27 D46">
    <cfRule type="expression" dxfId="48" priority="2" stopIfTrue="1">
      <formula>OR(ISBLANK(D27),NOT(ISNUMBER(D27)))</formula>
    </cfRule>
  </conditionalFormatting>
  <conditionalFormatting sqref="D54:D55 D90">
    <cfRule type="expression" dxfId="48" priority="3">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46" priority="4">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83"/>
  <sheetViews>
    <sheetView workbookViewId="0">
      <pane xSplit="1" ySplit="2" topLeftCell="B3" activePane="bottomRight" state="frozen"/>
      <selection pane="bottomRight" activeCell="B3" sqref="B3"/>
    </sheetView>
  </sheetViews>
  <sheetFormatPr baseColWidth="10" defaultColWidth="8.83203125" defaultRowHeight="15" x14ac:dyDescent="0.2"/>
  <cols>
    <col min="1" max="1" width="52" customWidth="1"/>
    <col min="2" max="2" width="15" customWidth="1"/>
    <col min="4" max="4" width="18" customWidth="1"/>
    <col min="5" max="5" width="60" customWidth="1"/>
  </cols>
  <sheetData>
    <row r="1" ht="16" customHeight="1" x14ac:dyDescent="0.2">
      <c r="A1" t="s" s="263">
        <v>256</v>
      </c>
      <c r="B1" s="263"/>
      <c r="C1" s="263"/>
      <c r="D1" s="263"/>
      <c r="E1" s="263"/>
      <c r="F1" s="271"/>
      <c r="G1" s="271"/>
      <c r="H1" s="271"/>
      <c r="I1" s="271"/>
    </row>
    <row r="2" x14ac:dyDescent="0.2">
      <c r="A2" t="s" s="263">
        <v>20</v>
      </c>
      <c r="B2" t="s" s="263">
        <v>21</v>
      </c>
      <c r="C2" t="s" s="263">
        <v>22</v>
      </c>
      <c r="D2" t="s" s="263">
        <v>23</v>
      </c>
      <c r="E2" t="s" s="263">
        <v>104</v>
      </c>
      <c r="F2" s="271"/>
      <c r="G2" s="271"/>
      <c r="H2" s="271"/>
      <c r="I2" s="271"/>
    </row>
    <row r="3" x14ac:dyDescent="0.2">
      <c r="A3" s="281"/>
      <c r="B3" s="290"/>
      <c r="C3" s="267"/>
      <c r="D3" s="308"/>
      <c r="E3" s="276"/>
      <c r="F3" s="271"/>
      <c r="G3" s="271"/>
      <c r="H3" s="271"/>
      <c r="I3" s="271"/>
    </row>
    <row r="4" ht="16" customHeight="1" x14ac:dyDescent="0.2">
      <c r="A4" t="s" s="278">
        <v>105</v>
      </c>
      <c r="B4" s="278"/>
      <c r="C4" s="278"/>
      <c r="D4" s="205"/>
      <c r="E4" s="298"/>
      <c r="F4" s="271"/>
      <c r="G4" s="271"/>
      <c r="H4" s="271"/>
      <c r="I4" s="271"/>
    </row>
    <row r="5" x14ac:dyDescent="0.2">
      <c r="A5" t="s" s="265">
        <v>257</v>
      </c>
      <c r="B5" t="s" s="266">
        <v>258</v>
      </c>
      <c r="C5" t="s" s="265">
        <v>259</v>
      </c>
      <c r="D5" s="196">
        <f>Biology!T_K</f>
        <v>303.15</v>
      </c>
      <c r="E5" s="299" t="str">
        <f>HYPERLINK("#Biology!D18","→ Biology")</f>
        <v>→ Biology</v>
      </c>
      <c r="F5" s="271"/>
      <c r="G5" s="271"/>
      <c r="H5" s="271"/>
      <c r="I5" s="271"/>
    </row>
    <row r="6" x14ac:dyDescent="0.2">
      <c r="A6" t="s" s="265">
        <v>260</v>
      </c>
      <c r="B6" t="s" s="266">
        <v>261</v>
      </c>
      <c r="C6" t="s" s="265">
        <v>57</v>
      </c>
      <c r="D6" s="277">
        <f>Biology!P_atm</f>
        <v>101325.0</v>
      </c>
      <c r="E6" s="299" t="str">
        <f>HYPERLINK("#Biology!D19","→ Biology")</f>
        <v>→ Biology</v>
      </c>
      <c r="F6" s="271"/>
      <c r="G6" s="271"/>
      <c r="H6" s="271"/>
      <c r="I6" s="271"/>
    </row>
    <row r="7" x14ac:dyDescent="0.2">
      <c r="A7" t="s" s="265">
        <v>262</v>
      </c>
      <c r="B7" t="s" s="266">
        <v>263</v>
      </c>
      <c r="C7" t="s" s="265">
        <v>264</v>
      </c>
      <c r="D7" s="198">
        <f>'Mass Transfer'!R_gas</f>
        <v>8.314462618</v>
      </c>
      <c r="E7" s="299" t="str">
        <f>HYPERLINK("#'Mass Transfer'!D101","→ Mass Transfer")</f>
        <v>→ Mass Transfer</v>
      </c>
      <c r="F7" s="271"/>
      <c r="G7" s="271"/>
      <c r="H7" s="271"/>
      <c r="I7" s="271"/>
    </row>
    <row r="8" x14ac:dyDescent="0.2">
      <c r="A8" t="s" s="265">
        <v>265</v>
      </c>
      <c r="B8" t="s" s="266">
        <v>30</v>
      </c>
      <c r="C8" s="265"/>
      <c r="D8" s="277" t="str">
        <f>Summary!electrode_sel</f>
        <v>MMO tube</v>
      </c>
      <c r="E8" s="299" t="str">
        <f>HYPERLINK("#Summary!D3","→ Summary")</f>
        <v>→ Summary</v>
      </c>
      <c r="F8" s="271"/>
      <c r="G8" s="271"/>
      <c r="H8" s="271"/>
      <c r="I8" s="271"/>
    </row>
    <row r="9" x14ac:dyDescent="0.2">
      <c r="A9" s="281"/>
      <c r="B9" s="290"/>
      <c r="C9" s="267"/>
      <c r="D9" s="281"/>
      <c r="E9" s="276"/>
      <c r="F9" s="271"/>
      <c r="G9" s="271"/>
      <c r="H9" s="271"/>
      <c r="I9" s="271"/>
    </row>
    <row r="10" x14ac:dyDescent="0.2">
      <c r="A10" t="s" s="265">
        <v>266</v>
      </c>
      <c r="B10" t="s" s="266">
        <v>267</v>
      </c>
      <c r="C10" t="s" s="265">
        <v>40</v>
      </c>
      <c r="D10" s="200">
        <f>Summary!led_intensity</f>
        <v>3.0</v>
      </c>
      <c r="E10" t="s" s="305">
        <v>268</v>
      </c>
      <c r="F10" s="271"/>
      <c r="G10" s="271"/>
      <c r="H10" s="271"/>
      <c r="I10" s="271"/>
    </row>
    <row r="11" ht="36" customHeight="1" x14ac:dyDescent="0.2">
      <c r="A11" t="s" s="265">
        <v>269</v>
      </c>
      <c r="B11" t="s" s="266">
        <v>270</v>
      </c>
      <c r="C11" t="s" s="265">
        <v>271</v>
      </c>
      <c r="D11" s="198">
        <f>IF(ISNUMBER(cal_gerrit_slope),cal_gerrit_slope,gerrit_slope_default)</f>
        <v>1.03</v>
      </c>
      <c r="E11" t="s" s="306">
        <v>272</v>
      </c>
      <c r="F11" s="271"/>
      <c r="G11" s="271"/>
      <c r="H11" s="271"/>
      <c r="I11" s="271"/>
    </row>
    <row r="12" x14ac:dyDescent="0.2">
      <c r="A12" t="s" s="265">
        <v>273</v>
      </c>
      <c r="B12" t="s" s="266">
        <v>274</v>
      </c>
      <c r="C12" t="s" s="265">
        <v>275</v>
      </c>
      <c r="D12" s="198">
        <f>IF(ISNUMBER(cal_gerrit_int),cal_gerrit_int,gerrit_int_default)</f>
        <v>2.6</v>
      </c>
      <c r="E12" t="s" s="306">
        <v>276</v>
      </c>
      <c r="F12" s="271"/>
      <c r="G12" s="271"/>
      <c r="H12" s="271"/>
      <c r="I12" s="271"/>
    </row>
    <row r="13" x14ac:dyDescent="0.2">
      <c r="A13" t="s" s="265">
        <v>277</v>
      </c>
      <c r="B13" t="s" s="266">
        <v>278</v>
      </c>
      <c r="C13" t="s" s="265">
        <v>40</v>
      </c>
      <c r="D13" s="309">
        <v>3</v>
      </c>
      <c r="E13" t="s" s="306">
        <v>279</v>
      </c>
      <c r="F13" s="271"/>
      <c r="G13" s="271"/>
      <c r="H13" s="271"/>
      <c r="I13" s="271"/>
    </row>
    <row r="14" x14ac:dyDescent="0.2" ht="27" customHeight="1">
      <c r="A14" t="s" s="265">
        <v>280</v>
      </c>
      <c r="B14" t="s" s="266">
        <v>281</v>
      </c>
      <c r="C14" t="s" s="265">
        <v>40</v>
      </c>
      <c r="D14" s="309">
        <v>25</v>
      </c>
      <c r="E14" t="s" s="306">
        <v>282</v>
      </c>
      <c r="F14" s="271"/>
      <c r="G14" s="271"/>
      <c r="H14" s="271"/>
      <c r="I14" s="271"/>
    </row>
    <row r="15" x14ac:dyDescent="0.2">
      <c r="A15" t="s" s="265">
        <v>283</v>
      </c>
      <c r="B15" t="s" s="266">
        <v>284</v>
      </c>
      <c r="C15" t="s" s="265">
        <v>285</v>
      </c>
      <c r="D15" s="309">
        <v>96485.332120000006</v>
      </c>
      <c r="E15" t="s" s="303">
        <v>286</v>
      </c>
      <c r="F15" s="271"/>
      <c r="G15" s="271"/>
      <c r="H15" s="271"/>
      <c r="I15" s="271"/>
    </row>
    <row r="16" x14ac:dyDescent="0.2">
      <c r="A16" t="s" s="265">
        <v>287</v>
      </c>
      <c r="B16" t="s" s="266">
        <v>288</v>
      </c>
      <c r="C16" t="s" s="265">
        <v>108</v>
      </c>
      <c r="D16" s="268">
        <v>2</v>
      </c>
      <c r="E16" t="s" s="303">
        <v>289</v>
      </c>
      <c r="F16" s="271"/>
      <c r="G16" s="271"/>
      <c r="H16" s="271"/>
      <c r="I16" s="271"/>
    </row>
    <row r="17" x14ac:dyDescent="0.2">
      <c r="A17" t="s" s="265">
        <v>290</v>
      </c>
      <c r="B17" t="s" s="266">
        <v>291</v>
      </c>
      <c r="C17" t="s" s="265">
        <v>108</v>
      </c>
      <c r="D17" s="268">
        <v>4</v>
      </c>
      <c r="E17" t="s" s="303">
        <v>292</v>
      </c>
      <c r="F17" s="271"/>
      <c r="G17" s="271"/>
      <c r="H17" s="271"/>
      <c r="I17" s="271"/>
    </row>
    <row r="18" x14ac:dyDescent="0.2" ht="64.5" customHeight="1">
      <c r="A18" t="s" s="265">
        <v>293</v>
      </c>
      <c r="B18" t="s" s="266">
        <v>294</v>
      </c>
      <c r="C18" t="s" s="265">
        <v>108</v>
      </c>
      <c r="D18" s="199">
        <f>IF(ISNUMBER(cal_etaF),cal_etaF,etaF_calc)</f>
        <v>0.964044311944</v>
      </c>
      <c r="E18" s="306" t="inlineStr">
        <is>
          <t xml:space="preserve">Cathodic H₂ faradaic efficiency: a measured value from its calibration log if there is one, otherwise CALCULATED (D88, etaF_calc) from the cathodic O₂ reduction competing for the current. Neutral-pH HER on stainless peaks near 97% before that competition is counted, so the calculated value remains an upper bound.</t>
        </is>
      </c>
      <c r="F18" s="271"/>
      <c r="G18" s="271"/>
      <c r="H18" s="271"/>
      <c r="I18" s="271"/>
    </row>
    <row r="19" x14ac:dyDescent="0.2" ht="52" customHeight="1">
      <c r="A19" t="s" s="265">
        <v>295</v>
      </c>
      <c r="B19" t="s" s="266">
        <v>296</v>
      </c>
      <c r="C19" t="s" s="265">
        <v>297</v>
      </c>
      <c r="D19" s="209">
        <f>IF(AND(intensity&gt;=gerrit_min,intensity&lt;=MIN(gerrit_max,power_max)),(gerrit_slope*intensity+gerrit_int)/1000,NA())</f>
        <v>0.00569</v>
      </c>
      <c r="E19" t="s" s="306">
        <v>2816</v>
      </c>
      <c r="F19" s="271"/>
      <c r="G19" s="271"/>
      <c r="H19" s="271"/>
      <c r="I19" s="271"/>
    </row>
    <row r="20" x14ac:dyDescent="0.2" ht="39.5" customHeight="1">
      <c r="A20" t="s" s="265">
        <v>298</v>
      </c>
      <c r="B20" t="s" s="266">
        <v>299</v>
      </c>
      <c r="C20" t="s" s="265">
        <v>108</v>
      </c>
      <c r="D20" s="277" t="str">
        <f>IF(AND(intensity&gt;=gerrit_min,intensity&lt;=MIN(gerrit_max,power_max)),"OK","OUT – no schedule: power outside validated fit/runtime range")</f>
        <v>OK</v>
      </c>
      <c r="E20" t="s" s="306">
        <v>2817</v>
      </c>
      <c r="F20" s="271"/>
      <c r="G20" s="271"/>
      <c r="H20" s="271"/>
      <c r="I20" s="271"/>
    </row>
    <row r="21" x14ac:dyDescent="0.2">
      <c r="A21" t="s" s="265">
        <v>300</v>
      </c>
      <c r="B21" t="s" s="266">
        <v>301</v>
      </c>
      <c r="C21" t="s" s="265">
        <v>302</v>
      </c>
      <c r="D21" s="209">
        <f>I_app*etaF/(z_e_H2*F_const)*3600</f>
        <v>0.0001023341229799</v>
      </c>
      <c r="E21" t="s" s="303">
        <v>303</v>
      </c>
      <c r="F21" s="271"/>
      <c r="G21" s="271"/>
      <c r="H21" s="271"/>
      <c r="I21" s="271"/>
    </row>
    <row r="22" x14ac:dyDescent="0.2" ht="27" customHeight="1">
      <c r="A22" t="s" s="265">
        <v>304</v>
      </c>
      <c r="B22" t="s" s="266">
        <v>305</v>
      </c>
      <c r="C22" t="s" s="265">
        <v>302</v>
      </c>
      <c r="D22" s="209">
        <f>I_app*etaF_OER/(z_e_O2*F_const)*3600</f>
        <v>5.305977013371e-05</v>
      </c>
      <c r="E22" t="s" s="303">
        <v>306</v>
      </c>
      <c r="F22" s="271"/>
      <c r="G22" s="271"/>
      <c r="H22" s="271"/>
      <c r="I22" s="271"/>
    </row>
    <row r="23" x14ac:dyDescent="0.2">
      <c r="A23" t="s" s="265">
        <v>307</v>
      </c>
      <c r="B23" t="s" s="266">
        <v>308</v>
      </c>
      <c r="C23" t="s" s="265">
        <v>309</v>
      </c>
      <c r="D23" s="210">
        <f>rH2_gen/60*R_gas*T_K/P_atm*1000000</f>
        <v>0.04242719956</v>
      </c>
      <c r="E23" t="s" s="303">
        <v>310</v>
      </c>
      <c r="F23" s="271"/>
      <c r="G23" s="271"/>
      <c r="H23" s="271"/>
      <c r="I23" s="271"/>
    </row>
    <row r="24" x14ac:dyDescent="0.2">
      <c r="A24" t="s" s="265">
        <v>311</v>
      </c>
      <c r="B24" t="s" s="266">
        <v>312</v>
      </c>
      <c r="C24" t="s" s="265">
        <v>309</v>
      </c>
      <c r="D24" s="210">
        <f>rO2_gen/60*R_gas*T_K/P_atm*1000000</f>
        <v>0.021998307021</v>
      </c>
      <c r="E24" t="s" s="303">
        <v>313</v>
      </c>
      <c r="F24" s="271"/>
      <c r="G24" s="271"/>
      <c r="H24" s="271"/>
      <c r="I24" s="271"/>
    </row>
    <row r="25" x14ac:dyDescent="0.2" ht="27" customHeight="1">
      <c r="A25" t="s" s="265">
        <v>314</v>
      </c>
      <c r="B25" t="s" s="266">
        <v>315</v>
      </c>
      <c r="C25" t="s" s="265">
        <v>309</v>
      </c>
      <c r="D25" s="210">
        <f>V_H2_gen+V_O2_gen</f>
        <v>0.064425506581</v>
      </c>
      <c r="E25" t="s" s="303">
        <v>316</v>
      </c>
      <c r="F25" s="271"/>
      <c r="G25" s="271"/>
      <c r="H25" s="271"/>
      <c r="I25" s="271"/>
    </row>
    <row r="26" x14ac:dyDescent="0.2" ht="64.5" customHeight="1">
      <c r="A26" t="s" s="265">
        <v>317</v>
      </c>
      <c r="B26" t="s" s="266">
        <v>318</v>
      </c>
      <c r="C26" t="s" s="265">
        <v>108</v>
      </c>
      <c r="D26" s="199">
        <f>IF(ISNUMBER(cal_etaF_OER),cal_etaF_OER,etaF_OER_calc)</f>
        <v>0.999705046585</v>
      </c>
      <c r="E26" s="306" t="inlineStr">
        <is>
          <t xml:space="preserve">Anodic O₂ faradaic efficiency: an accepted per-electrode measurement from its calibration log if there is one, otherwise CALCULATED (D104) as 1 − the chlorine, metal-dissolution, anodic H₂-oxidation and peroxide-oxidation shares. A mixed-gas screen of the undivided cell cannot separate those contributions (protocols/faradaic-efficiency.md).</t>
        </is>
      </c>
      <c r="F26" s="271"/>
      <c r="G26" s="271"/>
      <c r="H26" s="271"/>
      <c r="I26" s="271"/>
    </row>
    <row r="27" x14ac:dyDescent="0.2" ht="39.5" customHeight="1">
      <c r="A27" t="s" s="265">
        <v>1793</v>
      </c>
      <c r="B27" t="s" s="266">
        <v>319</v>
      </c>
      <c r="C27" t="s" s="265">
        <v>108</v>
      </c>
      <c r="D27" s="262">
        <f>VLOOKUP(electrode_sel,tbl_electrode,MATCH("z_e_ORR",tbl_electrode_hdr,0),FALSE)</f>
        <v>2.0</v>
      </c>
      <c r="E27" t="s" s="305">
        <v>1794</v>
      </c>
      <c r="F27" s="271"/>
      <c r="G27" s="271"/>
      <c r="H27" s="271"/>
      <c r="I27" s="271"/>
    </row>
    <row r="28" x14ac:dyDescent="0.2" ht="39.5" customHeight="1">
      <c r="A28" t="s" s="265">
        <v>320</v>
      </c>
      <c r="B28" t="s" s="266">
        <v>321</v>
      </c>
      <c r="C28" t="s" s="265">
        <v>302</v>
      </c>
      <c r="D28" s="209">
        <f>I_app*(1-etaF)/(n_ORR_eff*F_const)*3600</f>
        <v>2.063095590892e-06</v>
      </c>
      <c r="E28" t="s" s="303">
        <v>1795</v>
      </c>
      <c r="F28" s="271"/>
      <c r="G28" s="271"/>
      <c r="H28" s="271"/>
      <c r="I28" s="271"/>
    </row>
    <row r="29" x14ac:dyDescent="0.2" ht="52" customHeight="1">
      <c r="A29" t="s" s="265">
        <v>322</v>
      </c>
      <c r="B29" t="s" s="266">
        <v>323</v>
      </c>
      <c r="C29" t="s" s="265">
        <v>302</v>
      </c>
      <c r="D29" s="209">
        <f>rO2_gen-O2_cathode_ORR+O2_H2O2_ret_g+O2_cat_ret_g</f>
        <v>5.116706148996e-05</v>
      </c>
      <c r="E29" t="s" s="303">
        <v>2819</v>
      </c>
      <c r="F29" s="271"/>
      <c r="G29" s="271"/>
      <c r="H29" s="271"/>
      <c r="I29" s="271"/>
    </row>
    <row r="30" x14ac:dyDescent="0.2">
      <c r="A30" t="s" s="269">
        <v>1796</v>
      </c>
      <c r="B30" s="271"/>
      <c r="C30" s="271"/>
      <c r="D30" s="271"/>
      <c r="E30" s="271"/>
      <c r="F30" s="271"/>
      <c r="G30" s="271"/>
      <c r="H30" s="271"/>
      <c r="I30" s="271"/>
    </row>
    <row r="31" x14ac:dyDescent="0.2" ht="27" customHeight="1">
      <c r="A31" t="s" s="265">
        <v>324</v>
      </c>
      <c r="B31" t="s" s="266">
        <v>325</v>
      </c>
      <c r="C31" s="265"/>
      <c r="D31" s="277" t="str">
        <f>VLOOKUP(electrode_sel,tbl_electrode,MATCH("sparger",tbl_electrode_hdr,0),FALSE)</f>
        <v>Sintered</v>
      </c>
      <c r="E31" t="s" s="306">
        <v>2820</v>
      </c>
      <c r="F31" s="271"/>
      <c r="G31" s="271"/>
      <c r="H31" s="271"/>
      <c r="I31" s="271"/>
    </row>
    <row r="32" x14ac:dyDescent="0.2">
      <c r="A32" t="s" s="265">
        <v>326</v>
      </c>
      <c r="B32" t="s" s="266">
        <v>327</v>
      </c>
      <c r="C32" s="265"/>
      <c r="D32" s="277">
        <f>IF(ISNUMBER(cal_sinter),cal_sinter,IF(ISNUMBER(VLOOKUP(electrode_sel,tbl_electrode,MATCH("sinter porosity",tbl_electrode_hdr,0),FALSE)),VLOOKUP(electrode_sel,tbl_electrode,MATCH("sinter porosity",tbl_electrode_hdr,0),FALSE),0))</f>
        <v>0.0</v>
      </c>
      <c r="E32" t="s" s="310">
        <v>328</v>
      </c>
      <c r="F32" s="271"/>
      <c r="G32" s="271"/>
      <c r="H32" s="311"/>
      <c r="I32" s="271"/>
    </row>
    <row r="33" x14ac:dyDescent="0.2">
      <c r="A33" s="278" t="inlineStr">
        <is>
          <t xml:space="preserve">ELECTRODE LOOKUP is a Table on the Electrodes sheet</t>
        </is>
      </c>
      <c r="B33" s="278"/>
      <c r="C33" s="278"/>
      <c r="D33" s="278"/>
      <c r="E33" s="278"/>
      <c r="F33" s="271"/>
      <c r="G33" s="271"/>
      <c r="H33" s="271"/>
      <c r="I33" s="271"/>
    </row>
    <row r="34" x14ac:dyDescent="0.2"/>
    <row r="35" x14ac:dyDescent="0.2" hidden="1"/>
    <row r="36" x14ac:dyDescent="0.2" hidden="1"/>
    <row r="37" x14ac:dyDescent="0.2" hidden="1"/>
    <row r="38" x14ac:dyDescent="0.2" hidden="1"/>
    <row r="39" x14ac:dyDescent="0.2" hidden="1">
      <c r="A39" s="271"/>
      <c r="B39" s="271"/>
      <c r="C39" s="271"/>
      <c r="D39" s="281"/>
      <c r="E39" s="271"/>
      <c r="F39" s="271"/>
      <c r="G39" s="271"/>
      <c r="H39" s="271"/>
      <c r="I39" s="271"/>
    </row>
    <row r="40" ht="16" x14ac:dyDescent="0.2">
      <c r="A40" t="s" s="278">
        <v>1148</v>
      </c>
      <c r="B40" s="278"/>
      <c r="C40" s="278"/>
      <c r="D40" s="278"/>
      <c r="E40" s="278"/>
    </row>
    <row r="41" x14ac:dyDescent="0.2">
      <c r="A41" t="s" s="265">
        <v>1149</v>
      </c>
      <c r="B41" t="s" s="266">
        <v>1150</v>
      </c>
      <c r="C41" t="s" s="265">
        <v>108</v>
      </c>
      <c r="D41" s="201" t="str">
        <f>VLOOKUP(electrode_sel,tbl_electrode,MATCH("anode shape",tbl_electrode_hdr,0),FALSE)</f>
        <v>tube</v>
      </c>
      <c r="E41" t="s" s="303">
        <v>1151</v>
      </c>
    </row>
    <row r="42" x14ac:dyDescent="0.2">
      <c r="A42" t="s" s="265">
        <v>1152</v>
      </c>
      <c r="B42" t="s" s="266">
        <v>1153</v>
      </c>
      <c r="C42" t="s" s="265">
        <v>112</v>
      </c>
      <c r="D42" s="262">
        <f>VLOOKUP(electrode_sel,tbl_electrode,MATCH("anode dia (mm)",tbl_electrode_hdr,0),FALSE)</f>
        <v>6.0</v>
      </c>
      <c r="E42" t="s" s="303">
        <v>1154</v>
      </c>
    </row>
    <row r="43" x14ac:dyDescent="0.2">
      <c r="A43" t="s" s="265">
        <v>1155</v>
      </c>
      <c r="B43" t="s" s="266">
        <v>1156</v>
      </c>
      <c r="C43" t="s" s="265">
        <v>108</v>
      </c>
      <c r="D43" s="201" t="str">
        <f>VLOOKUP(electrode_sel,tbl_electrode,MATCH("cathode shape",tbl_electrode_hdr,0),FALSE)</f>
        <v>rod</v>
      </c>
      <c r="E43" t="s" s="303">
        <v>1157</v>
      </c>
    </row>
    <row r="44" x14ac:dyDescent="0.2">
      <c r="A44" t="s" s="265">
        <v>1158</v>
      </c>
      <c r="B44" t="s" s="266">
        <v>1159</v>
      </c>
      <c r="C44" t="s" s="265">
        <v>112</v>
      </c>
      <c r="D44" s="262">
        <f>VLOOKUP(electrode_sel,tbl_electrode,MATCH("cathode dia (mm)",tbl_electrode_hdr,0),FALSE)</f>
        <v>6.0</v>
      </c>
      <c r="E44" t="s" s="303">
        <v>1154</v>
      </c>
    </row>
    <row r="45" x14ac:dyDescent="0.2" ht="39.5" customHeight="1">
      <c r="A45" t="s" s="265">
        <v>1160</v>
      </c>
      <c r="B45" t="s" s="266">
        <v>1161</v>
      </c>
      <c r="C45" t="s" s="265">
        <v>112</v>
      </c>
      <c r="D45" s="198">
        <f>Geometry!elec_sub_L_act</f>
        <v>9.18130412738</v>
      </c>
      <c r="E45" t="s" s="303">
        <v>1797</v>
      </c>
    </row>
    <row r="46" x14ac:dyDescent="0.2">
      <c r="A46" t="s" s="265">
        <v>954</v>
      </c>
      <c r="B46" t="s" s="266">
        <v>1162</v>
      </c>
      <c r="C46" t="s" s="265">
        <v>956</v>
      </c>
      <c r="D46" s="198">
        <f>(PI()*anode_dia*L_sub+IF(anode_shape="rod",PI()/4*anode_dia^2,0))/100</f>
        <v>1.730635055817</v>
      </c>
      <c r="E46" t="s" s="303">
        <v>1163</v>
      </c>
    </row>
    <row r="47" x14ac:dyDescent="0.2">
      <c r="A47" t="s" s="265">
        <v>1164</v>
      </c>
      <c r="B47" t="s" s="266">
        <v>1165</v>
      </c>
      <c r="C47" t="s" s="265">
        <v>956</v>
      </c>
      <c r="D47" s="198">
        <f>(PI()*cathode_dia*L_sub+IF(cathode_shape="rod",PI()/4*cathode_dia^2,0))/100</f>
        <v>2.01337839464</v>
      </c>
      <c r="E47" t="s" s="303">
        <v>1166</v>
      </c>
    </row>
    <row r="48" x14ac:dyDescent="0.2">
      <c r="A48" t="s" s="265">
        <v>1122</v>
      </c>
      <c r="B48" t="s" s="266">
        <v>1167</v>
      </c>
      <c r="C48" t="s" s="265">
        <v>1123</v>
      </c>
      <c r="D48" s="198">
        <f>I_app*1000/A_anode_wet</f>
        <v>3.287810437489</v>
      </c>
      <c r="E48" t="s" s="303">
        <v>1168</v>
      </c>
    </row>
    <row r="49" x14ac:dyDescent="0.2">
      <c r="A49" t="s" s="265">
        <v>1169</v>
      </c>
      <c r="B49" t="s" s="266">
        <v>1170</v>
      </c>
      <c r="C49" t="s" s="265">
        <v>1123</v>
      </c>
      <c r="D49" s="198">
        <f>I_app*1000/A_cath_wet</f>
        <v>2.826095688296</v>
      </c>
      <c r="E49" t="s" s="303">
        <v>1171</v>
      </c>
    </row>
    <row r="50" x14ac:dyDescent="0.2">
      <c r="A50" t="s" s="265">
        <v>1172</v>
      </c>
      <c r="B50" t="s" s="266">
        <v>1173</v>
      </c>
      <c r="C50" t="s" s="265">
        <v>1123</v>
      </c>
      <c r="D50" s="262">
        <f>VLOOKUP(electrode_sel,tbl_electrode,MATCH("anode j cont (mA/cm²)",tbl_electrode_hdr,0),FALSE)</f>
        <v>10.0</v>
      </c>
      <c r="E50" t="s" s="303">
        <v>1174</v>
      </c>
    </row>
    <row r="51" x14ac:dyDescent="0.2">
      <c r="A51" t="s" s="265">
        <v>1175</v>
      </c>
      <c r="B51" t="s" s="266">
        <v>1176</v>
      </c>
      <c r="C51" t="s" s="265">
        <v>1123</v>
      </c>
      <c r="D51" s="262">
        <f>VLOOKUP(electrode_sel,tbl_electrode,MATCH("anode j max (mA/cm²)",tbl_electrode_hdr,0),FALSE)</f>
        <v>60.0</v>
      </c>
      <c r="E51" t="s" s="303">
        <v>1177</v>
      </c>
    </row>
    <row r="52" x14ac:dyDescent="0.2">
      <c r="A52" t="s" s="265">
        <v>1178</v>
      </c>
      <c r="B52" t="s" s="266">
        <v>1179</v>
      </c>
      <c r="C52" t="s" s="265">
        <v>1123</v>
      </c>
      <c r="D52" s="268">
        <v>80</v>
      </c>
      <c r="E52" t="s" s="306">
        <v>1180</v>
      </c>
    </row>
    <row r="53" x14ac:dyDescent="0.2">
      <c r="A53" t="s" s="265">
        <v>1181</v>
      </c>
      <c r="B53" t="s" s="266">
        <v>1182</v>
      </c>
      <c r="C53" t="s" s="265">
        <v>1123</v>
      </c>
      <c r="D53" s="268">
        <v>250</v>
      </c>
      <c r="E53" t="s" s="306">
        <v>1183</v>
      </c>
    </row>
    <row r="54" x14ac:dyDescent="0.2">
      <c r="A54" t="s" s="265">
        <v>1184</v>
      </c>
      <c r="B54" t="s" s="266">
        <v>1185</v>
      </c>
      <c r="C54" t="s" s="265">
        <v>1123</v>
      </c>
      <c r="D54" s="268">
        <v>1</v>
      </c>
      <c r="E54" t="s" s="305">
        <v>1186</v>
      </c>
    </row>
    <row r="55" x14ac:dyDescent="0.2">
      <c r="A55" t="s" s="265">
        <v>1187</v>
      </c>
      <c r="B55" t="s" s="266">
        <v>1188</v>
      </c>
      <c r="C55" t="s" s="265">
        <v>1123</v>
      </c>
      <c r="D55" s="268">
        <v>2</v>
      </c>
      <c r="E55" t="s" s="305">
        <v>1189</v>
      </c>
    </row>
    <row r="56" x14ac:dyDescent="0.2">
      <c r="A56" t="s" s="265">
        <v>1190</v>
      </c>
      <c r="B56" t="s" s="266">
        <v>1191</v>
      </c>
      <c r="C56" t="s" s="265">
        <v>1123</v>
      </c>
      <c r="D56" s="262">
        <f>IF(ISNA(MATCH(organism_sel,OrganismList,0)),NA(),IF(ISNUMBER(cal_j_opt),cal_j_opt,IFERROR(VLOOKUP(organism_sel,tbl_strain,MATCH("j optimum (mA/cm²)",tbl_strain_hdr,0),FALSE),j_opt_default)))</f>
        <v>2.0</v>
      </c>
      <c r="E56" t="s" s="303">
        <v>1192</v>
      </c>
    </row>
    <row r="57" x14ac:dyDescent="0.2">
      <c r="A57" t="s" s="265">
        <v>1193</v>
      </c>
      <c r="B57" t="s" s="266">
        <v>1194</v>
      </c>
      <c r="C57" t="s" s="265">
        <v>1123</v>
      </c>
      <c r="D57" s="262">
        <f>IF(ISNA(MATCH(organism_sel,OrganismList,0)),NA(),IF(ISNUMBER(cal_j_ceiling),cal_j_ceiling,IFERROR(VLOOKUP(organism_sel,tbl_strain,MATCH("j ceiling (mA/cm²)",tbl_strain_hdr,0),FALSE),j_ceiling_default)))</f>
        <v>4.0</v>
      </c>
      <c r="E57" t="s" s="303">
        <v>1195</v>
      </c>
    </row>
    <row r="58" x14ac:dyDescent="0.2">
      <c r="A58" t="s" s="265">
        <v>1196</v>
      </c>
      <c r="B58" t="s" s="266">
        <v>1197</v>
      </c>
      <c r="C58" t="s" s="265">
        <v>108</v>
      </c>
      <c r="D58" s="201" t="str">
        <f>IFERROR(VLOOKUP(organism_sel,tbl_strain,MATCH("j confidence",tbl_strain_hdr,0),FALSE),"unknown")</f>
        <v>low</v>
      </c>
      <c r="E58" t="s" s="303">
        <v>1198</v>
      </c>
    </row>
    <row r="59" x14ac:dyDescent="0.2">
      <c r="A59" t="s" s="265">
        <v>1199</v>
      </c>
      <c r="B59" t="s" s="266">
        <v>1200</v>
      </c>
      <c r="C59" t="s" s="265">
        <v>108</v>
      </c>
      <c r="D59" s="201" t="str">
        <f>IF(j_anode&lt;=j_opt_strain,"OK - at/below optimum",IF(j_anode&lt;=j_ceiling_strain,"watch - above optimum","EXCEED - over strain ceiling"))</f>
        <v>watch - above optimum</v>
      </c>
      <c r="E59" t="s" s="303">
        <v>1201</v>
      </c>
    </row>
    <row r="60" x14ac:dyDescent="0.2">
      <c r="A60" t="s" s="265">
        <v>1202</v>
      </c>
      <c r="B60" t="s" s="266">
        <v>1203</v>
      </c>
      <c r="C60" t="s" s="265">
        <v>108</v>
      </c>
      <c r="D60" s="20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t="s" s="303">
        <v>1204</v>
      </c>
    </row>
    <row r="61" x14ac:dyDescent="0.2">
      <c r="A61" t="s" s="265">
        <v>1205</v>
      </c>
      <c r="B61" t="s" s="266">
        <v>1206</v>
      </c>
      <c r="C61" t="s" s="265">
        <v>108</v>
      </c>
      <c r="D61" s="201" t="str">
        <f>IF(j_cathode&lt;=cath_j_cont,"OK - cathode within HER norm",IF(j_cathode&lt;=cath_j_max,"watch - high cathodic j","EXCEED - over SS HER norm"))</f>
        <v>OK - cathode within HER norm</v>
      </c>
      <c r="E61" t="s" s="303">
        <v>1207</v>
      </c>
    </row>
    <row r="62" x14ac:dyDescent="0.2">
      <c r="A62" t="s" s="265">
        <v>1208</v>
      </c>
      <c r="B62" t="s" s="266">
        <v>1209</v>
      </c>
      <c r="C62" t="s" s="265">
        <v>108</v>
      </c>
      <c r="D62" s="20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t="s" s="303">
        <v>1210</v>
      </c>
    </row>
    <row r="63" x14ac:dyDescent="0.2">
      <c r="A63" t="s" s="265">
        <v>1211</v>
      </c>
      <c r="B63" t="s" s="266">
        <v>1212</v>
      </c>
      <c r="C63" t="s" s="265">
        <v>108</v>
      </c>
      <c r="D63" s="201" t="str">
        <f>VLOOKUP(electrode_sel,tbl_electrode,MATCH("anode material",tbl_electrode_hdr,0),FALSE)</f>
        <v>MMO</v>
      </c>
      <c r="E63" t="s" s="303">
        <v>1213</v>
      </c>
    </row>
    <row r="64" ht="16" x14ac:dyDescent="0.2">
      <c r="A64" s="278" t="inlineStr">
        <is>
          <t xml:space="preserve">STRAIN CURRENT-DENSITY TOLERANCE is in the Organisms table (Organisms sheet)</t>
        </is>
      </c>
      <c r="B64" s="278"/>
      <c r="C64" s="278"/>
      <c r="D64" s="278"/>
      <c r="E64" s="278"/>
    </row>
    <row r="65" x14ac:dyDescent="0.2"/>
    <row r="66" x14ac:dyDescent="0.2" hidden="1"/>
    <row r="67" x14ac:dyDescent="0.2" hidden="1"/>
    <row r="68" x14ac:dyDescent="0.2" hidden="1"/>
    <row r="69" x14ac:dyDescent="0.2" hidden="1"/>
    <row r="70" x14ac:dyDescent="0.2" hidden="1"/>
    <row r="71" x14ac:dyDescent="0.2" hidden="1"/>
    <row r="72" ht="16" x14ac:dyDescent="0.2">
      <c r="A72" t="s" s="278">
        <v>1223</v>
      </c>
      <c r="B72" s="278"/>
      <c r="C72" s="278"/>
      <c r="D72" s="278"/>
      <c r="E72" s="278"/>
    </row>
    <row r="73" x14ac:dyDescent="0.2" ht="27" customHeight="1">
      <c r="A73" t="s" s="265">
        <v>1224</v>
      </c>
      <c r="B73" t="s" s="266">
        <v>1225</v>
      </c>
      <c r="C73" t="s" s="265">
        <v>40</v>
      </c>
      <c r="D73" s="268">
        <v>10</v>
      </c>
      <c r="E73" t="s" s="306">
        <v>1226</v>
      </c>
    </row>
    <row r="74" x14ac:dyDescent="0.2">
      <c r="A74" t="s" s="265">
        <v>1129</v>
      </c>
      <c r="B74" t="s" s="266">
        <v>1227</v>
      </c>
      <c r="C74" t="s" s="265">
        <v>275</v>
      </c>
      <c r="D74" s="212">
        <f>gerrit_slope*power_max+gerrit_int</f>
        <v>12.9</v>
      </c>
      <c r="E74" t="s" s="303">
        <v>1228</v>
      </c>
    </row>
    <row r="75" x14ac:dyDescent="0.2">
      <c r="A75" t="s" s="265">
        <v>1131</v>
      </c>
      <c r="B75" t="s" s="266">
        <v>1229</v>
      </c>
      <c r="C75" t="s" s="265">
        <v>1123</v>
      </c>
      <c r="D75" s="198">
        <f>I_max/A_anode_wet</f>
        <v>7.453911185169</v>
      </c>
      <c r="E75" t="s" s="303">
        <v>1132</v>
      </c>
    </row>
    <row r="76" x14ac:dyDescent="0.2">
      <c r="A76" t="s" s="265">
        <v>1230</v>
      </c>
      <c r="B76" t="s" s="266">
        <v>1231</v>
      </c>
      <c r="C76" t="s" s="265">
        <v>108</v>
      </c>
      <c r="D76" s="201" t="str">
        <f>IF(OR(j_anode_max&gt;j_ceiling_strain,j_anode_max&gt;anode_j_max),"EXCEED - max current over a limit",IF(OR(j_anode_max&gt;j_opt_strain,j_anode_max&gt;anode_j_cont),"watch - max current above optimum","OK - max current in range"))</f>
        <v>EXCEED - max current over a limit</v>
      </c>
      <c r="E76" t="s" s="303">
        <v>1232</v>
      </c>
    </row>
    <row r="78" x14ac:dyDescent="0.2">
      <c r="A78" t="s" s="278">
        <v>1798</v>
      </c>
      <c r="B78" s="278"/>
      <c r="C78" s="278"/>
      <c r="D78" s="278"/>
      <c r="E78" s="278"/>
    </row>
    <row r="79" x14ac:dyDescent="0.2">
      <c r="B79" s="290"/>
      <c r="C79" s="267"/>
      <c r="D79" s="281"/>
      <c r="E79" s="276"/>
    </row>
    <row r="80" x14ac:dyDescent="0.2">
      <c r="A80" t="s" s="265">
        <v>1438</v>
      </c>
      <c r="B80" t="s" s="266">
        <v>1439</v>
      </c>
      <c r="C80" t="s" s="265">
        <v>896</v>
      </c>
      <c r="D80" s="199">
        <f>Biology!O2_ceil_C</f>
        <v>0.314742903798</v>
      </c>
      <c r="E80" t="s" s="306">
        <v>1440</v>
      </c>
    </row>
    <row r="81" x14ac:dyDescent="0.2">
      <c r="A81" t="s" s="265">
        <v>1441</v>
      </c>
      <c r="B81" t="s" s="266">
        <v>1442</v>
      </c>
      <c r="C81" t="s" s="265">
        <v>509</v>
      </c>
      <c r="D81" s="209">
        <f>'Mass Transfer'!D_O2</f>
        <v>2.249544435762e-09</v>
      </c>
      <c r="E81" t="s" s="306">
        <v>1443</v>
      </c>
    </row>
    <row r="82" x14ac:dyDescent="0.2">
      <c r="A82" t="s" s="265">
        <v>1799</v>
      </c>
      <c r="B82" t="s" s="266">
        <v>1444</v>
      </c>
      <c r="C82" t="s" s="265">
        <v>762</v>
      </c>
      <c r="D82" s="210">
        <f>V_charge/1000</f>
        <v>0.015</v>
      </c>
      <c r="E82" t="s" s="306">
        <v>1800</v>
      </c>
    </row>
    <row r="83" x14ac:dyDescent="0.2" ht="52" customHeight="1">
      <c r="A83" t="s" s="265">
        <v>1445</v>
      </c>
      <c r="B83" t="s" s="266">
        <v>1446</v>
      </c>
      <c r="C83" t="s" s="265">
        <v>953</v>
      </c>
      <c r="D83" s="209">
        <f>IF(ISNUMBER(cal_km_O2),cal_km_O2,km_O2_default)</f>
        <v>0.004</v>
      </c>
      <c r="E83" s="313" t="inlineStr">
        <is>
          <t xml:space="preserve">The measured value from the Cal km log (electrode mass transfer: ferricyanide limiting current scaled to O₂) when a run for this reactor at the Summary rpm and temperature is included; otherwise the swirl-velocity estimate km_O2_default (D165).</t>
        </is>
      </c>
    </row>
    <row r="84" x14ac:dyDescent="0.2" ht="27" customHeight="1">
      <c r="A84" t="s" s="265">
        <v>1447</v>
      </c>
      <c r="B84" t="s" s="266">
        <v>1448</v>
      </c>
      <c r="C84" t="s" s="265">
        <v>1116</v>
      </c>
      <c r="D84" s="268">
        <v>0.64400000000000002</v>
      </c>
      <c r="E84" t="s" s="303">
        <v>1449</v>
      </c>
    </row>
    <row r="85" x14ac:dyDescent="0.2" ht="77" customHeight="1">
      <c r="A85" t="s" s="265">
        <v>1801</v>
      </c>
      <c r="B85" t="s" s="266">
        <v>1450</v>
      </c>
      <c r="C85" t="s" s="265">
        <v>896</v>
      </c>
      <c r="D85" s="210">
        <f>'Mass Transfer'!DO_target</f>
        <v>0.071159265207</v>
      </c>
      <c r="E85" t="s" s="306">
        <v>1802</v>
      </c>
    </row>
    <row r="86" x14ac:dyDescent="0.2" ht="64.5" customHeight="1">
      <c r="A86" t="s" s="265">
        <v>1451</v>
      </c>
      <c r="B86" t="s" s="266">
        <v>1452</v>
      </c>
      <c r="C86" t="s" s="265">
        <v>959</v>
      </c>
      <c r="D86" s="209">
        <f>n_ORR_eff*F_const*(km_O2/100)*ec_DO_design*(A_cath_wet/10000)</f>
        <v>0.0002045878650403</v>
      </c>
      <c r="E86" t="s" s="306">
        <v>1803</v>
      </c>
    </row>
    <row r="87" x14ac:dyDescent="0.2" ht="27" customHeight="1">
      <c r="A87" t="s" s="265">
        <v>1453</v>
      </c>
      <c r="B87" t="s" s="266">
        <v>1454</v>
      </c>
      <c r="C87" t="s" s="265">
        <v>959</v>
      </c>
      <c r="D87" s="209">
        <f>n_ORR_eff*F_const*(km_O2/100)*ec_O2_ceil*(A_cath_wet/10000)</f>
        <v>0.0009049078646015</v>
      </c>
      <c r="E87" t="s" s="306">
        <v>1455</v>
      </c>
    </row>
    <row r="88" x14ac:dyDescent="0.2" ht="39.5" customHeight="1">
      <c r="A88" t="s" s="265">
        <v>1456</v>
      </c>
      <c r="B88" t="s" s="266">
        <v>1457</v>
      </c>
      <c r="C88" t="s" s="265">
        <v>1116</v>
      </c>
      <c r="D88" s="199">
        <f>MAX(0,1-i_ORR_design/I_app)</f>
        <v>0.964044311944</v>
      </c>
      <c r="E88" t="s" s="306">
        <v>1804</v>
      </c>
    </row>
    <row r="89" x14ac:dyDescent="0.2" ht="27" customHeight="1">
      <c r="A89" t="s" s="265">
        <v>1458</v>
      </c>
      <c r="B89" t="s" s="266">
        <v>1459</v>
      </c>
      <c r="C89" t="s" s="265">
        <v>1116</v>
      </c>
      <c r="D89" s="199">
        <f>MAX(0,1-i_ORR_ceiling/I_app)</f>
        <v>0.840965225905</v>
      </c>
      <c r="E89" t="s" s="306">
        <v>1460</v>
      </c>
    </row>
    <row r="90" x14ac:dyDescent="0.2">
      <c r="A90" t="s" s="278">
        <v>1461</v>
      </c>
      <c r="B90" s="278"/>
      <c r="C90" s="278"/>
      <c r="D90" s="278"/>
      <c r="E90" s="278"/>
    </row>
    <row r="91" x14ac:dyDescent="0.2" ht="77" customHeight="1">
      <c r="A91" t="s" s="265">
        <v>1462</v>
      </c>
      <c r="B91" t="s" s="266">
        <v>1463</v>
      </c>
      <c r="C91" t="s" s="265">
        <v>1116</v>
      </c>
      <c r="D91" s="268">
        <v>0.15</v>
      </c>
      <c r="E91" t="s" s="313">
        <v>1464</v>
      </c>
    </row>
    <row r="92" x14ac:dyDescent="0.2">
      <c r="A92" t="s" s="265">
        <v>1465</v>
      </c>
      <c r="B92" t="s" s="266">
        <v>1466</v>
      </c>
      <c r="C92" t="s" s="265">
        <v>1100</v>
      </c>
      <c r="D92" s="268">
        <v>34.014699999999998</v>
      </c>
      <c r="E92" t="s" s="303">
        <v>1467</v>
      </c>
    </row>
    <row r="93" x14ac:dyDescent="0.2" ht="39.5" customHeight="1">
      <c r="A93" t="s" s="265">
        <v>1468</v>
      </c>
      <c r="B93" t="s" s="266">
        <v>1469</v>
      </c>
      <c r="C93" t="s" s="265">
        <v>1108</v>
      </c>
      <c r="D93" s="199">
        <f>f_HOOH*I_app*(1-etaF)/(n_ORR_eff*F_const)*M_H2O2*1000*3600/ec_V_L</f>
        <v>0.701755775955</v>
      </c>
      <c r="E93" t="s" s="306">
        <v>1805</v>
      </c>
    </row>
    <row r="94" x14ac:dyDescent="0.2" ht="64.5" customHeight="1">
      <c r="A94" t="s" s="265">
        <v>1470</v>
      </c>
      <c r="B94" t="s" s="266">
        <v>1471</v>
      </c>
      <c r="C94" t="s" s="265">
        <v>571</v>
      </c>
      <c r="D94" s="268">
        <v>4.1000000000000003E-3</v>
      </c>
      <c r="E94" t="s" s="313">
        <v>1472</v>
      </c>
    </row>
    <row r="95" x14ac:dyDescent="0.2" ht="39.5" customHeight="1">
      <c r="A95" t="s" s="265">
        <v>1473</v>
      </c>
      <c r="B95" t="s" s="266">
        <v>1474</v>
      </c>
      <c r="C95" t="s" s="265">
        <v>1112</v>
      </c>
      <c r="D95" s="210">
        <f>r_H2O2/((k_cat_cells+k_H2O2_anode)*3600)</f>
        <v>0.042734198267</v>
      </c>
      <c r="E95" t="s" s="306">
        <v>2822</v>
      </c>
    </row>
    <row r="96" x14ac:dyDescent="0.2" ht="39.5" customHeight="1">
      <c r="A96" t="s" s="265">
        <v>1475</v>
      </c>
      <c r="B96" t="s" s="266">
        <v>1476</v>
      </c>
      <c r="C96" t="s" s="265">
        <v>1112</v>
      </c>
      <c r="D96" s="199">
        <f>r_H2O2_lag/(k_H2O2_anode*3600)*(1-EXP(-k_H2O2_anode*3600))</f>
        <v>0.840809324217</v>
      </c>
      <c r="E96" t="s" s="306">
        <v>1806</v>
      </c>
    </row>
    <row r="97" x14ac:dyDescent="0.2" ht="77" customHeight="1">
      <c r="A97" t="s" s="265">
        <v>1477</v>
      </c>
      <c r="B97" t="s" s="266">
        <v>1478</v>
      </c>
      <c r="C97" t="s" s="265">
        <v>1112</v>
      </c>
      <c r="D97" s="268">
        <v>0.17</v>
      </c>
      <c r="E97" t="s" s="306">
        <v>1479</v>
      </c>
    </row>
    <row r="98" x14ac:dyDescent="0.2" ht="39.5" customHeight="1">
      <c r="A98" t="s" s="265">
        <v>1480</v>
      </c>
      <c r="B98" t="s" s="266">
        <v>1481</v>
      </c>
      <c r="C98" t="s" s="265">
        <v>860</v>
      </c>
      <c r="D98" s="198">
        <f>IF(r_H2O2_lag&gt;0,IF(1-H2O2_thresh*k_H2O2_anode*3600/r_H2O2_lag&gt;0,-LN(1-H2O2_thresh*k_H2O2_anode*3600/r_H2O2_lag)/k_H2O2_anode/60,NA()),NA())</f>
        <v>6.460189095256</v>
      </c>
      <c r="E98" t="s" s="306">
        <v>1807</v>
      </c>
    </row>
    <row r="99" x14ac:dyDescent="0.2" ht="39.5" customHeight="1">
      <c r="A99" t="s" s="265">
        <v>1482</v>
      </c>
      <c r="B99" t="s" s="266">
        <v>1483</v>
      </c>
      <c r="C99" t="s" s="265">
        <v>1116</v>
      </c>
      <c r="D99" s="277" t="str">
        <f>IF(H2O2_ss&gt;H2O2_thresh,"PEROXIDE ABOVE THE GROWTH-INHIBITION THRESHOLD even with a full catalase pool ("&amp;TEXT(H2O2_ss,"0.00")&amp;" mg/L)",IF(ISNUMBER(t_H2O2_thresh),"watch — steady growth is clear ("&amp;TEXT(H2O2_ss,"0.000")&amp;" mg/L) but LAG PHASE is not: peroxide passes the threshold in "&amp;TEXT(t_H2O2_thresh,"0")&amp;" min ("&amp;TEXT(H2O2_lag_1h,"0.00")&amp;" mg/L after 1 h) before biomass can scavenge it","OK — peroxide stays below the growth-inhibition threshold in both phases, including the lag plateau"))</f>
        <v>watch — steady growth is clear (0.043 mg/L) but LAG PHASE is not: peroxide passes the threshold in 6 min (0.84 mg/L after 1 h) before biomass can scavenge it</v>
      </c>
      <c r="E99" t="s" s="306">
        <v>2823</v>
      </c>
    </row>
    <row r="100" x14ac:dyDescent="0.2">
      <c r="A100" t="s" s="278">
        <v>1484</v>
      </c>
      <c r="B100" s="278"/>
      <c r="C100" s="278"/>
      <c r="D100" s="278"/>
      <c r="E100" s="278"/>
    </row>
    <row r="101" x14ac:dyDescent="0.2">
      <c r="A101" t="s" s="265">
        <v>1485</v>
      </c>
      <c r="B101" t="s" s="266">
        <v>1486</v>
      </c>
      <c r="C101" t="s" s="265">
        <v>959</v>
      </c>
      <c r="D101" s="277">
        <f>Chemistry!I_Cl</f>
        <v>0.0</v>
      </c>
      <c r="E101" t="s" s="306">
        <v>1487</v>
      </c>
    </row>
    <row r="102" x14ac:dyDescent="0.2">
      <c r="A102" t="s" s="265">
        <v>1488</v>
      </c>
      <c r="B102" t="s" s="266">
        <v>1489</v>
      </c>
      <c r="C102" t="s" s="265">
        <v>1116</v>
      </c>
      <c r="D102" s="277">
        <f>Chemistry!corr_I_frac</f>
        <v>0.0</v>
      </c>
      <c r="E102" t="s" s="307">
        <v>1490</v>
      </c>
    </row>
    <row r="103" x14ac:dyDescent="0.2" ht="52" customHeight="1">
      <c r="A103" t="s" s="265">
        <v>1491</v>
      </c>
      <c r="B103" t="s" s="266">
        <v>1492</v>
      </c>
      <c r="C103" t="s" s="265">
        <v>1116</v>
      </c>
      <c r="D103" s="277">
        <f>ec_I_Cl/I_app</f>
        <v>0.0</v>
      </c>
      <c r="E103" t="s" s="306">
        <v>1808</v>
      </c>
    </row>
    <row r="104" x14ac:dyDescent="0.2" ht="64.5" customHeight="1">
      <c r="A104" t="s" s="265">
        <v>1493</v>
      </c>
      <c r="B104" t="s" s="266">
        <v>1494</v>
      </c>
      <c r="C104" t="s" s="265">
        <v>1116</v>
      </c>
      <c r="D104" s="199">
        <f>MAX(0,1-f_Cl_anode-IF(ISNUMBER(ec_corr_I),ec_corr_I,0)-IF(ISNUMBER(f_HOR_anode),f_HOR_anode,0)-f_H2O2_anode)</f>
        <v>0.999705046585</v>
      </c>
      <c r="E104" t="s" s="306">
        <v>2824</v>
      </c>
    </row>
    <row r="105" x14ac:dyDescent="0.2">
      <c r="A105" t="s" s="278">
        <v>1495</v>
      </c>
      <c r="B105" s="278"/>
      <c r="C105" s="278"/>
      <c r="D105" s="278"/>
      <c r="E105" s="278"/>
    </row>
    <row r="106" x14ac:dyDescent="0.2" ht="27" customHeight="1">
      <c r="A106" t="s" s="265">
        <v>1496</v>
      </c>
      <c r="B106" t="s" s="266">
        <v>1497</v>
      </c>
      <c r="C106" t="s" s="265">
        <v>1412</v>
      </c>
      <c r="D106" s="198">
        <f>Chemistry!E0_OER</f>
        <v>1.229</v>
      </c>
      <c r="E106" t="s" s="303">
        <v>1498</v>
      </c>
    </row>
    <row r="107" x14ac:dyDescent="0.2" ht="64.5" customHeight="1">
      <c r="A107" t="s" s="265">
        <v>1499</v>
      </c>
      <c r="B107" t="s" s="266">
        <v>1500</v>
      </c>
      <c r="C107" t="s" s="265">
        <v>1501</v>
      </c>
      <c r="D107" s="268">
        <v>0.12</v>
      </c>
      <c r="E107" t="s" s="313">
        <v>1502</v>
      </c>
    </row>
    <row r="108" x14ac:dyDescent="0.2" ht="64.5" customHeight="1">
      <c r="A108" t="s" s="265">
        <v>1503</v>
      </c>
      <c r="B108" t="s" s="266">
        <v>1504</v>
      </c>
      <c r="C108" t="s" s="265">
        <v>1505</v>
      </c>
      <c r="D108" s="268">
        <v>1E-10</v>
      </c>
      <c r="E108" t="s" s="304">
        <v>1506</v>
      </c>
    </row>
    <row r="109" x14ac:dyDescent="0.2" ht="39.5" customHeight="1">
      <c r="A109" t="s" s="265">
        <v>1507</v>
      </c>
      <c r="B109" t="s" s="266">
        <v>1508</v>
      </c>
      <c r="C109" t="s" s="265">
        <v>1501</v>
      </c>
      <c r="D109" s="268">
        <v>0.14000000000000001</v>
      </c>
      <c r="E109" t="s" s="306">
        <v>1509</v>
      </c>
    </row>
    <row r="110" x14ac:dyDescent="0.2" ht="39.5" customHeight="1">
      <c r="A110" t="s" s="265">
        <v>1510</v>
      </c>
      <c r="B110" t="s" s="266">
        <v>1511</v>
      </c>
      <c r="C110" t="s" s="265">
        <v>1505</v>
      </c>
      <c r="D110" s="268">
        <v>1.5E-6</v>
      </c>
      <c r="E110" t="s" s="306">
        <v>1512</v>
      </c>
    </row>
    <row r="111" x14ac:dyDescent="0.2">
      <c r="A111" t="s" s="265">
        <v>1513</v>
      </c>
      <c r="B111" t="s" s="266">
        <v>1514</v>
      </c>
      <c r="C111" t="s" s="265">
        <v>1412</v>
      </c>
      <c r="D111" s="199">
        <f>b_anode*LOG10(j_anode/1000/j0_anode)</f>
        <v>0.902028812381</v>
      </c>
      <c r="E111" t="s" s="306">
        <v>1515</v>
      </c>
    </row>
    <row r="112" x14ac:dyDescent="0.2">
      <c r="A112" t="s" s="265">
        <v>1516</v>
      </c>
      <c r="B112" t="s" s="266">
        <v>1517</v>
      </c>
      <c r="C112" t="s" s="265">
        <v>1412</v>
      </c>
      <c r="D112" s="199">
        <f>b_cath*LOG10(j_cathode/1000/j0_cath)</f>
        <v>0.458513384477</v>
      </c>
      <c r="E112" t="s" s="306">
        <v>1518</v>
      </c>
    </row>
    <row r="113" x14ac:dyDescent="0.2" ht="102" customHeight="1">
      <c r="A113" t="s" s="265">
        <v>1519</v>
      </c>
      <c r="B113" t="s" s="266">
        <v>1520</v>
      </c>
      <c r="C113" t="s" s="265">
        <v>1412</v>
      </c>
      <c r="D113" s="268">
        <v>-0.15</v>
      </c>
      <c r="E113" t="s" s="313">
        <v>1809</v>
      </c>
    </row>
    <row r="114" x14ac:dyDescent="0.2">
      <c r="A114" t="s" s="265">
        <v>1521</v>
      </c>
      <c r="B114" t="s" s="266">
        <v>1522</v>
      </c>
      <c r="C114" t="s" s="265">
        <v>1328</v>
      </c>
      <c r="D114" s="198">
        <f>Chemistry!kappa_med</f>
        <v>1.40129171645</v>
      </c>
      <c r="E114" t="s" s="306">
        <v>1523</v>
      </c>
    </row>
    <row r="115" x14ac:dyDescent="0.2">
      <c r="A115" t="s" s="265">
        <v>1524</v>
      </c>
      <c r="B115" t="s" s="266">
        <v>1525</v>
      </c>
      <c r="C115" t="s" s="265">
        <v>112</v>
      </c>
      <c r="D115" s="277">
        <f>Geometry!elec_gap</f>
        <v>14.0</v>
      </c>
      <c r="E115" t="s" s="307">
        <v>1526</v>
      </c>
    </row>
    <row r="116" x14ac:dyDescent="0.2" ht="77" customHeight="1">
      <c r="A116" t="s" s="265">
        <v>1527</v>
      </c>
      <c r="B116" t="s" s="266">
        <v>1528</v>
      </c>
      <c r="C116" t="s" s="265">
        <v>1116</v>
      </c>
      <c r="D116" s="268">
        <v>1</v>
      </c>
      <c r="E116" s="313"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the current law holding linear to "&amp;TEXT(gerrit_check_pct,"0")&amp;" % on a "&amp;TEXT(V_rail,"0")&amp;" V rail (D143–D144); that leaves "&amp;TEXT(V_rail-V_at_gerrit_max,"0.00")&amp;" V of headroom there, against the ±0.12 V j₀ uncertainty (E108)."</f>
        <v>Parallel-cylinder (2D) formula taken at face value. Lateral confinement by the 25 mm wall raises the resistance and current spreading through the ~22 mm of liquid below the rod tips lowers it; for rods with L/d ≈ 1.5 the two roughly cancel. Bounded above at ~2.27 by the current law holding linear to 25 % on a 5 V rail (D143–D144); that leaves 1.33 V of headroom there, against the ±0.12 V j₀ uncertainty (E108).</v>
      </c>
    </row>
    <row r="117" x14ac:dyDescent="0.2" ht="27" customHeight="1">
      <c r="A117" t="s" s="265">
        <v>1529</v>
      </c>
      <c r="B117" t="s" s="266">
        <v>1530</v>
      </c>
      <c r="C117" t="s" s="265">
        <v>1531</v>
      </c>
      <c r="D117" s="212">
        <f>k_geom*ACOSH(ec_gap/anode_dia)/(PI()*ec_kappa*(L_sub/1000))</f>
        <v>36.888735417245</v>
      </c>
      <c r="E117" t="s" s="306">
        <v>1532</v>
      </c>
    </row>
    <row r="118" x14ac:dyDescent="0.2" ht="27" customHeight="1">
      <c r="A118" t="s" s="265">
        <v>1533</v>
      </c>
      <c r="B118" t="s" s="266">
        <v>1534</v>
      </c>
      <c r="C118" t="s" s="265">
        <v>1412</v>
      </c>
      <c r="D118" s="199">
        <f>I_app*R_cell</f>
        <v>0.209896904524</v>
      </c>
      <c r="E118" t="s" s="306">
        <v>1535</v>
      </c>
    </row>
    <row r="119" x14ac:dyDescent="0.2" ht="52" customHeight="1">
      <c r="A119" t="s" s="265">
        <v>1536</v>
      </c>
      <c r="B119" t="s" s="266">
        <v>1537</v>
      </c>
      <c r="C119" t="s" s="265">
        <v>1412</v>
      </c>
      <c r="D119" s="198">
        <f>ec_E_rev+eta_anode+eta_cath+pcet_credit_op+V_IR</f>
        <v>2.649439101382</v>
      </c>
      <c r="E119" t="s" s="306">
        <v>1538</v>
      </c>
    </row>
    <row r="120" x14ac:dyDescent="0.2" ht="39.5" customHeight="1">
      <c r="A120" t="s" s="265">
        <v>1539</v>
      </c>
      <c r="B120" t="s" s="266">
        <v>1540</v>
      </c>
      <c r="C120" t="s" s="265">
        <v>1412</v>
      </c>
      <c r="D120" s="268">
        <v>5</v>
      </c>
      <c r="E120" t="s" s="306">
        <v>1541</v>
      </c>
    </row>
    <row r="121" x14ac:dyDescent="0.2">
      <c r="A121" t="s" s="265">
        <v>1542</v>
      </c>
      <c r="B121" t="s" s="266">
        <v>1543</v>
      </c>
      <c r="C121" t="s" s="265">
        <v>1412</v>
      </c>
      <c r="D121" s="198">
        <f>V_rail-V_cell_est</f>
        <v>2.350560898618</v>
      </c>
      <c r="E121" t="s" s="306">
        <v>1544</v>
      </c>
    </row>
    <row r="122" x14ac:dyDescent="0.2" ht="39.5" customHeight="1">
      <c r="A122" t="s" s="265">
        <v>1545</v>
      </c>
      <c r="B122" t="s" s="266">
        <v>1546</v>
      </c>
      <c r="C122" t="s" s="265">
        <v>1116</v>
      </c>
      <c r="D122" s="277"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306" t="str">
        <f>"Cross-check on the current law: it is validated linear to "&amp;TEXT(gerrit_check_pct,"0")&amp;" % (D166), so the budget evaluated there (V_at_gerrit_max, D143) must stay at or below V_rail; D144 tests it live (currently "&amp;TEXT(V_at_gerrit_max,"0.00")&amp;" V with k_geom = "&amp;TEXT(k_geom,"0.0#")&amp;")."</f>
        <v>Cross-check on the current law: it is validated linear to 25 % (D166), so the budget evaluated there (V_at_gerrit_max, D143) must stay at or below V_rail; D144 tests it live (currently 3.67 V with k_geom = 1.0).</v>
      </c>
    </row>
    <row r="124" ht="16" x14ac:dyDescent="0.2">
      <c r="A124" t="s" s="278">
        <v>1810</v>
      </c>
      <c r="B124" s="278"/>
      <c r="C124" s="278"/>
      <c r="D124" s="278"/>
      <c r="E124" s="278"/>
    </row>
    <row r="125" ht="26" x14ac:dyDescent="0.2">
      <c r="A125" t="s" s="265">
        <v>1811</v>
      </c>
      <c r="B125" t="s" s="266">
        <v>1812</v>
      </c>
      <c r="C125" t="s" s="265">
        <v>271</v>
      </c>
      <c r="D125" s="268">
        <v>1.03</v>
      </c>
      <c r="E125" t="s" s="306">
        <v>1813</v>
      </c>
    </row>
    <row r="126" ht="26" x14ac:dyDescent="0.2">
      <c r="A126" t="s" s="265">
        <v>1814</v>
      </c>
      <c r="B126" t="s" s="266">
        <v>1815</v>
      </c>
      <c r="C126" t="s" s="265">
        <v>275</v>
      </c>
      <c r="D126" s="268">
        <v>2.6</v>
      </c>
      <c r="E126" t="s" s="306">
        <v>1813</v>
      </c>
    </row>
    <row r="127" x14ac:dyDescent="0.2" ht="27" customHeight="1">
      <c r="A127" t="s" s="265">
        <v>1816</v>
      </c>
      <c r="B127" t="s" s="266">
        <v>1817</v>
      </c>
      <c r="C127" t="s" s="265">
        <v>1412</v>
      </c>
      <c r="D127" s="268">
        <v>1</v>
      </c>
      <c r="E127" t="s" s="305">
        <v>1818</v>
      </c>
    </row>
    <row r="128" ht="16" x14ac:dyDescent="0.2">
      <c r="A128" t="s" s="278">
        <v>1819</v>
      </c>
      <c r="B128" s="278"/>
      <c r="C128" s="278"/>
      <c r="D128" s="278"/>
      <c r="E128" s="278"/>
    </row>
    <row r="129" x14ac:dyDescent="0.2" ht="52" customHeight="1">
      <c r="A129" t="s" s="265">
        <v>1820</v>
      </c>
      <c r="B129" t="s" s="266">
        <v>1821</v>
      </c>
      <c r="C129" t="s" s="265">
        <v>401</v>
      </c>
      <c r="D129" s="268">
        <v>0.174849986629</v>
      </c>
      <c r="E129" t="s" s="313">
        <v>2825</v>
      </c>
    </row>
    <row r="130" x14ac:dyDescent="0.2" ht="39.5" customHeight="1">
      <c r="A130" t="s" s="265">
        <v>1822</v>
      </c>
      <c r="B130" t="s" s="266">
        <v>1823</v>
      </c>
      <c r="C130" t="s" s="265">
        <v>108</v>
      </c>
      <c r="D130" s="268">
        <v>0.05</v>
      </c>
      <c r="E130" t="s" s="305">
        <v>1824</v>
      </c>
    </row>
    <row r="131" x14ac:dyDescent="0.2" ht="39.5" customHeight="1">
      <c r="A131" t="s" s="265">
        <v>1825</v>
      </c>
      <c r="B131" t="s" s="266">
        <v>1826</v>
      </c>
      <c r="C131" t="s" s="265">
        <v>302</v>
      </c>
      <c r="D131" s="209">
        <f>MIN(I_app/(n_ORR_eff*F_const)*3600,IF(ISNUMBER(cal_etaF),(O2_cathode_ORR*DO_lag_ref/ec_DO_design),(i_ORR_design/(n_ORR_eff*F_const)*3600*DO_lag_ref/ec_DO_design)))</f>
        <v>5.0693642695e-06</v>
      </c>
      <c r="E131" t="s" s="313">
        <v>1827</v>
      </c>
    </row>
    <row r="132" x14ac:dyDescent="0.2" ht="39.5" customHeight="1">
      <c r="A132" t="s" s="265">
        <v>1828</v>
      </c>
      <c r="B132" t="s" s="266">
        <v>1829</v>
      </c>
      <c r="C132" t="s" s="265">
        <v>302</v>
      </c>
      <c r="D132" s="209">
        <f>rO2_gen-O2_ORR_lag+O2_H2O2_lag_adj</f>
        <v>4.838626296225e-05</v>
      </c>
      <c r="E132" t="s" s="313">
        <v>2826</v>
      </c>
    </row>
    <row r="133" x14ac:dyDescent="0.2" ht="27" customHeight="1">
      <c r="A133" t="s" s="265">
        <v>1830</v>
      </c>
      <c r="B133" t="s" s="266">
        <v>1831</v>
      </c>
      <c r="C133" t="s" s="265">
        <v>302</v>
      </c>
      <c r="D133" s="209">
        <f>MAX(0,I_app-O2_ORR_lag/3600*n_ORR_eff*F_const)/(z_e_H2*F_const)*3600</f>
        <v>9.67725259245e-05</v>
      </c>
      <c r="E133" t="s" s="313">
        <v>1832</v>
      </c>
    </row>
    <row r="134" x14ac:dyDescent="0.2" ht="27" customHeight="1">
      <c r="A134" t="s" s="265">
        <v>1833</v>
      </c>
      <c r="B134" t="s" s="266">
        <v>1834</v>
      </c>
      <c r="C134" t="s" s="265">
        <v>108</v>
      </c>
      <c r="D134" s="277"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t="s" s="313">
        <v>1835</v>
      </c>
    </row>
    <row r="136" hidden="1"/>
    <row r="137" hidden="1"/>
    <row r="138" hidden="1"/>
    <row r="139" hidden="1"/>
    <row r="140" ht="16" x14ac:dyDescent="0.2">
      <c r="A140" t="s" s="278">
        <v>1836</v>
      </c>
      <c r="B140" s="278"/>
      <c r="C140" s="278"/>
      <c r="D140" s="278"/>
      <c r="E140" s="278"/>
    </row>
    <row r="141" x14ac:dyDescent="0.2" ht="52" customHeight="1">
      <c r="A141" t="s" s="265">
        <v>1837</v>
      </c>
      <c r="B141" t="s" s="266">
        <v>1838</v>
      </c>
      <c r="C141" t="s" s="265">
        <v>1839</v>
      </c>
      <c r="D141" s="198">
        <f>z_e_ORR*f_HOOH+z_e_O2*(1-f_HOOH)</f>
        <v>3.7</v>
      </c>
      <c r="E141" t="s" s="305">
        <v>1840</v>
      </c>
    </row>
    <row r="142" x14ac:dyDescent="0.2">
      <c r="A142" t="s" s="265">
        <v>2827</v>
      </c>
      <c r="B142" t="s" s="266">
        <v>1841</v>
      </c>
      <c r="C142" t="s" s="265">
        <v>297</v>
      </c>
      <c r="D142" s="210">
        <f>(gerrit_slope*gerrit_check_pct+gerrit_int)/1000</f>
        <v>0.02835</v>
      </c>
      <c r="E142" t="s" s="306">
        <v>1842</v>
      </c>
    </row>
    <row r="143" x14ac:dyDescent="0.2" ht="39.5" customHeight="1">
      <c r="A143" t="s" s="265">
        <v>1843</v>
      </c>
      <c r="B143" t="s" s="266">
        <v>1844</v>
      </c>
      <c r="C143" t="s" s="265">
        <v>1412</v>
      </c>
      <c r="D143" s="198">
        <f>ec_E_rev+b_anode*LOG10(I_at_gerrit_max/A_anode_wet/j0_anode)+b_cath*LOG10(I_at_gerrit_max/A_cath_wet/j0_cath)+pcet_credit_gmax+I_at_gerrit_max*R_cell</f>
        <v>3.666672453114</v>
      </c>
      <c r="E143" t="s" s="313">
        <v>1845</v>
      </c>
    </row>
    <row r="144" x14ac:dyDescent="0.2" ht="27" customHeight="1">
      <c r="A144" t="s" s="265">
        <v>1846</v>
      </c>
      <c r="B144" t="s" s="266">
        <v>1847</v>
      </c>
      <c r="C144" t="s" s="265">
        <v>108</v>
      </c>
      <c r="D144" s="277" t="str">
        <f>IF(V_at_gerrit_max&gt;V_rail,"INCONSISTENT — the budget needs "&amp;TEXT(V_at_gerrit_max,"0.00")&amp;" V at "&amp;TEXT(gerrit_check_pct,"0")&amp;" %, above the "&amp;TEXT(V_rail,"0")&amp;" V rail, where the current law in use is validated linear: R_cell (k_geom) or j₀ is too high","OK — "&amp;TEXT(V_at_gerrit_max,"0.00")&amp;" V at "&amp;TEXT(gerrit_check_pct,"0")&amp;" %, under the "&amp;TEXT(V_rail,"0")&amp;" V rail across the validated band")</f>
        <v>OK — 3.67 V at 25 %, under the 5 V rail across the validated band</v>
      </c>
      <c r="E144" t="s" s="306">
        <v>1848</v>
      </c>
    </row>
    <row r="145" x14ac:dyDescent="0.2" ht="52" customHeight="1">
      <c r="A145" t="s" s="265">
        <v>1849</v>
      </c>
      <c r="B145" t="s" s="266">
        <v>1850</v>
      </c>
      <c r="C145" t="s" s="265">
        <v>108</v>
      </c>
      <c r="D145" s="268"/>
      <c r="E145" t="s" s="307">
        <v>1851</v>
      </c>
    </row>
    <row r="146" x14ac:dyDescent="0.2">
      <c r="A146" t="s" s="265">
        <v>1852</v>
      </c>
      <c r="B146" t="s" s="266">
        <v>1853</v>
      </c>
      <c r="C146" t="s" s="265">
        <v>401</v>
      </c>
      <c r="D146" s="199">
        <f>Biology!C_H2_sat</f>
        <v>0.768774121515</v>
      </c>
      <c r="E146" t="s" s="306">
        <v>1854</v>
      </c>
    </row>
    <row r="147" x14ac:dyDescent="0.2" ht="52" customHeight="1">
      <c r="A147" t="s" s="265">
        <v>1855</v>
      </c>
      <c r="B147" t="s" s="266">
        <v>1856</v>
      </c>
      <c r="C147" t="s" s="265">
        <v>297</v>
      </c>
      <c r="D147" s="209">
        <f>z_e_H2*F_const*(km_O2/100)*ec_C_H2_sat*(A_anode_wet/10000)</f>
        <v>0.001026964746</v>
      </c>
      <c r="E147" t="s" s="313">
        <v>1857</v>
      </c>
    </row>
    <row r="148" x14ac:dyDescent="0.2">
      <c r="A148" t="s" s="265">
        <v>1858</v>
      </c>
      <c r="B148" t="s" s="266">
        <v>1859</v>
      </c>
      <c r="C148" t="s" s="265">
        <v>108</v>
      </c>
      <c r="D148" s="199">
        <f>i_HOR_lim/I_app</f>
        <v>0.180485895644</v>
      </c>
      <c r="E148" t="s" s="313">
        <v>1860</v>
      </c>
    </row>
    <row r="149" x14ac:dyDescent="0.2" ht="27" customHeight="1">
      <c r="A149" t="s" s="265">
        <v>1861</v>
      </c>
      <c r="B149" t="s" s="266">
        <v>1862</v>
      </c>
      <c r="C149" t="s" s="265">
        <v>302</v>
      </c>
      <c r="D149" s="277">
        <f>IF(ISNUMBER(f_HOR_anode),f_HOR_anode*I_app/(z_e_H2*F_const)*3600,0)</f>
        <v>0.0</v>
      </c>
      <c r="E149" t="s" s="306">
        <v>1863</v>
      </c>
    </row>
    <row r="150" x14ac:dyDescent="0.2" ht="27" customHeight="1">
      <c r="A150" t="s" s="265">
        <v>1864</v>
      </c>
      <c r="B150" t="s" s="266">
        <v>1865</v>
      </c>
      <c r="C150" t="s" s="265">
        <v>401</v>
      </c>
      <c r="D150" s="199">
        <f>'Mass Transfer'!DO_ss_sawtooth_lag</f>
        <v>0.175470883498</v>
      </c>
      <c r="E150" t="s" s="306">
        <v>1866</v>
      </c>
    </row>
    <row r="151" x14ac:dyDescent="0.2" ht="39.5" customHeight="1">
      <c r="A151" t="s" s="265">
        <v>1867</v>
      </c>
      <c r="B151" t="s" s="266">
        <v>1868</v>
      </c>
      <c r="C151" t="s" s="265">
        <v>571</v>
      </c>
      <c r="D151" s="209">
        <f>(km_O2/100)*(A_anode_wet/10000)/(ec_V_L/1000)</f>
        <v>0.0004615026815512</v>
      </c>
      <c r="E151" t="s" s="313">
        <v>1869</v>
      </c>
    </row>
    <row r="152" x14ac:dyDescent="0.2" ht="27" customHeight="1">
      <c r="A152" t="s" s="265">
        <v>1870</v>
      </c>
      <c r="B152" t="s" s="266">
        <v>1871</v>
      </c>
      <c r="C152" t="s" s="265">
        <v>857</v>
      </c>
      <c r="D152" s="198">
        <f>f_HOOH*O2_ORR_lag*M_H2O2*1000/ec_V_L</f>
        <v>1.724329048178</v>
      </c>
      <c r="E152" t="s" s="313">
        <v>2828</v>
      </c>
    </row>
    <row r="153" x14ac:dyDescent="0.2">
      <c r="A153" t="s" s="265">
        <v>1872</v>
      </c>
      <c r="B153" t="s" s="266">
        <v>180</v>
      </c>
      <c r="C153" t="s" s="265">
        <v>52</v>
      </c>
      <c r="D153" s="277">
        <f>Biology!V_charge</f>
        <v>15.0</v>
      </c>
      <c r="E153" t="s" s="306">
        <v>1873</v>
      </c>
    </row>
    <row r="154" x14ac:dyDescent="0.2">
      <c r="A154" t="s" s="265">
        <v>1874</v>
      </c>
      <c r="B154" t="s" s="266">
        <v>33</v>
      </c>
      <c r="C154" t="s" s="265">
        <v>108</v>
      </c>
      <c r="D154" s="277" t="str">
        <f>Summary!organism_sel</f>
        <v>Xanthobacter tagetidis</v>
      </c>
      <c r="E154" t="s" s="306">
        <v>1875</v>
      </c>
    </row>
    <row r="156" hidden="1"/>
    <row r="157" hidden="1"/>
    <row r="158" hidden="1"/>
    <row r="159" hidden="1"/>
    <row r="160" ht="16" x14ac:dyDescent="0.2">
      <c r="A160" t="s" s="278">
        <v>1876</v>
      </c>
      <c r="B160" s="278"/>
      <c r="C160" s="278"/>
      <c r="D160" s="278"/>
      <c r="E160" s="278"/>
    </row>
    <row r="161" x14ac:dyDescent="0.2">
      <c r="A161" t="s" s="265">
        <v>1877</v>
      </c>
      <c r="B161" t="s" s="266">
        <v>1878</v>
      </c>
      <c r="C161" t="s" s="265">
        <v>108</v>
      </c>
      <c r="D161" s="199">
        <f>Chemistry!j_buffer_ratio</f>
        <v>0.19970604856</v>
      </c>
      <c r="E161" t="s" s="310">
        <v>1879</v>
      </c>
    </row>
    <row r="162" x14ac:dyDescent="0.2" ht="52" customHeight="1">
      <c r="A162" t="s" s="265">
        <v>1880</v>
      </c>
      <c r="B162" t="s" s="266">
        <v>1881</v>
      </c>
      <c r="C162" t="s" s="265">
        <v>1412</v>
      </c>
      <c r="D162" s="199">
        <f>IF(ec_jbuf_ratio&gt;1,0,pcet_credit)</f>
        <v>-0.15</v>
      </c>
      <c r="E162" t="s" s="313">
        <v>1882</v>
      </c>
    </row>
    <row r="163" x14ac:dyDescent="0.2" ht="39.5" customHeight="1">
      <c r="A163" t="s" s="265">
        <v>1883</v>
      </c>
      <c r="B163" t="s" s="266">
        <v>1884</v>
      </c>
      <c r="C163" t="s" s="265">
        <v>1412</v>
      </c>
      <c r="D163" s="199">
        <f>IF(ec_jbuf_ratio*I_at_gerrit_max/I_app&gt;1,0,pcet_credit)</f>
        <v>-0.15</v>
      </c>
      <c r="E163" t="s" s="313">
        <v>2829</v>
      </c>
    </row>
    <row r="165" x14ac:dyDescent="0.2" ht="77" customHeight="1">
      <c r="A165" t="s" s="265">
        <v>2830</v>
      </c>
      <c r="B165" t="s" s="266">
        <v>2831</v>
      </c>
      <c r="C165" t="s" s="265">
        <v>953</v>
      </c>
      <c r="D165" s="268">
        <v>4.0000000000000001E-3</v>
      </c>
      <c r="E165" s="313" t="inlineStr">
        <is>
          <t xml:space="preserve">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in its calibration log.</t>
        </is>
      </c>
    </row>
    <row r="166" x14ac:dyDescent="0.2" ht="39.5" customHeight="1">
      <c r="A166" t="s" s="265">
        <v>2833</v>
      </c>
      <c r="B166" t="s" s="266">
        <v>2834</v>
      </c>
      <c r="C166" t="s" s="265">
        <v>40</v>
      </c>
      <c r="D166" s="277">
        <f>IF(ISNUMBER(cal_gerrit_slope),power_max,gerrit_max)</f>
        <v>25.0</v>
      </c>
      <c r="E166" t="s" s="306">
        <v>2835</v>
      </c>
    </row>
    <row r="167" x14ac:dyDescent="0.2">
      <c r="A167" t="s" s="278">
        <v>2836</v>
      </c>
      <c r="B167" s="278"/>
      <c r="C167" s="278"/>
      <c r="D167" s="278"/>
      <c r="E167" s="278"/>
    </row>
    <row r="168" x14ac:dyDescent="0.2" ht="39.5" customHeight="1">
      <c r="A168" t="s" s="265">
        <v>2837</v>
      </c>
      <c r="B168" t="s" s="266">
        <v>2838</v>
      </c>
      <c r="C168" t="s" s="265">
        <v>302</v>
      </c>
      <c r="D168" s="209">
        <f>f_HOOH*O2_cathode_ORR*k_H2O2_anode/(k_H2O2_anode+k_cat_cells)</f>
        <v>3.130955566497e-08</v>
      </c>
      <c r="E168" t="s" s="306">
        <v>2839</v>
      </c>
    </row>
    <row r="169" x14ac:dyDescent="0.2" ht="27" customHeight="1">
      <c r="A169" t="s" s="265">
        <v>2840</v>
      </c>
      <c r="B169" t="s" s="266">
        <v>2841</v>
      </c>
      <c r="C169" t="s" s="265">
        <v>302</v>
      </c>
      <c r="D169" s="209">
        <f>f_HOOH*O2_ORR_lag</f>
        <v>7.60404640425e-07</v>
      </c>
      <c r="E169" t="s" s="306">
        <v>2842</v>
      </c>
    </row>
    <row r="170" x14ac:dyDescent="0.2" ht="39.5" customHeight="1">
      <c r="A170" t="s" s="265">
        <v>2843</v>
      </c>
      <c r="B170" t="s" s="266">
        <v>2844</v>
      </c>
      <c r="C170" t="s" s="265">
        <v>108</v>
      </c>
      <c r="D170" s="209">
        <f>IF(ISNUMBER(cal_etaF_OER),0,2*F_const*r_H2O2_an_g/3600/I_app)</f>
        <v>0.0002949534150424</v>
      </c>
      <c r="E170" t="s" s="306">
        <v>2845</v>
      </c>
    </row>
    <row r="171" x14ac:dyDescent="0.2">
      <c r="A171" t="s" s="265">
        <v>2846</v>
      </c>
      <c r="B171" t="s" s="266">
        <v>2847</v>
      </c>
      <c r="C171" t="s" s="265">
        <v>302</v>
      </c>
      <c r="D171" s="209">
        <f>IF(ISNUMBER(cal_etaF_OER),0,r_H2O2_an_g)</f>
        <v>3.130955566497e-08</v>
      </c>
      <c r="E171" t="s" s="306">
        <v>2848</v>
      </c>
    </row>
    <row r="172" x14ac:dyDescent="0.2" ht="39.5" customHeight="1">
      <c r="A172" t="s" s="265">
        <v>2849</v>
      </c>
      <c r="B172" t="s" s="266">
        <v>2850</v>
      </c>
      <c r="C172" t="s" s="265">
        <v>302</v>
      </c>
      <c r="D172" s="209">
        <f>IF(ISNUMBER(cal_etaF_OER),0,r_H2O2_an_l/2+r_H2O2_an_g/2)</f>
        <v>3.95857098045e-07</v>
      </c>
      <c r="E172" t="s" s="306">
        <v>2851</v>
      </c>
    </row>
    <row r="173" x14ac:dyDescent="0.2" ht="39.5" customHeight="1">
      <c r="A173" t="s" s="265">
        <v>2852</v>
      </c>
      <c r="B173" t="s" s="266">
        <v>2853</v>
      </c>
      <c r="C173" t="s" s="265">
        <v>302</v>
      </c>
      <c r="D173" s="209">
        <f>f_HOOH*O2_cathode_ORR*k_cat_cells/(k_H2O2_anode+k_cat_cells)/2</f>
        <v>1.390773914844e-07</v>
      </c>
      <c r="E173" t="s" s="306">
        <v>2854</v>
      </c>
    </row>
    <row r="174" x14ac:dyDescent="0.2" ht="52" customHeight="1">
      <c r="A174" t="s" s="265">
        <v>2855</v>
      </c>
      <c r="B174" t="s" s="266">
        <v>2856</v>
      </c>
      <c r="C174" t="s" s="265">
        <v>302</v>
      </c>
      <c r="D174" s="209">
        <f>rO2_gen+IF(ISNUMBER(cal_etaF_OER),0,r_H2O2_an_g/2)</f>
        <v>5.307542491154e-05</v>
      </c>
      <c r="E174" t="s" s="306">
        <v>2857</v>
      </c>
    </row>
    <row r="175" x14ac:dyDescent="0.2">
      <c r="A175" t="s" s="265">
        <v>2858</v>
      </c>
      <c r="B175" t="s" s="266">
        <v>2859</v>
      </c>
      <c r="C175" t="s" s="265">
        <v>302</v>
      </c>
      <c r="D175" s="209">
        <f>I_app/(z_e_H2*F_const)*3600</f>
        <v>0.0001061508498231</v>
      </c>
      <c r="E175" t="s" s="306">
        <v>2860</v>
      </c>
    </row>
    <row r="177">
      <c r="A177" t="inlineStr" s="278">
        <is>
          <t>START-UP CURRENT FOR THE LAG DO TARGET (until uptake starts)</t>
        </is>
      </c>
      <c r="B177" s="278"/>
      <c r="C177" s="278"/>
      <c r="D177" s="278"/>
      <c r="E177" s="278"/>
    </row>
    <row r="178">
      <c r="A178" t="inlineStr" s="265">
        <is>
          <t>(import) Surface-kLa margin on the lag source</t>
        </is>
      </c>
      <c r="B178" t="inlineStr" s="266">
        <is>
          <t>kLa_margin_l_ec</t>
        </is>
      </c>
      <c r="C178" t="inlineStr" s="265">
        <is>
          <t>×</t>
        </is>
      </c>
      <c r="D178" s="199">
        <f>'Mass Transfer'!kLa_margin_l</f>
        <v>0.606774113661</v>
      </c>
      <c r="E178" t="inlineStr" s="310">
        <is>
          <t>Import from Mass Transfer!D367 (kLa_margin_l).</t>
        </is>
      </c>
    </row>
    <row r="179">
      <c r="A179" t="inlineStr" s="265">
        <is>
          <t>O₂ generated per ampere</t>
        </is>
      </c>
      <c r="B179" t="inlineStr" s="266">
        <is>
          <t>rO2_per_A</t>
        </is>
      </c>
      <c r="C179" t="inlineStr" s="265">
        <is>
          <t>mol/h/A</t>
        </is>
      </c>
      <c r="D179" s="209">
        <f>rO2_gen/I_app</f>
        <v>0.009325091412</v>
      </c>
      <c r="E179" t="inlineStr" s="310">
        <is>
          <t>Gross anodic O₂ (D22) scales with the current at a fixed anodic efficiency.</t>
        </is>
      </c>
    </row>
    <row r="180">
      <c r="A180" t="inlineStr" s="265">
        <is>
          <t>Start-up current for the lag DO target</t>
        </is>
      </c>
      <c r="B180" t="inlineStr" s="266">
        <is>
          <t>I_su</t>
        </is>
      </c>
      <c r="C180" t="inlineStr" s="265">
        <is>
          <t>A</t>
        </is>
      </c>
      <c r="D180" s="209">
        <f>IF(kLa_margin_l_ec&gt;=1,I_app,MIN(I_app,(kLa_margin_l_ec*O2_net_lag+O2_ORR_lag-O2_H2O2_lag_adj)/rO2_per_A))</f>
        <v>0.003649619879</v>
      </c>
      <c r="E180" t="inlineStr" s="314">
        <is>
          <t>Design assumption, first-order: the current whose net lag O₂ (D132) equals the surface kLa in use × the DO target, holding the cathodic O₂ loss (D131, mass-transfer limited at the lag reference DO) and the peroxide correction (D172) at today’s values. Equal to the set current when the target is already reachable.</t>
        </is>
      </c>
    </row>
    <row r="181">
      <c r="A181" t="inlineStr" s="265">
        <is>
          <t>Electrolysis power for that current</t>
        </is>
      </c>
      <c r="B181" t="inlineStr" s="266">
        <is>
          <t>power_su</t>
        </is>
      </c>
      <c r="C181" t="inlineStr" s="265">
        <is>
          <t>%</t>
        </is>
      </c>
      <c r="D181" s="198">
        <f>IF(kLa_margin_l_ec&gt;=1,intensity,(I_su*1000-gerrit_int)/gerrit_slope)</f>
        <v>1.019048426564</v>
      </c>
      <c r="E181" t="inlineStr" s="315">
        <is>
          <t>Gerrit’s Law (D11–D12) inverted. Below gerrit_min (D13) this is an extrapolation: see D182.</t>
        </is>
      </c>
    </row>
    <row r="182">
      <c r="A182" t="inlineStr" s="265">
        <is>
          <t>Current against power below the fitted range</t>
        </is>
      </c>
      <c r="B182" t="inlineStr" s="266">
        <is>
          <t>I_curve_low</t>
        </is>
      </c>
      <c r="C182" t="inlineStr" s="265">
        <is>
          <t>-</t>
        </is>
      </c>
      <c r="D182" t="inlineStr" s="268">
        <is>
          <t>not measured</t>
        </is>
      </c>
      <c r="E182" t="inlineStr" s="315">
        <is>
          <t>DATA GAP: Gerrit’s Law is fitted from 3 % (D13) up; nothing below it is measured, so a start-up power under 3 % is an extrapolation. Measure the low-power curve (protocols/gerrit-current.md; Calibrations electrolysis-current section).</t>
        </is>
      </c>
    </row>
    <row r="183">
      <c r="A183" t="inlineStr" s="265">
        <is>
          <t>Basis of the start-up power</t>
        </is>
      </c>
      <c r="B183" t="inlineStr" s="266">
        <is>
          <t>power_su_basis</t>
        </is>
      </c>
      <c r="C183" t="inlineStr" s="265">
        <is>
          <t>-</t>
        </is>
      </c>
      <c r="D183" s="277" t="str">
        <f>IF(kLa_margin_l_ec&gt;=1,"not needed – the lag DO target is reachable at the set power",IF(power_su&lt;0,"BELOW the fit’s zero-power current – DATA GAP: measure the low-power current curve",IF(power_su&lt;gerrit_min,"EXTRAPOLATED below the "&amp;gerrit_min&amp;" % current curve – DATA GAP: measure the low-power current curve","within the measured current curve ("&amp;gerrit_min&amp;"–"&amp;gerrit_max&amp;" %)")))</f>
        <v>EXTRAPOLATED below the 3 % current curve – DATA GAP: measure the low-power current curve</v>
      </c>
      <c r="E183" t="inlineStr" s="315">
        <is>
          <t>Carries the low-power DATA GAP (D182) to Summary rows 24, 60 and 124.</t>
        </is>
      </c>
    </row>
  </sheetData>
  <conditionalFormatting sqref="D52 D53 D54 D55 D92 D94 D97 D126 D129 D165">
    <cfRule type="expression" dxfId="48" priority="1" stopIfTrue="1">
      <formula>OR(ISBLANK(D52),NOT(ISNUMBER(D52)),D52&lt;=0)</formula>
    </cfRule>
  </conditionalFormatting>
  <conditionalFormatting sqref="D13 D14 D15 D16 D17 D73 D84 D91 D107 D108 D109 D110 D113 D116 D120 D125 D127 D130">
    <cfRule type="expression" dxfId="48" priority="2" stopIfTrue="1">
      <formula>OR(ISBLANK(D13),NOT(ISNUMBER(D13)))</formula>
    </cfRule>
  </conditionalFormatting>
  <conditionalFormatting sqref="D20">
    <cfRule type="cellIs" dxfId="46" priority="3" operator="equal">
      <formula>"OK"</formula>
    </cfRule>
    <cfRule type="cellIs" dxfId="48" priority="4" operator="equal">
      <formula>"OUT"</formula>
    </cfRule>
  </conditionalFormatting>
  <conditionalFormatting sqref="D59:D62">
    <cfRule type="expression" dxfId="48" priority="5" stopIfTrue="1">
      <formula>ISNUMBER(SEARCH("EXCEED",D59))</formula>
    </cfRule>
    <cfRule type="expression" dxfId="47" priority="6" stopIfTrue="1">
      <formula>ISNUMBER(SEARCH("watch",D59))</formula>
    </cfRule>
    <cfRule type="expression" dxfId="46" priority="7" stopIfTrue="1">
      <formula>ISNUMBER(SEARCH("OK",D59))</formula>
    </cfRule>
  </conditionalFormatting>
  <conditionalFormatting sqref="D76">
    <cfRule type="expression" dxfId="48" priority="8" stopIfTrue="1">
      <formula>ISNUMBER(SEARCH("EXCEED",D76))</formula>
    </cfRule>
    <cfRule type="expression" dxfId="47" priority="9" stopIfTrue="1">
      <formula>ISNUMBER(SEARCH("watch",D76))</formula>
    </cfRule>
    <cfRule type="expression" dxfId="46" priority="10"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I364"/>
  <sheetViews>
    <sheetView workbookViewId="0">
      <pane xSplit="1" ySplit="2" topLeftCell="B3" activePane="bottomRight" state="frozen"/>
      <selection pane="bottomRight" activeCell="B3" sqref="B3"/>
    </sheetView>
  </sheetViews>
  <sheetFormatPr baseColWidth="10" defaultColWidth="8.83203125" defaultRowHeight="15" x14ac:dyDescent="0.2"/>
  <cols>
    <col min="1" max="1" width="52" customWidth="1"/>
    <col min="2" max="2" width="12.33203125" bestFit="1" customWidth="1"/>
    <col min="3" max="3" width="13.83203125" bestFit="1" customWidth="1"/>
    <col min="4" max="4" width="18" customWidth="1"/>
    <col min="5" max="5" width="39.33203125" bestFit="1" customWidth="1"/>
  </cols>
  <sheetData>
    <row r="1" ht="16" x14ac:dyDescent="0.2">
      <c r="A1" t="s" s="263">
        <v>740</v>
      </c>
      <c r="B1" s="263"/>
      <c r="C1" s="263"/>
      <c r="D1" s="263"/>
      <c r="E1" s="263"/>
    </row>
    <row r="2" x14ac:dyDescent="0.2">
      <c r="A2" t="s" s="263">
        <v>741</v>
      </c>
      <c r="B2" t="s" s="263">
        <v>742</v>
      </c>
      <c r="C2" t="s" s="263">
        <v>743</v>
      </c>
      <c r="D2" t="s" s="263">
        <v>744</v>
      </c>
      <c r="E2" t="s" s="263">
        <v>745</v>
      </c>
    </row>
    <row r="3" x14ac:dyDescent="0.2">
      <c r="A3" t="s" s="278">
        <v>746</v>
      </c>
      <c r="B3" s="278"/>
      <c r="C3" s="278"/>
      <c r="D3" s="278"/>
      <c r="E3" s="278"/>
    </row>
    <row r="4" x14ac:dyDescent="0.2">
      <c r="A4" t="s" s="265">
        <v>747</v>
      </c>
      <c r="B4" t="s" s="266">
        <v>748</v>
      </c>
      <c r="C4" t="s" s="265">
        <v>749</v>
      </c>
      <c r="D4" s="196">
        <f>Biology!T_K</f>
        <v>303.15</v>
      </c>
      <c r="E4" t="s" s="306">
        <v>750</v>
      </c>
    </row>
    <row r="5" x14ac:dyDescent="0.2" ht="39.5" customHeight="1">
      <c r="A5" t="s" s="265">
        <v>1885</v>
      </c>
      <c r="B5" t="s" s="266">
        <v>751</v>
      </c>
      <c r="C5" t="s" s="265">
        <v>752</v>
      </c>
      <c r="D5" s="210">
        <f>'Mass Transfer'!CO2aqc_ss</f>
        <v>0.025595318383</v>
      </c>
      <c r="E5" t="s" s="306">
        <v>1886</v>
      </c>
    </row>
    <row r="6" x14ac:dyDescent="0.2">
      <c r="A6" t="s" s="265">
        <v>753</v>
      </c>
      <c r="B6" t="s" s="266">
        <v>754</v>
      </c>
      <c r="C6" t="s" s="265">
        <v>755</v>
      </c>
      <c r="D6" s="209">
        <f>Electrochemistry!I_app</f>
        <v>0.00569</v>
      </c>
      <c r="E6" t="s" s="306">
        <v>756</v>
      </c>
    </row>
    <row r="7" x14ac:dyDescent="0.2">
      <c r="A7" t="s" s="265">
        <v>757</v>
      </c>
      <c r="B7" t="s" s="266">
        <v>758</v>
      </c>
      <c r="C7" t="s" s="265">
        <v>759</v>
      </c>
      <c r="D7" s="222">
        <f>Electrochemistry!F_const</f>
        <v>96485.33212</v>
      </c>
      <c r="E7" t="s" s="306">
        <v>760</v>
      </c>
    </row>
    <row r="8" x14ac:dyDescent="0.2">
      <c r="A8" t="s" s="265">
        <v>1799</v>
      </c>
      <c r="B8" t="s" s="266">
        <v>761</v>
      </c>
      <c r="C8" t="s" s="265">
        <v>762</v>
      </c>
      <c r="D8" s="210">
        <f>V_charge/1000</f>
        <v>0.015</v>
      </c>
      <c r="E8" t="s" s="306">
        <v>1887</v>
      </c>
    </row>
    <row r="9" x14ac:dyDescent="0.2">
      <c r="A9" t="s" s="265">
        <v>763</v>
      </c>
      <c r="B9" t="s" s="266">
        <v>764</v>
      </c>
      <c r="C9" t="s" s="265">
        <v>765</v>
      </c>
      <c r="D9" s="198">
        <f>'Mass Transfer'!R_gas</f>
        <v>8.314462618</v>
      </c>
      <c r="E9" t="s" s="316">
        <v>1888</v>
      </c>
    </row>
    <row r="11" ht="16" x14ac:dyDescent="0.2">
      <c r="A11" t="s" s="278">
        <v>766</v>
      </c>
      <c r="B11" s="278"/>
      <c r="C11" s="278"/>
      <c r="D11" s="278"/>
      <c r="E11" s="278"/>
      <c r="F11" t="s" s="269">
        <v>767</v>
      </c>
    </row>
    <row r="12" x14ac:dyDescent="0.2">
      <c r="A12" t="s" s="263">
        <v>768</v>
      </c>
      <c r="B12" t="s" s="263">
        <v>769</v>
      </c>
      <c r="C12" t="s" s="263">
        <v>770</v>
      </c>
      <c r="D12" t="s" s="263">
        <v>771</v>
      </c>
      <c r="E12" t="s" s="263">
        <v>772</v>
      </c>
    </row>
    <row r="13" x14ac:dyDescent="0.2">
      <c r="A13" t="s" s="265">
        <v>774</v>
      </c>
      <c r="B13" s="268">
        <v>4.4499999999999997E-7</v>
      </c>
      <c r="C13" s="268">
        <v>9.15</v>
      </c>
      <c r="D13" s="209">
        <f t="shared" ref="D13:D20" si="0">B13*EXP(-C13*1000/R_gas*(1/TKc-1/T_ref))</f>
        <v>4.729325907259e-07</v>
      </c>
      <c r="E13" t="s" s="316">
        <v>773</v>
      </c>
    </row>
    <row r="14" x14ac:dyDescent="0.2">
      <c r="A14" t="s" s="265">
        <v>775</v>
      </c>
      <c r="B14" s="268">
        <v>4.6900000000000001E-11</v>
      </c>
      <c r="C14" s="268">
        <v>14.9</v>
      </c>
      <c r="D14" s="209">
        <f t="shared" si="0"/>
        <v>5.178773212274e-11</v>
      </c>
      <c r="E14" t="s" s="316">
        <v>773</v>
      </c>
    </row>
    <row r="15" x14ac:dyDescent="0.2">
      <c r="A15" t="s" s="265">
        <v>776</v>
      </c>
      <c r="B15" s="268">
        <v>7.1000000000000004E-3</v>
      </c>
      <c r="C15" s="268">
        <v>-8</v>
      </c>
      <c r="D15" s="209">
        <f t="shared" si="0"/>
        <v>0.006731968577</v>
      </c>
      <c r="E15" t="s" s="316">
        <v>773</v>
      </c>
    </row>
    <row r="16" x14ac:dyDescent="0.2">
      <c r="A16" t="s" s="265">
        <v>777</v>
      </c>
      <c r="B16" s="268">
        <v>6.3100000000000003E-8</v>
      </c>
      <c r="C16" s="268">
        <v>3.6</v>
      </c>
      <c r="D16" s="209">
        <f t="shared" si="0"/>
        <v>6.46296315581e-08</v>
      </c>
      <c r="E16" t="s" s="316">
        <v>773</v>
      </c>
    </row>
    <row r="17" x14ac:dyDescent="0.2">
      <c r="A17" t="s" s="265">
        <v>901</v>
      </c>
      <c r="B17" s="268">
        <v>4.1999999999999998E-13</v>
      </c>
      <c r="C17" s="268">
        <v>16</v>
      </c>
      <c r="D17" s="209">
        <f t="shared" si="0"/>
        <v>4.671774023329e-13</v>
      </c>
      <c r="E17" t="s" s="316">
        <v>773</v>
      </c>
    </row>
    <row r="18" x14ac:dyDescent="0.2">
      <c r="A18" t="s" s="265">
        <v>778</v>
      </c>
      <c r="B18" s="268">
        <v>5.6000000000000003E-10</v>
      </c>
      <c r="C18" s="268">
        <v>52.2</v>
      </c>
      <c r="D18" s="209">
        <f t="shared" si="0"/>
        <v>7.92540891973e-10</v>
      </c>
      <c r="E18" t="s" s="316">
        <v>773</v>
      </c>
    </row>
    <row r="19" x14ac:dyDescent="0.2">
      <c r="A19" t="s" s="265">
        <v>779</v>
      </c>
      <c r="B19" s="268">
        <v>1E-14</v>
      </c>
      <c r="C19" s="268">
        <v>55.8</v>
      </c>
      <c r="D19" s="209">
        <f t="shared" si="0"/>
        <v>1.449559255234e-14</v>
      </c>
      <c r="E19" t="s" s="316">
        <v>773</v>
      </c>
    </row>
    <row r="20" x14ac:dyDescent="0.2">
      <c r="A20" t="s" s="265">
        <v>780</v>
      </c>
      <c r="B20" s="268">
        <v>2.8840315031266057E-8</v>
      </c>
      <c r="C20" s="268">
        <v>13.8</v>
      </c>
      <c r="D20" s="209">
        <f t="shared" si="0"/>
        <v>3.16137171463e-08</v>
      </c>
      <c r="E20" t="s" s="316">
        <v>773</v>
      </c>
    </row>
    <row r="21" x14ac:dyDescent="0.2">
      <c r="A21" t="s" s="265">
        <v>781</v>
      </c>
      <c r="B21" t="s" s="266">
        <v>782</v>
      </c>
      <c r="C21" t="s" s="265">
        <v>783</v>
      </c>
      <c r="D21" s="198">
        <f>-LOG10(Ka_HOCl)</f>
        <v>7.500124436738</v>
      </c>
      <c r="E21" t="s" s="306">
        <v>784</v>
      </c>
    </row>
    <row r="23" ht="16" x14ac:dyDescent="0.2">
      <c r="A23" s="278" t="inlineStr">
        <is>
          <t xml:space="preserve">MEDIUM – chosen on Summary; recipes and per-medium calculations are on the Media sheet</t>
        </is>
      </c>
      <c r="B23" s="278"/>
      <c r="C23" s="278"/>
      <c r="D23" s="278"/>
      <c r="E23" s="278"/>
      <c r="F23" s="278"/>
      <c r="G23" s="278"/>
    </row>
    <row r="24" x14ac:dyDescent="0.2">
      <c r="A24" s="263" t="inlineStr">
        <is>
          <t xml:space="preserve">Parameter</t>
        </is>
      </c>
      <c r="B24" s="263" t="inlineStr">
        <is>
          <t xml:space="preserve">Name</t>
        </is>
      </c>
      <c r="C24" s="263" t="inlineStr">
        <is>
          <t xml:space="preserve">Unit</t>
        </is>
      </c>
      <c r="D24" s="263" t="inlineStr">
        <is>
          <t xml:space="preserve">Value</t>
        </is>
      </c>
      <c r="E24" s="263" t="inlineStr">
        <is>
          <t xml:space="preserve">Source / assumption</t>
        </is>
      </c>
      <c r="F24"/>
      <c r="G24"/>
    </row>
    <row r="25" x14ac:dyDescent="0.2" ht="27" customHeight="1">
      <c r="A25" s="265" t="inlineStr">
        <is>
          <t xml:space="preserve">Column of the chosen medium in the Media table</t>
        </is>
      </c>
      <c r="B25" s="266" t="inlineStr">
        <is>
          <t xml:space="preserve">med_idx</t>
        </is>
      </c>
      <c r="C25" s="265" t="inlineStr">
        <is>
          <t xml:space="preserve">-</t>
        </is>
      </c>
      <c r="D25" s="262">
        <f>MATCH(media_sel,MediaList,0)</f>
        <v>4.0</v>
      </c>
      <c r="E25" s="316" t="inlineStr">
        <is>
          <t xml:space="preserve">#N/A if the medium on Summary is not in the Media table.</t>
        </is>
      </c>
      <c r="F25"/>
      <c r="G25"/>
    </row>
    <row r="26" x14ac:dyDescent="0.2" ht="27" customHeight="1">
      <c r="A26" s="265" t="inlineStr">
        <is>
          <t xml:space="preserve">Description of the chosen medium</t>
        </is>
      </c>
      <c r="B26" s="266" t="inlineStr">
        <is>
          <t xml:space="preserve">med_desc_sel</t>
        </is>
      </c>
      <c r="C26" s="265" t="inlineStr">
        <is>
          <t xml:space="preserve">-</t>
        </is>
      </c>
      <c r="D26" s="216" t="str">
        <f>INDEX(Media!med_desc,1,med_idx)</f>
        <v>Teo Reid's final medium: AM002's salts with 30/30 mM phosphate, 40 mM NaHCO₃ and a fifth of the iron. The recommended AMYBO minimal medium for HOB lab work and enrichments.</v>
      </c>
      <c r="E26" s="316" t="inlineStr">
        <is>
          <t xml:space="preserve">→ Media</t>
        </is>
      </c>
      <c r="F26"/>
      <c r="G26"/>
    </row>
    <row r="27" x14ac:dyDescent="0.2" ht="27" customHeight="1">
      <c r="A27" s="265" t="inlineStr">
        <is>
          <t xml:space="preserve">Status of the chosen medium</t>
        </is>
      </c>
      <c r="B27" s="266" t="inlineStr">
        <is>
          <t xml:space="preserve">med_status_sel</t>
        </is>
      </c>
      <c r="C27" s="265" t="inlineStr">
        <is>
          <t xml:space="preserve">-</t>
        </is>
      </c>
      <c r="D27" s="216" t="str">
        <f>INDEX(Media!med_status,1,med_idx)</f>
        <v>Recommended</v>
      </c>
      <c r="E27" s="316" t="inlineStr">
        <is>
          <t xml:space="preserve">→ Media</t>
        </is>
      </c>
      <c r="F27"/>
      <c r="G27"/>
    </row>
    <row r="28" x14ac:dyDescent="0.2" ht="27" customHeight="1">
      <c r="A28" s="265" t="inlineStr">
        <is>
          <t xml:space="preserve">Recipe total phosphate</t>
        </is>
      </c>
      <c r="B28" s="266" t="inlineStr">
        <is>
          <t xml:space="preserve">med_PT_rec</t>
        </is>
      </c>
      <c r="C28" s="265" t="inlineStr">
        <is>
          <t xml:space="preserve">mol/L</t>
        </is>
      </c>
      <c r="D28" s="210">
        <f>INDEX(Media!med_PT,1,med_idx)/1000</f>
        <v>0.060006530132</v>
      </c>
      <c r="E28" s="316" t="inlineStr">
        <is>
          <t xml:space="preserve">→ Media (mM ÷ 1000)</t>
        </is>
      </c>
      <c r="F28"/>
      <c r="G28"/>
    </row>
    <row r="29" x14ac:dyDescent="0.2" ht="27" customHeight="1">
      <c r="A29" s="265" t="inlineStr">
        <is>
          <t xml:space="preserve">Recipe strong-ion difference</t>
        </is>
      </c>
      <c r="B29" s="266" t="inlineStr">
        <is>
          <t xml:space="preserve">med_SID_rec</t>
        </is>
      </c>
      <c r="C29" s="265" t="inlineStr">
        <is>
          <t xml:space="preserve">mol/L</t>
        </is>
      </c>
      <c r="D29" s="210">
        <f>INDEX(Media!med_SID,1,med_idx)/1000</f>
        <v>0.115446909129</v>
      </c>
      <c r="E29" s="316" t="inlineStr">
        <is>
          <t xml:space="preserve">→ Media (mM ÷ 1000)</t>
        </is>
      </c>
      <c r="F29"/>
      <c r="G29"/>
    </row>
    <row r="30" x14ac:dyDescent="0.2" ht="27" customHeight="1">
      <c r="A30" s="265" t="inlineStr">
        <is>
          <t xml:space="preserve">Recipe total ammonium</t>
        </is>
      </c>
      <c r="B30" s="266" t="inlineStr">
        <is>
          <t xml:space="preserve">med_NT_rec</t>
        </is>
      </c>
      <c r="C30" s="265" t="inlineStr">
        <is>
          <t xml:space="preserve">mol/L</t>
        </is>
      </c>
      <c r="D30" s="210">
        <f>INDEX(Media!med_NT,1,med_idx)/1000</f>
        <v>0.014272741032</v>
      </c>
      <c r="E30" s="316" t="inlineStr">
        <is>
          <t xml:space="preserve">→ Media (mM ÷ 1000)</t>
        </is>
      </c>
      <c r="F30"/>
      <c r="G30"/>
    </row>
    <row r="31" x14ac:dyDescent="0.2" ht="27" customHeight="1">
      <c r="A31" s="265" t="inlineStr">
        <is>
          <t xml:space="preserve">Recipe chloride</t>
        </is>
      </c>
      <c r="B31" s="266" t="inlineStr">
        <is>
          <t xml:space="preserve">med_Cl_rec</t>
        </is>
      </c>
      <c r="C31" s="265" t="inlineStr">
        <is>
          <t xml:space="preserve">mol/L</t>
        </is>
      </c>
      <c r="D31" s="210">
        <f>INDEX(Media!med_Cl,1,med_idx)/1000</f>
        <v>0.0</v>
      </c>
      <c r="E31" s="316" t="inlineStr">
        <is>
          <t xml:space="preserve">→ Media (mM ÷ 1000)</t>
        </is>
      </c>
      <c r="F31"/>
      <c r="G31"/>
    </row>
    <row r="32" x14ac:dyDescent="0.2" ht="27" customHeight="1">
      <c r="A32" s="265" t="inlineStr">
        <is>
          <t xml:space="preserve">Recipe ionic strength (as weighed)</t>
        </is>
      </c>
      <c r="B32" s="266" t="inlineStr">
        <is>
          <t xml:space="preserve">med_I_rec</t>
        </is>
      </c>
      <c r="C32" s="265" t="inlineStr">
        <is>
          <t xml:space="preserve">mol/L</t>
        </is>
      </c>
      <c r="D32" s="210">
        <f>INDEX(Media!med_I,1,med_idx)/1000</f>
        <v>0.200184197377</v>
      </c>
      <c r="E32" s="316" t="inlineStr">
        <is>
          <t xml:space="preserve">→ Media (mM ÷ 1000)</t>
        </is>
      </c>
      <c r="F32"/>
      <c r="G32"/>
    </row>
    <row r="33" x14ac:dyDescent="0.2" ht="27" customHeight="1">
      <c r="A33" s="265" t="inlineStr">
        <is>
          <t xml:space="preserve">Recipe ideal conductivity (Kohlrausch sum)</t>
        </is>
      </c>
      <c r="B33" s="266" t="inlineStr">
        <is>
          <t xml:space="preserve">med_kappa0_rec</t>
        </is>
      </c>
      <c r="C33" s="265" t="inlineStr">
        <is>
          <t xml:space="preserve">S/m</t>
        </is>
      </c>
      <c r="D33" s="198">
        <f>INDEX(Media!med_kappa0,1,med_idx)/10</f>
        <v>1.63320712873</v>
      </c>
      <c r="E33" s="316" t="inlineStr">
        <is>
          <t xml:space="preserve">→ Media (mS/cm ÷ 10)</t>
        </is>
      </c>
      <c r="F33"/>
      <c r="G33"/>
    </row>
    <row r="34">
      <c r="A34"/>
      <c r="B34"/>
      <c r="C34"/>
      <c r="D34"/>
      <c r="E34"/>
      <c r="F34"/>
      <c r="G34"/>
    </row>
    <row r="35" x14ac:dyDescent="0.2">
      <c r="A35" s="265" t="inlineStr">
        <is>
          <t xml:space="preserve">Molar mass of (NH₄)₂SO₄</t>
        </is>
      </c>
      <c r="B35" s="266" t="inlineStr">
        <is>
          <t xml:space="preserve">MW_NH42SO4</t>
        </is>
      </c>
      <c r="C35" s="265" t="inlineStr">
        <is>
          <t xml:space="preserve">g/mol</t>
        </is>
      </c>
      <c r="D35" s="268">
        <v>132.14</v>
      </c>
      <c r="E35" s="316" t="inlineStr">
        <is>
          <t xml:space="preserve">Formula molar mass (handbook); used by the nitrogen-source swap below.</t>
        </is>
      </c>
      <c r="F35"/>
      <c r="G35"/>
    </row>
    <row r="36" x14ac:dyDescent="0.2">
      <c r="A36" s="265" t="inlineStr">
        <is>
          <t xml:space="preserve">Molar mass of K₂SO₄</t>
        </is>
      </c>
      <c r="B36" s="266" t="inlineStr">
        <is>
          <t xml:space="preserve">MW_K2SO4</t>
        </is>
      </c>
      <c r="C36" s="265" t="inlineStr">
        <is>
          <t xml:space="preserve">g/mol</t>
        </is>
      </c>
      <c r="D36" s="268">
        <v>174.26</v>
      </c>
      <c r="E36" s="316" t="inlineStr">
        <is>
          <t xml:space="preserve">Formula molar mass (handbook); used by the nitrogen-source swap below.</t>
        </is>
      </c>
      <c r="F36"/>
      <c r="G36"/>
    </row>
    <row r="37" x14ac:dyDescent="0.2" ht="27" customHeight="1">
      <c r="A37" s="265"/>
      <c r="B37" s="266"/>
      <c r="C37" s="265"/>
      <c r="D37" s="210"/>
      <c r="E37" s="306"/>
      <c r="F37"/>
      <c r="G37"/>
    </row>
    <row r="38" x14ac:dyDescent="0.2" hidden="1">
      <c r="A38" s="265"/>
      <c r="B38" s="266"/>
      <c r="C38" s="265"/>
      <c r="D38" s="262"/>
      <c r="E38" s="306"/>
      <c r="F38"/>
      <c r="G38"/>
    </row>
    <row r="39" x14ac:dyDescent="0.2" hidden="1">
      <c r="A39" s="265"/>
      <c r="B39" s="266"/>
      <c r="C39" s="265"/>
      <c r="D39" s="210"/>
      <c r="E39" s="306"/>
      <c r="F39"/>
      <c r="G39"/>
    </row>
    <row r="40" x14ac:dyDescent="0.2" hidden="1">
      <c r="A40" s="265"/>
      <c r="B40" s="266"/>
      <c r="C40" s="265"/>
      <c r="D40" s="210"/>
      <c r="E40" s="306"/>
      <c r="F40"/>
      <c r="G40"/>
    </row>
    <row r="41" x14ac:dyDescent="0.2" hidden="1">
      <c r="A41" s="265"/>
      <c r="B41" s="266"/>
      <c r="C41" s="265"/>
      <c r="D41" s="209"/>
      <c r="E41" s="306"/>
      <c r="F41"/>
      <c r="G41"/>
    </row>
    <row r="42" x14ac:dyDescent="0.2" hidden="1">
      <c r="A42" s="265"/>
      <c r="B42" s="266"/>
      <c r="C42" s="265"/>
      <c r="D42" s="209"/>
      <c r="E42" s="306"/>
      <c r="F42"/>
      <c r="G42"/>
    </row>
    <row r="43" hidden="1"/>
    <row r="44" x14ac:dyDescent="0.2" ht="64.5" customHeight="1">
      <c r="A44" t="s" s="265">
        <v>833</v>
      </c>
      <c r="B44" t="s" s="266">
        <v>834</v>
      </c>
      <c r="C44" t="s" s="265">
        <v>835</v>
      </c>
      <c r="D44" s="199">
        <f>pH_SID_rec+IF(N_src_idx=1,0,pH_NT_rec)</f>
        <v>0.115446909129</v>
      </c>
      <c r="E44" t="inlineStr" s="303">
        <is>
          <t>Recipe strong-ion difference plus any NaHCO₃ added on Summary (D332), plus the recipe ammonium when the nitrogen source is nitrate or urea: the (NH₄)₂SO₄ is then swapped for K₂SO₄, a strong cation in place of NH₄⁺ (D326 section).</t>
        </is>
      </c>
    </row>
    <row r="45" x14ac:dyDescent="0.2">
      <c r="A45" t="s" s="265">
        <v>836</v>
      </c>
      <c r="B45" t="s" s="266">
        <v>837</v>
      </c>
      <c r="C45" t="s" s="265">
        <v>838</v>
      </c>
      <c r="D45" s="210">
        <f>med_PT_rec</f>
        <v>0.060006530132</v>
      </c>
      <c r="E45" s="316" t="inlineStr">
        <is>
          <t xml:space="preserve">The chosen medium (D28).</t>
        </is>
      </c>
    </row>
    <row r="46" x14ac:dyDescent="0.2" ht="39.5" customHeight="1">
      <c r="A46" t="s" s="265">
        <v>840</v>
      </c>
      <c r="B46" t="s" s="266">
        <v>841</v>
      </c>
      <c r="C46" t="s" s="265">
        <v>842</v>
      </c>
      <c r="D46" s="210">
        <f>IF(N_src_idx=1,pH_NT_rec,0)</f>
        <v>0.014272741032</v>
      </c>
      <c r="E46" t="inlineStr" s="303">
        <is>
          <t>The recipe ammonium when it is the nitrogen source; 0 for nitrate or urea, whose recipe swaps (NH₄)₂SO₄ for K₂SO₄ (D326 section).</t>
        </is>
      </c>
    </row>
    <row r="47" x14ac:dyDescent="0.2">
      <c r="A47" t="s" s="265">
        <v>844</v>
      </c>
      <c r="B47" t="s" s="266">
        <v>845</v>
      </c>
      <c r="C47" t="s" s="265">
        <v>846</v>
      </c>
      <c r="D47" s="262">
        <f>med_Cl_rec</f>
        <v>0.0</v>
      </c>
      <c r="E47" s="316" t="inlineStr">
        <is>
          <t xml:space="preserve">The chosen medium (D31).</t>
        </is>
      </c>
    </row>
    <row r="49" x14ac:dyDescent="0.2">
      <c r="A49" t="s" s="263">
        <v>1633</v>
      </c>
      <c r="B49" t="s" s="263">
        <v>848</v>
      </c>
      <c r="C49" t="s" s="263">
        <v>849</v>
      </c>
      <c r="D49" t="inlineStr" s="263">
        <is>
          <t>End: ammonium residual</t>
        </is>
      </c>
      <c r="E49" t="inlineStr" s="263">
        <is>
          <t>End: ammonium root</t>
        </is>
      </c>
      <c r="F49" t="inlineStr" s="263">
        <is>
          <t>End: nitrate residual</t>
        </is>
      </c>
      <c r="G49" t="inlineStr" s="263">
        <is>
          <t>End: nitrate root</t>
        </is>
      </c>
      <c r="H49" t="inlineStr" s="263">
        <is>
          <t>End: urea residual</t>
        </is>
      </c>
      <c r="I49" t="inlineStr" s="263">
        <is>
          <t>End: urea root</t>
        </is>
      </c>
    </row>
    <row r="50" x14ac:dyDescent="0.2">
      <c r="A50" s="268">
        <v>4</v>
      </c>
      <c r="B50" s="210">
        <f t="shared" ref="B50:B81" si="1">pH_SID + pH_NT*(10^-A50)/((10^-A50)+KaN_c) + (10^-A50) - (pH_PT*Ka1p_c*(10^-A50)^2 + 2*pH_PT*Ka1p_c*Ka2p_c*(10^-A50) + 3*pH_PT*Ka1p_c*Ka2p_c*Ka3p_c)/((10^-A50)^3 + Ka1p_c*(10^-A50)^2 + Ka1p_c*Ka2p_c*(10^-A50) + Ka1p_c*Ka2p_c*Ka3p_c) - Ka1c_c*CO2aqc/(10^-A50) - 2*Ka1c_c*Ka2c_c*CO2aqc/(10^-A50)^2 - Kw_c/(10^-A50)</f>
        <v>0.069960755105</v>
      </c>
      <c r="C50" s="262">
        <f t="shared" ref="C50:C81" si="2">IF(AND(B50&gt;=0,B51&lt;0),A50+pH_step*B50/(B50-B51),0)</f>
        <v>0.0</v>
      </c>
      <c r="D50" s="210">
        <f>SID_end_A + NT_end_A*(10^-A50)/((10^-A50)+KaN_c) + (10^-A50) - (pH_PT*Ka1p_c*(10^-A50)^2 + 2*pH_PT*Ka1p_c*Ka2p_c*(10^-A50) + 3*pH_PT*Ka1p_c*Ka2p_c*Ka3p_c)/((10^-A50)^3 + Ka1p_c*(10^-A50)^2 + Ka1p_c*Ka2p_c*(10^-A50) + Ka1p_c*Ka2p_c*Ka3p_c) - Ka1c_c*CO2aqc/(10^-A50) - 2*Ka1c_c*Ka2c_c*CO2aqc/(10^-A50)^2 - Kw_c/(10^-A50)</f>
        <v>0.061822031858</v>
      </c>
      <c r="E50" s="277">
        <f>IF(AND(D50&gt;=0,D51&lt;0),A50+pH_step*D50/(D50-D51),0)</f>
        <v>0.0</v>
      </c>
      <c r="F50" s="210">
        <f>SID_end_N + (10^-A50) - (pH_PT*Ka1p_c*(10^-A50)^2 + 2*pH_PT*Ka1p_c*Ka2p_c*(10^-A50) + 3*pH_PT*Ka1p_c*Ka2p_c*Ka3p_c)/((10^-A50)^3 + Ka1p_c*(10^-A50)^2 + Ka1p_c*Ka2p_c*(10^-A50) + Ka1p_c*Ka2p_c*Ka3p_c) - Ka1c_c*CO2aqc/(10^-A50) - 2*Ka1c_c*Ka2c_c*CO2aqc/(10^-A50)^2 - Kw_c/(10^-A50)</f>
        <v>0.07809965597</v>
      </c>
      <c r="G50" s="277">
        <f>IF(AND(F50&gt;=0,F51&lt;0),A50+pH_step*F50/(F50-F51),0)</f>
        <v>0.0</v>
      </c>
      <c r="H50" s="210">
        <f>SID_end_U + (10^-A50) - (pH_PT*Ka1p_c*(10^-A50)^2 + 2*pH_PT*Ka1p_c*Ka2p_c*(10^-A50) + 3*pH_PT*Ka1p_c*Ka2p_c*Ka3p_c)/((10^-A50)^3 + Ka1p_c*(10^-A50)^2 + Ka1p_c*Ka2p_c*(10^-A50) + Ka1p_c*Ka2p_c*Ka3p_c) - Ka1c_c*CO2aqc/(10^-A50) - 2*Ka1c_c*Ka2c_c*CO2aqc/(10^-A50)^2 - Kw_c/(10^-A50)</f>
        <v>0.069960868221</v>
      </c>
      <c r="I50" s="277">
        <f>IF(AND(H50&gt;=0,H51&lt;0),A50+pH_step*H50/(H50-H51),0)</f>
        <v>0.0</v>
      </c>
    </row>
    <row r="51" x14ac:dyDescent="0.2">
      <c r="A51" s="268">
        <v>4.0999999999999996</v>
      </c>
      <c r="B51" s="210">
        <f t="shared" si="1"/>
        <v>0.069750996782</v>
      </c>
      <c r="C51" s="262">
        <f t="shared" si="2"/>
        <v>0.0</v>
      </c>
      <c r="D51" s="210">
        <f>SID_end_A + NT_end_A*(10^-A51)/((10^-A51)+KaN_c) + (10^-A51) - (pH_PT*Ka1p_c*(10^-A51)^2 + 2*pH_PT*Ka1p_c*Ka2p_c*(10^-A51) + 3*pH_PT*Ka1p_c*Ka2p_c*Ka3p_c)/((10^-A51)^3 + Ka1p_c*(10^-A51)^2 + Ka1p_c*Ka2p_c*(10^-A51) + Ka1p_c*Ka2p_c*Ka3p_c) - Ka1c_c*CO2aqc/(10^-A51) - 2*Ka1c_c*Ka2c_c*CO2aqc/(10^-A51)^2 - Kw_c/(10^-A51)</f>
        <v>0.061612290237</v>
      </c>
      <c r="E51" s="277">
        <f>IF(AND(D51&gt;=0,D52&lt;0),A51+pH_step*D51/(D51-D52),0)</f>
        <v>0.0</v>
      </c>
      <c r="F51" s="210">
        <f>SID_end_N + (10^-A51) - (pH_PT*Ka1p_c*(10^-A51)^2 + 2*pH_PT*Ka1p_c*Ka2p_c*(10^-A51) + 3*pH_PT*Ka1p_c*Ka2p_c*Ka3p_c)/((10^-A51)^3 + Ka1p_c*(10^-A51)^2 + Ka1p_c*Ka2p_c*(10^-A51) + Ka1p_c*Ka2p_c*Ka3p_c) - Ka1c_c*CO2aqc/(10^-A51) - 2*Ka1c_c*Ka2c_c*CO2aqc/(10^-A51)^2 - Kw_c/(10^-A51)</f>
        <v>0.077889926936</v>
      </c>
      <c r="G51" s="277">
        <f>IF(AND(F51&gt;=0,F52&lt;0),A51+pH_step*F51/(F51-F52),0)</f>
        <v>0.0</v>
      </c>
      <c r="H51" s="210">
        <f>SID_end_U + (10^-A51) - (pH_PT*Ka1p_c*(10^-A51)^2 + 2*pH_PT*Ka1p_c*Ka2p_c*(10^-A51) + 3*pH_PT*Ka1p_c*Ka2p_c*Ka3p_c)/((10^-A51)^3 + Ka1p_c*(10^-A51)^2 + Ka1p_c*Ka2p_c*(10^-A51) + Ka1p_c*Ka2p_c*Ka3p_c) - Ka1c_c*CO2aqc/(10^-A51) - 2*Ka1c_c*Ka2c_c*CO2aqc/(10^-A51)^2 - Kw_c/(10^-A51)</f>
        <v>0.069751139187</v>
      </c>
      <c r="I51" s="277">
        <f>IF(AND(H51&gt;=0,H52&lt;0),A51+pH_step*H51/(H51-H52),0)</f>
        <v>0.0</v>
      </c>
    </row>
    <row r="52" x14ac:dyDescent="0.2">
      <c r="A52" s="268">
        <v>4.2</v>
      </c>
      <c r="B52" s="210">
        <f t="shared" si="1"/>
        <v>0.06954291094</v>
      </c>
      <c r="C52" s="262">
        <f t="shared" si="2"/>
        <v>0.0</v>
      </c>
      <c r="D52" s="210">
        <f>SID_end_A + NT_end_A*(10^-A52)/((10^-A52)+KaN_c) + (10^-A52) - (pH_PT*Ka1p_c*(10^-A52)^2 + 2*pH_PT*Ka1p_c*Ka2p_c*(10^-A52) + 3*pH_PT*Ka1p_c*Ka2p_c*Ka3p_c)/((10^-A52)^3 + Ka1p_c*(10^-A52)^2 + Ka1p_c*Ka2p_c*(10^-A52) + Ka1p_c*Ka2p_c*Ka3p_c) - Ka1c_c*CO2aqc/(10^-A52) - 2*Ka1c_c*Ka2c_c*CO2aqc/(10^-A52)^2 - Kw_c/(10^-A52)</f>
        <v>0.06140422542</v>
      </c>
      <c r="E52" s="277">
        <f>IF(AND(D52&gt;=0,D53&lt;0),A52+pH_step*D52/(D52-D53),0)</f>
        <v>0.0</v>
      </c>
      <c r="F52" s="210">
        <f>SID_end_N + (10^-A52) - (pH_PT*Ka1p_c*(10^-A52)^2 + 2*pH_PT*Ka1p_c*Ka2p_c*(10^-A52) + 3*pH_PT*Ka1p_c*Ka2p_c*Ka3p_c)/((10^-A52)^3 + Ka1p_c*(10^-A52)^2 + Ka1p_c*Ka2p_c*(10^-A52) + Ka1p_c*Ka2p_c*Ka3p_c) - Ka1c_c*CO2aqc/(10^-A52) - 2*Ka1c_c*Ka2c_c*CO2aqc/(10^-A52)^2 - Kw_c/(10^-A52)</f>
        <v>0.077681877966</v>
      </c>
      <c r="G52" s="277">
        <f>IF(AND(F52&gt;=0,F53&lt;0),A52+pH_step*F52/(F52-F53),0)</f>
        <v>0.0</v>
      </c>
      <c r="H52" s="210">
        <f>SID_end_U + (10^-A52) - (pH_PT*Ka1p_c*(10^-A52)^2 + 2*pH_PT*Ka1p_c*Ka2p_c*(10^-A52) + 3*pH_PT*Ka1p_c*Ka2p_c*Ka3p_c)/((10^-A52)^3 + Ka1p_c*(10^-A52)^2 + Ka1p_c*Ka2p_c*(10^-A52) + Ka1p_c*Ka2p_c*Ka3p_c) - Ka1c_c*CO2aqc/(10^-A52) - 2*Ka1c_c*Ka2c_c*CO2aqc/(10^-A52)^2 - Kw_c/(10^-A52)</f>
        <v>0.069543090217</v>
      </c>
      <c r="I52" s="277">
        <f>IF(AND(H52&gt;=0,H53&lt;0),A52+pH_step*H52/(H52-H53),0)</f>
        <v>0.0</v>
      </c>
    </row>
    <row r="53" x14ac:dyDescent="0.2">
      <c r="A53" s="268">
        <v>4.3</v>
      </c>
      <c r="B53" s="210">
        <f t="shared" si="1"/>
        <v>0.069325606345</v>
      </c>
      <c r="C53" s="262">
        <f t="shared" si="2"/>
        <v>0.0</v>
      </c>
      <c r="D53" s="210">
        <f>SID_end_A + NT_end_A*(10^-A53)/((10^-A53)+KaN_c) + (10^-A53) - (pH_PT*Ka1p_c*(10^-A53)^2 + 2*pH_PT*Ka1p_c*Ka2p_c*(10^-A53) + 3*pH_PT*Ka1p_c*Ka2p_c*Ka3p_c)/((10^-A53)^3 + Ka1p_c*(10^-A53)^2 + Ka1p_c*Ka2p_c*(10^-A53) + Ka1p_c*Ka2p_c*Ka3p_c) - Ka1c_c*CO2aqc/(10^-A53) - 2*Ka1c_c*Ka2c_c*CO2aqc/(10^-A53)^2 - Kw_c/(10^-A53)</f>
        <v>0.061186947295</v>
      </c>
      <c r="E53" s="277">
        <f>IF(AND(D53&gt;=0,D54&lt;0),A53+pH_step*D53/(D53-D54),0)</f>
        <v>0.0</v>
      </c>
      <c r="F53" s="210">
        <f>SID_end_N + (10^-A53) - (pH_PT*Ka1p_c*(10^-A53)^2 + 2*pH_PT*Ka1p_c*Ka2p_c*(10^-A53) + 3*pH_PT*Ka1p_c*Ka2p_c*Ka3p_c)/((10^-A53)^3 + Ka1p_c*(10^-A53)^2 + Ka1p_c*Ka2p_c*(10^-A53) + Ka1p_c*Ka2p_c*Ka3p_c) - Ka1c_c*CO2aqc/(10^-A53) - 2*Ka1c_c*Ka2c_c*CO2aqc/(10^-A53)^2 - Kw_c/(10^-A53)</f>
        <v>0.077464619789</v>
      </c>
      <c r="G53" s="277">
        <f>IF(AND(F53&gt;=0,F54&lt;0),A53+pH_step*F53/(F53-F54),0)</f>
        <v>0.0</v>
      </c>
      <c r="H53" s="210">
        <f>SID_end_U + (10^-A53) - (pH_PT*Ka1p_c*(10^-A53)^2 + 2*pH_PT*Ka1p_c*Ka2p_c*(10^-A53) + 3*pH_PT*Ka1p_c*Ka2p_c*Ka3p_c)/((10^-A53)^3 + Ka1p_c*(10^-A53)^2 + Ka1p_c*Ka2p_c*(10^-A53) + Ka1p_c*Ka2p_c*Ka3p_c) - Ka1c_c*CO2aqc/(10^-A53) - 2*Ka1c_c*Ka2c_c*CO2aqc/(10^-A53)^2 - Kw_c/(10^-A53)</f>
        <v>0.06932583204</v>
      </c>
      <c r="I53" s="277">
        <f>IF(AND(H53&gt;=0,H54&lt;0),A53+pH_step*H53/(H53-H54),0)</f>
        <v>0.0</v>
      </c>
    </row>
    <row r="54" x14ac:dyDescent="0.2">
      <c r="A54" s="268">
        <v>4.4000000000000004</v>
      </c>
      <c r="B54" s="210">
        <f t="shared" si="1"/>
        <v>0.069087668243</v>
      </c>
      <c r="C54" s="262">
        <f t="shared" si="2"/>
        <v>0.0</v>
      </c>
      <c r="D54" s="210">
        <f>SID_end_A + NT_end_A*(10^-A54)/((10^-A54)+KaN_c) + (10^-A54) - (pH_PT*Ka1p_c*(10^-A54)^2 + 2*pH_PT*Ka1p_c*Ka2p_c*(10^-A54) + 3*pH_PT*Ka1p_c*Ka2p_c*Ka3p_c)/((10^-A54)^3 + Ka1p_c*(10^-A54)^2 + Ka1p_c*Ka2p_c*(10^-A54) + Ka1p_c*Ka2p_c*Ka3p_c) - Ka1c_c*CO2aqc/(10^-A54) - 2*Ka1c_c*Ka2c_c*CO2aqc/(10^-A54)^2 - Kw_c/(10^-A54)</f>
        <v>0.060949042515</v>
      </c>
      <c r="E54" s="277">
        <f>IF(AND(D54&gt;=0,D55&lt;0),A54+pH_step*D54/(D54-D55),0)</f>
        <v>0.0</v>
      </c>
      <c r="F54" s="210">
        <f>SID_end_N + (10^-A54) - (pH_PT*Ka1p_c*(10^-A54)^2 + 2*pH_PT*Ka1p_c*Ka2p_c*(10^-A54) + 3*pH_PT*Ka1p_c*Ka2p_c*Ka3p_c)/((10^-A54)^3 + Ka1p_c*(10^-A54)^2 + Ka1p_c*Ka2p_c*(10^-A54) + Ka1p_c*Ka2p_c*Ka3p_c) - Ka1c_c*CO2aqc/(10^-A54) - 2*Ka1c_c*Ka2c_c*CO2aqc/(10^-A54)^2 - Kw_c/(10^-A54)</f>
        <v>0.077226740124</v>
      </c>
      <c r="G54" s="277">
        <f>IF(AND(F54&gt;=0,F55&lt;0),A54+pH_step*F54/(F54-F55),0)</f>
        <v>0.0</v>
      </c>
      <c r="H54" s="210">
        <f>SID_end_U + (10^-A54) - (pH_PT*Ka1p_c*(10^-A54)^2 + 2*pH_PT*Ka1p_c*Ka2p_c*(10^-A54) + 3*pH_PT*Ka1p_c*Ka2p_c*Ka3p_c)/((10^-A54)^3 + Ka1p_c*(10^-A54)^2 + Ka1p_c*Ka2p_c*(10^-A54) + Ka1p_c*Ka2p_c*Ka3p_c) - Ka1c_c*CO2aqc/(10^-A54) - 2*Ka1c_c*Ka2c_c*CO2aqc/(10^-A54)^2 - Kw_c/(10^-A54)</f>
        <v>0.069087952375</v>
      </c>
      <c r="I54" s="277">
        <f>IF(AND(H54&gt;=0,H55&lt;0),A54+pH_step*H54/(H54-H55),0)</f>
        <v>0.0</v>
      </c>
    </row>
    <row r="55" x14ac:dyDescent="0.2">
      <c r="A55" s="268">
        <v>4.5</v>
      </c>
      <c r="B55" s="210">
        <f t="shared" si="1"/>
        <v>0.068816583704</v>
      </c>
      <c r="C55" s="262">
        <f t="shared" si="2"/>
        <v>0.0</v>
      </c>
      <c r="D55" s="210">
        <f>SID_end_A + NT_end_A*(10^-A55)/((10^-A55)+KaN_c) + (10^-A55) - (pH_PT*Ka1p_c*(10^-A55)^2 + 2*pH_PT*Ka1p_c*Ka2p_c*(10^-A55) + 3*pH_PT*Ka1p_c*Ka2p_c*Ka3p_c)/((10^-A55)^3 + Ka1p_c*(10^-A55)^2 + Ka1p_c*Ka2p_c*(10^-A55) + Ka1p_c*Ka2p_c*Ka3p_c) - Ka1c_c*CO2aqc/(10^-A55) - 2*Ka1c_c*Ka2c_c*CO2aqc/(10^-A55)^2 - Kw_c/(10^-A55)</f>
        <v>0.060677999927</v>
      </c>
      <c r="E55" s="277">
        <f>IF(AND(D55&gt;=0,D56&lt;0),A55+pH_step*D55/(D55-D56),0)</f>
        <v>0.0</v>
      </c>
      <c r="F55" s="210">
        <f>SID_end_N + (10^-A55) - (pH_PT*Ka1p_c*(10^-A55)^2 + 2*pH_PT*Ka1p_c*Ka2p_c*(10^-A55) + 3*pH_PT*Ka1p_c*Ka2p_c*Ka3p_c)/((10^-A55)^3 + Ka1p_c*(10^-A55)^2 + Ka1p_c*Ka2p_c*(10^-A55) + Ka1p_c*Ka2p_c*Ka3p_c) - Ka1c_c*CO2aqc/(10^-A55) - 2*Ka1c_c*Ka2c_c*CO2aqc/(10^-A55)^2 - Kw_c/(10^-A55)</f>
        <v>0.076955729152</v>
      </c>
      <c r="G55" s="277">
        <f>IF(AND(F55&gt;=0,F56&lt;0),A55+pH_step*F55/(F55-F56),0)</f>
        <v>0.0</v>
      </c>
      <c r="H55" s="210">
        <f>SID_end_U + (10^-A55) - (pH_PT*Ka1p_c*(10^-A55)^2 + 2*pH_PT*Ka1p_c*Ka2p_c*(10^-A55) + 3*pH_PT*Ka1p_c*Ka2p_c*Ka3p_c)/((10^-A55)^3 + Ka1p_c*(10^-A55)^2 + Ka1p_c*Ka2p_c*(10^-A55) + Ka1p_c*Ka2p_c*Ka3p_c) - Ka1c_c*CO2aqc/(10^-A55) - 2*Ka1c_c*Ka2c_c*CO2aqc/(10^-A55)^2 - Kw_c/(10^-A55)</f>
        <v>0.068816941403</v>
      </c>
      <c r="I55" s="277">
        <f>IF(AND(H55&gt;=0,H56&lt;0),A55+pH_step*H55/(H55-H56),0)</f>
        <v>0.0</v>
      </c>
    </row>
    <row r="56" x14ac:dyDescent="0.2">
      <c r="A56" s="268">
        <v>4.5999999999999996</v>
      </c>
      <c r="B56" s="210">
        <f t="shared" si="1"/>
        <v>0.068498108613</v>
      </c>
      <c r="C56" s="262">
        <f t="shared" si="2"/>
        <v>0.0</v>
      </c>
      <c r="D56" s="210">
        <f>SID_end_A + NT_end_A*(10^-A56)/((10^-A56)+KaN_c) + (10^-A56) - (pH_PT*Ka1p_c*(10^-A56)^2 + 2*pH_PT*Ka1p_c*Ka2p_c*(10^-A56) + 3*pH_PT*Ka1p_c*Ka2p_c*Ka3p_c)/((10^-A56)^3 + Ka1p_c*(10^-A56)^2 + Ka1p_c*Ka2p_c*(10^-A56) + Ka1p_c*Ka2p_c*Ka3p_c) - Ka1c_c*CO2aqc/(10^-A56) - 2*Ka1c_c*Ka2c_c*CO2aqc/(10^-A56)^2 - Kw_c/(10^-A56)</f>
        <v>0.060359577648</v>
      </c>
      <c r="E56" s="277">
        <f>IF(AND(D56&gt;=0,D57&lt;0),A56+pH_step*D56/(D56-D57),0)</f>
        <v>0.0</v>
      </c>
      <c r="F56" s="210">
        <f>SID_end_N + (10^-A56) - (pH_PT*Ka1p_c*(10^-A56)^2 + 2*pH_PT*Ka1p_c*Ka2p_c*(10^-A56) + 3*pH_PT*Ka1p_c*Ka2p_c*Ka3p_c)/((10^-A56)^3 + Ka1p_c*(10^-A56)^2 + Ka1p_c*Ka2p_c*(10^-A56) + Ka1p_c*Ka2p_c*Ka3p_c) - Ka1c_c*CO2aqc/(10^-A56) - 2*Ka1c_c*Ka2c_c*CO2aqc/(10^-A56)^2 - Kw_c/(10^-A56)</f>
        <v>0.076637346676</v>
      </c>
      <c r="G56" s="277">
        <f>IF(AND(F56&gt;=0,F57&lt;0),A56+pH_step*F56/(F56-F57),0)</f>
        <v>0.0</v>
      </c>
      <c r="H56" s="210">
        <f>SID_end_U + (10^-A56) - (pH_PT*Ka1p_c*(10^-A56)^2 + 2*pH_PT*Ka1p_c*Ka2p_c*(10^-A56) + 3*pH_PT*Ka1p_c*Ka2p_c*Ka3p_c)/((10^-A56)^3 + Ka1p_c*(10^-A56)^2 + Ka1p_c*Ka2p_c*(10^-A56) + Ka1p_c*Ka2p_c*Ka3p_c) - Ka1c_c*CO2aqc/(10^-A56) - 2*Ka1c_c*Ka2c_c*CO2aqc/(10^-A56)^2 - Kw_c/(10^-A56)</f>
        <v>0.068498558927</v>
      </c>
      <c r="I56" s="277">
        <f>IF(AND(H56&gt;=0,H57&lt;0),A56+pH_step*H56/(H56-H57),0)</f>
        <v>0.0</v>
      </c>
    </row>
    <row r="57" x14ac:dyDescent="0.2">
      <c r="A57" s="268">
        <v>4.7</v>
      </c>
      <c r="B57" s="210">
        <f t="shared" si="1"/>
        <v>0.068115549423</v>
      </c>
      <c r="C57" s="262">
        <f t="shared" si="2"/>
        <v>0.0</v>
      </c>
      <c r="D57" s="210">
        <f>SID_end_A + NT_end_A*(10^-A57)/((10^-A57)+KaN_c) + (10^-A57) - (pH_PT*Ka1p_c*(10^-A57)^2 + 2*pH_PT*Ka1p_c*Ka2p_c*(10^-A57) + 3*pH_PT*Ka1p_c*Ka2p_c*Ka3p_c)/((10^-A57)^3 + Ka1p_c*(10^-A57)^2 + Ka1p_c*Ka2p_c*(10^-A57) + Ka1p_c*Ka2p_c*Ka3p_c) - Ka1c_c*CO2aqc/(10^-A57) - 2*Ka1c_c*Ka2c_c*CO2aqc/(10^-A57)^2 - Kw_c/(10^-A57)</f>
        <v>0.059977084943</v>
      </c>
      <c r="E57" s="277">
        <f>IF(AND(D57&gt;=0,D58&lt;0),A57+pH_step*D57/(D57-D58),0)</f>
        <v>0.0</v>
      </c>
      <c r="F57" s="210">
        <f>SID_end_N + (10^-A57) - (pH_PT*Ka1p_c*(10^-A57)^2 + 2*pH_PT*Ka1p_c*Ka2p_c*(10^-A57) + 3*pH_PT*Ka1p_c*Ka2p_c*Ka3p_c)/((10^-A57)^3 + Ka1p_c*(10^-A57)^2 + Ka1p_c*Ka2p_c*(10^-A57) + Ka1p_c*Ka2p_c*Ka3p_c) - Ka1c_c*CO2aqc/(10^-A57) - 2*Ka1c_c*Ka2c_c*CO2aqc/(10^-A57)^2 - Kw_c/(10^-A57)</f>
        <v>0.076254904079</v>
      </c>
      <c r="G57" s="277">
        <f>IF(AND(F57&gt;=0,F58&lt;0),A57+pH_step*F57/(F57-F58),0)</f>
        <v>0.0</v>
      </c>
      <c r="H57" s="210">
        <f>SID_end_U + (10^-A57) - (pH_PT*Ka1p_c*(10^-A57)^2 + 2*pH_PT*Ka1p_c*Ka2p_c*(10^-A57) + 3*pH_PT*Ka1p_c*Ka2p_c*Ka3p_c)/((10^-A57)^3 + Ka1p_c*(10^-A57)^2 + Ka1p_c*Ka2p_c*(10^-A57) + Ka1p_c*Ka2p_c*Ka3p_c) - Ka1c_c*CO2aqc/(10^-A57) - 2*Ka1c_c*Ka2c_c*CO2aqc/(10^-A57)^2 - Kw_c/(10^-A57)</f>
        <v>0.06811611633</v>
      </c>
      <c r="I57" s="277">
        <f>IF(AND(H57&gt;=0,H58&lt;0),A57+pH_step*H57/(H57-H58),0)</f>
        <v>0.0</v>
      </c>
    </row>
    <row r="58" x14ac:dyDescent="0.2">
      <c r="A58" s="268">
        <v>4.8</v>
      </c>
      <c r="B58" s="210">
        <f t="shared" si="1"/>
        <v>0.067648929538</v>
      </c>
      <c r="C58" s="262">
        <f t="shared" si="2"/>
        <v>0.0</v>
      </c>
      <c r="D58" s="210">
        <f>SID_end_A + NT_end_A*(10^-A58)/((10^-A58)+KaN_c) + (10^-A58) - (pH_PT*Ka1p_c*(10^-A58)^2 + 2*pH_PT*Ka1p_c*Ka2p_c*(10^-A58) + 3*pH_PT*Ka1p_c*Ka2p_c*Ka3p_c)/((10^-A58)^3 + Ka1p_c*(10^-A58)^2 + Ka1p_c*Ka2p_c*(10^-A58) + Ka1p_c*Ka2p_c*Ka3p_c) - Ka1c_c*CO2aqc/(10^-A58) - 2*Ka1c_c*Ka2c_c*CO2aqc/(10^-A58)^2 - Kw_c/(10^-A58)</f>
        <v>0.059510548757</v>
      </c>
      <c r="E58" s="277">
        <f>IF(AND(D58&gt;=0,D59&lt;0),A58+pH_step*D58/(D58-D59),0)</f>
        <v>0.0</v>
      </c>
      <c r="F58" s="210">
        <f>SID_end_N + (10^-A58) - (pH_PT*Ka1p_c*(10^-A58)^2 + 2*pH_PT*Ka1p_c*Ka2p_c*(10^-A58) + 3*pH_PT*Ka1p_c*Ka2p_c*Ka3p_c)/((10^-A58)^3 + Ka1p_c*(10^-A58)^2 + Ka1p_c*Ka2p_c*(10^-A58) + Ka1p_c*Ka2p_c*Ka3p_c) - Ka1c_c*CO2aqc/(10^-A58) - 2*Ka1c_c*Ka2c_c*CO2aqc/(10^-A58)^2 - Kw_c/(10^-A58)</f>
        <v>0.075788430974</v>
      </c>
      <c r="G58" s="277">
        <f>IF(AND(F58&gt;=0,F59&lt;0),A58+pH_step*F58/(F58-F59),0)</f>
        <v>0.0</v>
      </c>
      <c r="H58" s="210">
        <f>SID_end_U + (10^-A58) - (pH_PT*Ka1p_c*(10^-A58)^2 + 2*pH_PT*Ka1p_c*Ka2p_c*(10^-A58) + 3*pH_PT*Ka1p_c*Ka2p_c*Ka3p_c)/((10^-A58)^3 + Ka1p_c*(10^-A58)^2 + Ka1p_c*Ka2p_c*(10^-A58) + Ka1p_c*Ka2p_c*Ka3p_c) - Ka1c_c*CO2aqc/(10^-A58) - 2*Ka1c_c*Ka2c_c*CO2aqc/(10^-A58)^2 - Kw_c/(10^-A58)</f>
        <v>0.067649643225</v>
      </c>
      <c r="I58" s="277">
        <f>IF(AND(H58&gt;=0,H59&lt;0),A58+pH_step*H58/(H58-H59),0)</f>
        <v>0.0</v>
      </c>
    </row>
    <row r="59" x14ac:dyDescent="0.2">
      <c r="A59" s="268">
        <v>4.9000000000000004</v>
      </c>
      <c r="B59" s="210">
        <f t="shared" si="1"/>
        <v>0.067074006902</v>
      </c>
      <c r="C59" s="262">
        <f t="shared" si="2"/>
        <v>0.0</v>
      </c>
      <c r="D59" s="210">
        <f>SID_end_A + NT_end_A*(10^-A59)/((10^-A59)+KaN_c) + (10^-A59) - (pH_PT*Ka1p_c*(10^-A59)^2 + 2*pH_PT*Ka1p_c*Ka2p_c*(10^-A59) + 3*pH_PT*Ka1p_c*Ka2p_c*Ka3p_c)/((10^-A59)^3 + Ka1p_c*(10^-A59)^2 + Ka1p_c*Ka2p_c*(10^-A59) + Ka1p_c*Ka2p_c*Ka3p_c) - Ka1c_c*CO2aqc/(10^-A59) - 2*Ka1c_c*Ka2c_c*CO2aqc/(10^-A59)^2 - Kw_c/(10^-A59)</f>
        <v>0.058935731488</v>
      </c>
      <c r="E59" s="277">
        <f>IF(AND(D59&gt;=0,D60&lt;0),A59+pH_step*D59/(D59-D60),0)</f>
        <v>0.0</v>
      </c>
      <c r="F59" s="210">
        <f>SID_end_N + (10^-A59) - (pH_PT*Ka1p_c*(10^-A59)^2 + 2*pH_PT*Ka1p_c*Ka2p_c*(10^-A59) + 3*pH_PT*Ka1p_c*Ka2p_c*Ka3p_c)/((10^-A59)^3 + Ka1p_c*(10^-A59)^2 + Ka1p_c*Ka2p_c*(10^-A59) + Ka1p_c*Ka2p_c*Ka3p_c) - Ka1c_c*CO2aqc/(10^-A59) - 2*Ka1c_c*Ka2c_c*CO2aqc/(10^-A59)^2 - Kw_c/(10^-A59)</f>
        <v>0.075213693117</v>
      </c>
      <c r="G59" s="277">
        <f>IF(AND(F59&gt;=0,F60&lt;0),A59+pH_step*F59/(F59-F60),0)</f>
        <v>0.0</v>
      </c>
      <c r="H59" s="210">
        <f>SID_end_U + (10^-A59) - (pH_PT*Ka1p_c*(10^-A59)^2 + 2*pH_PT*Ka1p_c*Ka2p_c*(10^-A59) + 3*pH_PT*Ka1p_c*Ka2p_c*Ka3p_c)/((10^-A59)^3 + Ka1p_c*(10^-A59)^2 + Ka1p_c*Ka2p_c*(10^-A59) + Ka1p_c*Ka2p_c*Ka3p_c) - Ka1c_c*CO2aqc/(10^-A59) - 2*Ka1c_c*Ka2c_c*CO2aqc/(10^-A59)^2 - Kw_c/(10^-A59)</f>
        <v>0.067074905368</v>
      </c>
      <c r="I59" s="277">
        <f>IF(AND(H59&gt;=0,H60&lt;0),A59+pH_step*H59/(H59-H60),0)</f>
        <v>0.0</v>
      </c>
    </row>
    <row r="60" x14ac:dyDescent="0.2">
      <c r="A60" s="268">
        <v>5</v>
      </c>
      <c r="B60" s="210">
        <f t="shared" si="1"/>
        <v>0.066361106084</v>
      </c>
      <c r="C60" s="262">
        <f t="shared" si="2"/>
        <v>0.0</v>
      </c>
      <c r="D60" s="210">
        <f>SID_end_A + NT_end_A*(10^-A60)/((10^-A60)+KaN_c) + (10^-A60) - (pH_PT*Ka1p_c*(10^-A60)^2 + 2*pH_PT*Ka1p_c*Ka2p_c*(10^-A60) + 3*pH_PT*Ka1p_c*Ka2p_c*Ka3p_c)/((10^-A60)^3 + Ka1p_c*(10^-A60)^2 + Ka1p_c*Ka2p_c*(10^-A60) + Ka1p_c*Ka2p_c*Ka3p_c) - Ka1c_c*CO2aqc/(10^-A60) - 2*Ka1c_c*Ka2c_c*CO2aqc/(10^-A60)^2 - Kw_c/(10^-A60)</f>
        <v>0.058222963316</v>
      </c>
      <c r="E60" s="277">
        <f>IF(AND(D60&gt;=0,D61&lt;0),A60+pH_step*D60/(D60-D61),0)</f>
        <v>0.0</v>
      </c>
      <c r="F60" s="210">
        <f>SID_end_N + (10^-A60) - (pH_PT*Ka1p_c*(10^-A60)^2 + 2*pH_PT*Ka1p_c*Ka2p_c*(10^-A60) + 3*pH_PT*Ka1p_c*Ka2p_c*Ka3p_c)/((10^-A60)^3 + Ka1p_c*(10^-A60)^2 + Ka1p_c*Ka2p_c*(10^-A60) + Ka1p_c*Ka2p_c*Ka3p_c) - Ka1c_c*CO2aqc/(10^-A60) - 2*Ka1c_c*Ka2c_c*CO2aqc/(10^-A60)^2 - Kw_c/(10^-A60)</f>
        <v>0.074501024917</v>
      </c>
      <c r="G60" s="277">
        <f>IF(AND(F60&gt;=0,F61&lt;0),A60+pH_step*F60/(F60-F61),0)</f>
        <v>0.0</v>
      </c>
      <c r="H60" s="210">
        <f>SID_end_U + (10^-A60) - (pH_PT*Ka1p_c*(10^-A60)^2 + 2*pH_PT*Ka1p_c*Ka2p_c*(10^-A60) + 3*pH_PT*Ka1p_c*Ka2p_c*Ka3p_c)/((10^-A60)^3 + Ka1p_c*(10^-A60)^2 + Ka1p_c*Ka2p_c*(10^-A60) + Ka1p_c*Ka2p_c*Ka3p_c) - Ka1c_c*CO2aqc/(10^-A60) - 2*Ka1c_c*Ka2c_c*CO2aqc/(10^-A60)^2 - Kw_c/(10^-A60)</f>
        <v>0.066362237168</v>
      </c>
      <c r="I60" s="277">
        <f>IF(AND(H60&gt;=0,H61&lt;0),A60+pH_step*H60/(H60-H61),0)</f>
        <v>0.0</v>
      </c>
    </row>
    <row r="61" x14ac:dyDescent="0.2">
      <c r="A61" s="268">
        <v>5.0999999999999996</v>
      </c>
      <c r="B61" s="210">
        <f t="shared" si="1"/>
        <v>0.065473725543</v>
      </c>
      <c r="C61" s="262">
        <f t="shared" si="2"/>
        <v>0.0</v>
      </c>
      <c r="D61" s="210">
        <f>SID_end_A + NT_end_A*(10^-A61)/((10^-A61)+KaN_c) + (10^-A61) - (pH_PT*Ka1p_c*(10^-A61)^2 + 2*pH_PT*Ka1p_c*Ka2p_c*(10^-A61) + 3*pH_PT*Ka1p_c*Ka2p_c*Ka3p_c)/((10^-A61)^3 + Ka1p_c*(10^-A61)^2 + Ka1p_c*Ka2p_c*(10^-A61) + Ka1p_c*Ka2p_c*Ka3p_c) - Ka1c_c*CO2aqc/(10^-A61) - 2*Ka1c_c*Ka2c_c*CO2aqc/(10^-A61)^2 - Kw_c/(10^-A61)</f>
        <v>0.057335749761</v>
      </c>
      <c r="E61" s="277">
        <f>IF(AND(D61&gt;=0,D62&lt;0),A61+pH_step*D61/(D61-D62),0)</f>
        <v>0.0</v>
      </c>
      <c r="F61" s="210">
        <f>SID_end_N + (10^-A61) - (pH_PT*Ka1p_c*(10^-A61)^2 + 2*pH_PT*Ka1p_c*Ka2p_c*(10^-A61) + 3*pH_PT*Ka1p_c*Ka2p_c*Ka3p_c)/((10^-A61)^3 + Ka1p_c*(10^-A61)^2 + Ka1p_c*Ka2p_c*(10^-A61) + Ka1p_c*Ka2p_c*Ka3p_c) - Ka1c_c*CO2aqc/(10^-A61) - 2*Ka1c_c*Ka2c_c*CO2aqc/(10^-A61)^2 - Kw_c/(10^-A61)</f>
        <v>0.073613937213</v>
      </c>
      <c r="G61" s="277">
        <f>IF(AND(F61&gt;=0,F62&lt;0),A61+pH_step*F61/(F61-F62),0)</f>
        <v>0.0</v>
      </c>
      <c r="H61" s="210">
        <f>SID_end_U + (10^-A61) - (pH_PT*Ka1p_c*(10^-A61)^2 + 2*pH_PT*Ka1p_c*Ka2p_c*(10^-A61) + 3*pH_PT*Ka1p_c*Ka2p_c*Ka3p_c)/((10^-A61)^3 + Ka1p_c*(10^-A61)^2 + Ka1p_c*Ka2p_c*(10^-A61) + Ka1p_c*Ka2p_c*Ka3p_c) - Ka1c_c*CO2aqc/(10^-A61) - 2*Ka1c_c*Ka2c_c*CO2aqc/(10^-A61)^2 - Kw_c/(10^-A61)</f>
        <v>0.065475149464</v>
      </c>
      <c r="I61" s="277">
        <f>IF(AND(H61&gt;=0,H62&lt;0),A61+pH_step*H61/(H61-H62),0)</f>
        <v>0.0</v>
      </c>
    </row>
    <row r="62" x14ac:dyDescent="0.2">
      <c r="A62" s="268">
        <v>5.2</v>
      </c>
      <c r="B62" s="210">
        <f t="shared" si="1"/>
        <v>0.064366879223</v>
      </c>
      <c r="C62" s="262">
        <f t="shared" si="2"/>
        <v>0.0</v>
      </c>
      <c r="D62" s="210">
        <f>SID_end_A + NT_end_A*(10^-A62)/((10^-A62)+KaN_c) + (10^-A62) - (pH_PT*Ka1p_c*(10^-A62)^2 + 2*pH_PT*Ka1p_c*Ka2p_c*(10^-A62) + 3*pH_PT*Ka1p_c*Ka2p_c*Ka3p_c)/((10^-A62)^3 + Ka1p_c*(10^-A62)^2 + Ka1p_c*Ka2p_c*(10^-A62) + Ka1p_c*Ka2p_c*Ka3p_c) - Ka1c_c*CO2aqc/(10^-A62) - 2*Ka1c_c*Ka2c_c*CO2aqc/(10^-A62)^2 - Kw_c/(10^-A62)</f>
        <v>0.056229113653</v>
      </c>
      <c r="E62" s="277">
        <f>IF(AND(D62&gt;=0,D63&lt;0),A62+pH_step*D62/(D62-D63),0)</f>
        <v>0.0</v>
      </c>
      <c r="F62" s="210">
        <f>SID_end_N + (10^-A62) - (pH_PT*Ka1p_c*(10^-A62)^2 + 2*pH_PT*Ka1p_c*Ka2p_c*(10^-A62) + 3*pH_PT*Ka1p_c*Ka2p_c*Ka3p_c)/((10^-A62)^3 + Ka1p_c*(10^-A62)^2 + Ka1p_c*Ka2p_c*(10^-A62) + Ka1p_c*Ka2p_c*Ka3p_c) - Ka1c_c*CO2aqc/(10^-A62) - 2*Ka1c_c*Ka2c_c*CO2aqc/(10^-A62)^2 - Kw_c/(10^-A62)</f>
        <v>0.072507459535</v>
      </c>
      <c r="G62" s="277">
        <f>IF(AND(F62&gt;=0,F63&lt;0),A62+pH_step*F62/(F62-F63),0)</f>
        <v>0.0</v>
      </c>
      <c r="H62" s="210">
        <f>SID_end_U + (10^-A62) - (pH_PT*Ka1p_c*(10^-A62)^2 + 2*pH_PT*Ka1p_c*Ka2p_c*(10^-A62) + 3*pH_PT*Ka1p_c*Ka2p_c*Ka3p_c)/((10^-A62)^3 + Ka1p_c*(10^-A62)^2 + Ka1p_c*Ka2p_c*(10^-A62) + Ka1p_c*Ka2p_c*Ka3p_c) - Ka1c_c*CO2aqc/(10^-A62) - 2*Ka1c_c*Ka2c_c*CO2aqc/(10^-A62)^2 - Kw_c/(10^-A62)</f>
        <v>0.064368671786</v>
      </c>
      <c r="I62" s="277">
        <f>IF(AND(H62&gt;=0,H63&lt;0),A62+pH_step*H62/(H62-H63),0)</f>
        <v>0.0</v>
      </c>
    </row>
    <row r="63" x14ac:dyDescent="0.2">
      <c r="A63" s="268">
        <v>5.3</v>
      </c>
      <c r="B63" s="210">
        <f t="shared" si="1"/>
        <v>0.062985132154</v>
      </c>
      <c r="C63" s="262">
        <f t="shared" si="2"/>
        <v>0.0</v>
      </c>
      <c r="D63" s="210">
        <f>SID_end_A + NT_end_A*(10^-A63)/((10^-A63)+KaN_c) + (10^-A63) - (pH_PT*Ka1p_c*(10^-A63)^2 + 2*pH_PT*Ka1p_c*Ka2p_c*(10^-A63) + 3*pH_PT*Ka1p_c*Ka2p_c*Ka3p_c)/((10^-A63)^3 + Ka1p_c*(10^-A63)^2 + Ka1p_c*Ka2p_c*(10^-A63) + Ka1p_c*Ka2p_c*Ka3p_c) - Ka1c_c*CO2aqc/(10^-A63) - 2*Ka1c_c*Ka2c_c*CO2aqc/(10^-A63)^2 - Kw_c/(10^-A63)</f>
        <v>0.05484763121</v>
      </c>
      <c r="E63" s="277">
        <f>IF(AND(D63&gt;=0,D64&lt;0),A63+pH_step*D63/(D63-D64),0)</f>
        <v>0.0</v>
      </c>
      <c r="F63" s="210">
        <f>SID_end_N + (10^-A63) - (pH_PT*Ka1p_c*(10^-A63)^2 + 2*pH_PT*Ka1p_c*Ka2p_c*(10^-A63) + 3*pH_PT*Ka1p_c*Ka2p_c*Ka3p_c)/((10^-A63)^3 + Ka1p_c*(10^-A63)^2 + Ka1p_c*Ka2p_c*(10^-A63) + Ka1p_c*Ka2p_c*Ka3p_c) - Ka1c_c*CO2aqc/(10^-A63) - 2*Ka1c_c*Ka2c_c*CO2aqc/(10^-A63)^2 - Kw_c/(10^-A63)</f>
        <v>0.071126176533</v>
      </c>
      <c r="G63" s="277">
        <f>IF(AND(F63&gt;=0,F64&lt;0),A63+pH_step*F63/(F63-F64),0)</f>
        <v>0.0</v>
      </c>
      <c r="H63" s="210">
        <f>SID_end_U + (10^-A63) - (pH_PT*Ka1p_c*(10^-A63)^2 + 2*pH_PT*Ka1p_c*Ka2p_c*(10^-A63) + 3*pH_PT*Ka1p_c*Ka2p_c*Ka3p_c)/((10^-A63)^3 + Ka1p_c*(10^-A63)^2 + Ka1p_c*Ka2p_c*(10^-A63) + Ka1p_c*Ka2p_c*Ka3p_c) - Ka1c_c*CO2aqc/(10^-A63) - 2*Ka1c_c*Ka2c_c*CO2aqc/(10^-A63)^2 - Kw_c/(10^-A63)</f>
        <v>0.062987388784</v>
      </c>
      <c r="I63" s="277">
        <f>IF(AND(H63&gt;=0,H64&lt;0),A63+pH_step*H63/(H63-H64),0)</f>
        <v>0.0</v>
      </c>
    </row>
    <row r="64" x14ac:dyDescent="0.2">
      <c r="A64" s="268">
        <v>5.4</v>
      </c>
      <c r="B64" s="210">
        <f t="shared" si="1"/>
        <v>0.061260292859</v>
      </c>
      <c r="C64" s="262">
        <f t="shared" si="2"/>
        <v>0.0</v>
      </c>
      <c r="D64" s="210">
        <f>SID_end_A + NT_end_A*(10^-A64)/((10^-A64)+KaN_c) + (10^-A64) - (pH_PT*Ka1p_c*(10^-A64)^2 + 2*pH_PT*Ka1p_c*Ka2p_c*(10^-A64) + 3*pH_PT*Ka1p_c*Ka2p_c*Ka3p_c)/((10^-A64)^3 + Ka1p_c*(10^-A64)^2 + Ka1p_c*Ka2p_c*(10^-A64) + Ka1p_c*Ka2p_c*Ka3p_c) - Ka1c_c*CO2aqc/(10^-A64) - 2*Ka1c_c*Ka2c_c*CO2aqc/(10^-A64)^2 - Kw_c/(10^-A64)</f>
        <v>0.053123125035</v>
      </c>
      <c r="E64" s="277">
        <f>IF(AND(D64&gt;=0,D65&lt;0),A64+pH_step*D64/(D64-D65),0)</f>
        <v>0.0</v>
      </c>
      <c r="F64" s="210">
        <f>SID_end_N + (10^-A64) - (pH_PT*Ka1p_c*(10^-A64)^2 + 2*pH_PT*Ka1p_c*Ka2p_c*(10^-A64) + 3*pH_PT*Ka1p_c*Ka2p_c*Ka3p_c)/((10^-A64)^3 + Ka1p_c*(10^-A64)^2 + Ka1p_c*Ka2p_c*(10^-A64) + Ka1p_c*Ka2p_c*Ka3p_c) - Ka1c_c*CO2aqc/(10^-A64) - 2*Ka1c_c*Ka2c_c*CO2aqc/(10^-A64)^2 - Kw_c/(10^-A64)</f>
        <v>0.069401921421</v>
      </c>
      <c r="G64" s="277">
        <f>IF(AND(F64&gt;=0,F65&lt;0),A64+pH_step*F64/(F64-F65),0)</f>
        <v>0.0</v>
      </c>
      <c r="H64" s="210">
        <f>SID_end_U + (10^-A64) - (pH_PT*Ka1p_c*(10^-A64)^2 + 2*pH_PT*Ka1p_c*Ka2p_c*(10^-A64) + 3*pH_PT*Ka1p_c*Ka2p_c*Ka3p_c)/((10^-A64)^3 + Ka1p_c*(10^-A64)^2 + Ka1p_c*Ka2p_c*(10^-A64) + Ka1p_c*Ka2p_c*Ka3p_c) - Ka1c_c*CO2aqc/(10^-A64) - 2*Ka1c_c*Ka2c_c*CO2aqc/(10^-A64)^2 - Kw_c/(10^-A64)</f>
        <v>0.061263133672</v>
      </c>
      <c r="I64" s="277">
        <f>IF(AND(H64&gt;=0,H65&lt;0),A64+pH_step*H64/(H64-H65),0)</f>
        <v>0.0</v>
      </c>
    </row>
    <row r="65" x14ac:dyDescent="0.2">
      <c r="A65" s="268">
        <v>5.5</v>
      </c>
      <c r="B65" s="210">
        <f t="shared" si="1"/>
        <v>0.059108731043</v>
      </c>
      <c r="C65" s="262">
        <f t="shared" si="2"/>
        <v>0.0</v>
      </c>
      <c r="D65" s="210">
        <f>SID_end_A + NT_end_A*(10^-A65)/((10^-A65)+KaN_c) + (10^-A65) - (pH_PT*Ka1p_c*(10^-A65)^2 + 2*pH_PT*Ka1p_c*Ka2p_c*(10^-A65) + 3*pH_PT*Ka1p_c*Ka2p_c*Ka3p_c)/((10^-A65)^3 + Ka1p_c*(10^-A65)^2 + Ka1p_c*Ka2p_c*(10^-A65) + Ka1p_c*Ka2p_c*Ka3p_c) - Ka1c_c*CO2aqc/(10^-A65) - 2*Ka1c_c*Ka2c_c*CO2aqc/(10^-A65)^2 - Kw_c/(10^-A65)</f>
        <v>0.050971982554</v>
      </c>
      <c r="E65" s="277">
        <f>IF(AND(D65&gt;=0,D66&lt;0),A65+pH_step*D65/(D65-D66),0)</f>
        <v>0.0</v>
      </c>
      <c r="F65" s="210">
        <f>SID_end_N + (10^-A65) - (pH_PT*Ka1p_c*(10^-A65)^2 + 2*pH_PT*Ka1p_c*Ka2p_c*(10^-A65) + 3*pH_PT*Ka1p_c*Ka2p_c*Ka3p_c)/((10^-A65)^3 + Ka1p_c*(10^-A65)^2 + Ka1p_c*Ka2p_c*(10^-A65) + Ka1p_c*Ka2p_c*Ka3p_c) - Ka1c_c*CO2aqc/(10^-A65) - 2*Ka1c_c*Ka2c_c*CO2aqc/(10^-A65)^2 - Kw_c/(10^-A65)</f>
        <v>0.067251094979</v>
      </c>
      <c r="G65" s="277">
        <f>IF(AND(F65&gt;=0,F66&lt;0),A65+pH_step*F65/(F65-F66),0)</f>
        <v>0.0</v>
      </c>
      <c r="H65" s="210">
        <f>SID_end_U + (10^-A65) - (pH_PT*Ka1p_c*(10^-A65)^2 + 2*pH_PT*Ka1p_c*Ka2p_c*(10^-A65) + 3*pH_PT*Ka1p_c*Ka2p_c*Ka3p_c)/((10^-A65)^3 + Ka1p_c*(10^-A65)^2 + Ka1p_c*Ka2p_c*(10^-A65) + Ka1p_c*Ka2p_c*Ka3p_c) - Ka1c_c*CO2aqc/(10^-A65) - 2*Ka1c_c*Ka2c_c*CO2aqc/(10^-A65)^2 - Kw_c/(10^-A65)</f>
        <v>0.05911230723</v>
      </c>
      <c r="I65" s="277">
        <f>IF(AND(H65&gt;=0,H66&lt;0),A65+pH_step*H65/(H65-H66),0)</f>
        <v>0.0</v>
      </c>
    </row>
    <row r="66" x14ac:dyDescent="0.2">
      <c r="A66" s="268">
        <v>5.6</v>
      </c>
      <c r="B66" s="210">
        <f t="shared" si="1"/>
        <v>0.056428295479</v>
      </c>
      <c r="C66" s="262">
        <f t="shared" si="2"/>
        <v>0.0</v>
      </c>
      <c r="D66" s="210">
        <f>SID_end_A + NT_end_A*(10^-A66)/((10^-A66)+KaN_c) + (10^-A66) - (pH_PT*Ka1p_c*(10^-A66)^2 + 2*pH_PT*Ka1p_c*Ka2p_c*(10^-A66) + 3*pH_PT*Ka1p_c*Ka2p_c*Ka3p_c)/((10^-A66)^3 + Ka1p_c*(10^-A66)^2 + Ka1p_c*Ka2p_c*(10^-A66) + Ka1p_c*Ka2p_c*Ka3p_c) - Ka1c_c*CO2aqc/(10^-A66) - 2*Ka1c_c*Ka2c_c*CO2aqc/(10^-A66)^2 - Kw_c/(10^-A66)</f>
        <v>0.04829207484</v>
      </c>
      <c r="E66" s="277">
        <f>IF(AND(D66&gt;=0,D67&lt;0),A66+pH_step*D66/(D66-D67),0)</f>
        <v>0.0</v>
      </c>
      <c r="F66" s="210">
        <f>SID_end_N + (10^-A66) - (pH_PT*Ka1p_c*(10^-A66)^2 + 2*pH_PT*Ka1p_c*Ka2p_c*(10^-A66) + 3*pH_PT*Ka1p_c*Ka2p_c*Ka3p_c)/((10^-A66)^3 + Ka1p_c*(10^-A66)^2 + Ka1p_c*Ka2p_c*(10^-A66) + Ka1p_c*Ka2p_c*Ka3p_c) - Ka1c_c*CO2aqc/(10^-A66) - 2*Ka1c_c*Ka2c_c*CO2aqc/(10^-A66)^2 - Kw_c/(10^-A66)</f>
        <v>0.064571585089</v>
      </c>
      <c r="G66" s="277">
        <f>IF(AND(F66&gt;=0,F67&lt;0),A66+pH_step*F66/(F66-F67),0)</f>
        <v>0.0</v>
      </c>
      <c r="H66" s="210">
        <f>SID_end_U + (10^-A66) - (pH_PT*Ka1p_c*(10^-A66)^2 + 2*pH_PT*Ka1p_c*Ka2p_c*(10^-A66) + 3*pH_PT*Ka1p_c*Ka2p_c*Ka3p_c)/((10^-A66)^3 + Ka1p_c*(10^-A66)^2 + Ka1p_c*Ka2p_c*(10^-A66) + Ka1p_c*Ka2p_c*Ka3p_c) - Ka1c_c*CO2aqc/(10^-A66) - 2*Ka1c_c*Ka2c_c*CO2aqc/(10^-A66)^2 - Kw_c/(10^-A66)</f>
        <v>0.05643279734</v>
      </c>
      <c r="I66" s="277">
        <f>IF(AND(H66&gt;=0,H67&lt;0),A66+pH_step*H66/(H66-H67),0)</f>
        <v>0.0</v>
      </c>
    </row>
    <row r="67" x14ac:dyDescent="0.2">
      <c r="A67" s="268">
        <v>5.7</v>
      </c>
      <c r="B67" s="210">
        <f t="shared" si="1"/>
        <v>0.053094808554</v>
      </c>
      <c r="C67" s="262">
        <f t="shared" si="2"/>
        <v>0.0</v>
      </c>
      <c r="D67" s="210">
        <f>SID_end_A + NT_end_A*(10^-A67)/((10^-A67)+KaN_c) + (10^-A67) - (pH_PT*Ka1p_c*(10^-A67)^2 + 2*pH_PT*Ka1p_c*Ka2p_c*(10^-A67) + 3*pH_PT*Ka1p_c*Ka2p_c*Ka3p_c)/((10^-A67)^3 + Ka1p_c*(10^-A67)^2 + Ka1p_c*Ka2p_c*(10^-A67) + Ka1p_c*Ka2p_c*Ka3p_c) - Ka1c_c*CO2aqc/(10^-A67) - 2*Ka1c_c*Ka2c_c*CO2aqc/(10^-A67)^2 - Kw_c/(10^-A67)</f>
        <v>0.04495925234</v>
      </c>
      <c r="E67" s="277">
        <f>IF(AND(D67&gt;=0,D68&lt;0),A67+pH_step*D67/(D67-D68),0)</f>
        <v>0.0</v>
      </c>
      <c r="F67" s="210">
        <f>SID_end_N + (10^-A67) - (pH_PT*Ka1p_c*(10^-A67)^2 + 2*pH_PT*Ka1p_c*Ka2p_c*(10^-A67) + 3*pH_PT*Ka1p_c*Ka2p_c*Ka3p_c)/((10^-A67)^3 + Ka1p_c*(10^-A67)^2 + Ka1p_c*Ka2p_c*(10^-A67) + Ka1p_c*Ka2p_c*Ka3p_c) - Ka1c_c*CO2aqc/(10^-A67) - 2*Ka1c_c*Ka2c_c*CO2aqc/(10^-A67)^2 - Kw_c/(10^-A67)</f>
        <v>0.061239263347</v>
      </c>
      <c r="G67" s="277">
        <f>IF(AND(F67&gt;=0,F68&lt;0),A67+pH_step*F67/(F67-F68),0)</f>
        <v>0.0</v>
      </c>
      <c r="H67" s="210">
        <f>SID_end_U + (10^-A67) - (pH_PT*Ka1p_c*(10^-A67)^2 + 2*pH_PT*Ka1p_c*Ka2p_c*(10^-A67) + 3*pH_PT*Ka1p_c*Ka2p_c*Ka3p_c)/((10^-A67)^3 + Ka1p_c*(10^-A67)^2 + Ka1p_c*Ka2p_c*(10^-A67) + Ka1p_c*Ka2p_c*Ka3p_c) - Ka1c_c*CO2aqc/(10^-A67) - 2*Ka1c_c*Ka2c_c*CO2aqc/(10^-A67)^2 - Kw_c/(10^-A67)</f>
        <v>0.053100475598</v>
      </c>
      <c r="I67" s="277">
        <f>IF(AND(H67&gt;=0,H68&lt;0),A67+pH_step*H67/(H67-H68),0)</f>
        <v>0.0</v>
      </c>
    </row>
    <row r="68" x14ac:dyDescent="0.2">
      <c r="A68" s="268">
        <v>5.8</v>
      </c>
      <c r="B68" s="210">
        <f t="shared" si="1"/>
        <v>0.048958098758</v>
      </c>
      <c r="C68" s="262">
        <f t="shared" si="2"/>
        <v>0.0</v>
      </c>
      <c r="D68" s="210">
        <f>SID_end_A + NT_end_A*(10^-A68)/((10^-A68)+KaN_c) + (10^-A68) - (pH_PT*Ka1p_c*(10^-A68)^2 + 2*pH_PT*Ka1p_c*Ka2p_c*(10^-A68) + 3*pH_PT*Ka1p_c*Ka2p_c*Ka3p_c)/((10^-A68)^3 + Ka1p_c*(10^-A68)^2 + Ka1p_c*Ka2p_c*(10^-A68) + Ka1p_c*Ka2p_c*Ka3p_c) - Ka1c_c*CO2aqc/(10^-A68) - 2*Ka1c_c*Ka2c_c*CO2aqc/(10^-A68)^2 - Kw_c/(10^-A68)</f>
        <v>0.040823378853</v>
      </c>
      <c r="E68" s="277">
        <f>IF(AND(D68&gt;=0,D69&lt;0),A68+pH_step*D68/(D68-D69),0)</f>
        <v>0.0</v>
      </c>
      <c r="F68" s="210">
        <f>SID_end_N + (10^-A68) - (pH_PT*Ka1p_c*(10^-A68)^2 + 2*pH_PT*Ka1p_c*Ka2p_c*(10^-A68) + 3*pH_PT*Ka1p_c*Ka2p_c*Ka3p_c)/((10^-A68)^3 + Ka1p_c*(10^-A68)^2 + Ka1p_c*Ka2p_c*(10^-A68) + Ka1p_c*Ka2p_c*Ka3p_c) - Ka1c_c*CO2aqc/(10^-A68) - 2*Ka1c_c*Ka2c_c*CO2aqc/(10^-A68)^2 - Kw_c/(10^-A68)</f>
        <v>0.057104020159</v>
      </c>
      <c r="G68" s="277">
        <f>IF(AND(F68&gt;=0,F69&lt;0),A68+pH_step*F68/(F68-F69),0)</f>
        <v>0.0</v>
      </c>
      <c r="H68" s="210">
        <f>SID_end_U + (10^-A68) - (pH_PT*Ka1p_c*(10^-A68)^2 + 2*pH_PT*Ka1p_c*Ka2p_c*(10^-A68) + 3*pH_PT*Ka1p_c*Ka2p_c*Ka3p_c)/((10^-A68)^3 + Ka1p_c*(10^-A68)^2 + Ka1p_c*Ka2p_c*(10^-A68) + Ka1p_c*Ka2p_c*Ka3p_c) - Ka1c_c*CO2aqc/(10^-A68) - 2*Ka1c_c*Ka2c_c*CO2aqc/(10^-A68)^2 - Kw_c/(10^-A68)</f>
        <v>0.04896523241</v>
      </c>
      <c r="I68" s="277">
        <f>IF(AND(H68&gt;=0,H69&lt;0),A68+pH_step*H68/(H68-H69),0)</f>
        <v>0.0</v>
      </c>
    </row>
    <row r="69" x14ac:dyDescent="0.2">
      <c r="A69" s="268">
        <v>5.9</v>
      </c>
      <c r="B69" s="210">
        <f t="shared" si="1"/>
        <v>0.043837479598</v>
      </c>
      <c r="C69" s="262">
        <f t="shared" si="2"/>
        <v>0.0</v>
      </c>
      <c r="D69" s="210">
        <f>SID_end_A + NT_end_A*(10^-A69)/((10^-A69)+KaN_c) + (10^-A69) - (pH_PT*Ka1p_c*(10^-A69)^2 + 2*pH_PT*Ka1p_c*Ka2p_c*(10^-A69) + 3*pH_PT*Ka1p_c*Ka2p_c*Ka3p_c)/((10^-A69)^3 + Ka1p_c*(10^-A69)^2 + Ka1p_c*Ka2p_c*(10^-A69) + Ka1p_c*Ka2p_c*Ka3p_c) - Ka1c_c*CO2aqc/(10^-A69) - 2*Ka1c_c*Ka2c_c*CO2aqc/(10^-A69)^2 - Kw_c/(10^-A69)</f>
        <v>0.035703812298</v>
      </c>
      <c r="E69" s="277">
        <f>IF(AND(D69&gt;=0,D70&lt;0),A69+pH_step*D69/(D69-D70),0)</f>
        <v>0.0</v>
      </c>
      <c r="F69" s="210">
        <f>SID_end_N + (10^-A69) - (pH_PT*Ka1p_c*(10^-A69)^2 + 2*pH_PT*Ka1p_c*Ka2p_c*(10^-A69) + 3*pH_PT*Ka1p_c*Ka2p_c*Ka3p_c)/((10^-A69)^3 + Ka1p_c*(10^-A69)^2 + Ka1p_c*Ka2p_c*(10^-A69) + Ka1p_c*Ka2p_c*Ka3p_c) - Ka1c_c*CO2aqc/(10^-A69) - 2*Ka1c_c*Ka2c_c*CO2aqc/(10^-A69)^2 - Kw_c/(10^-A69)</f>
        <v>0.051985246921</v>
      </c>
      <c r="G69" s="277">
        <f>IF(AND(F69&gt;=0,F70&lt;0),A69+pH_step*F69/(F69-F70),0)</f>
        <v>0.0</v>
      </c>
      <c r="H69" s="210">
        <f>SID_end_U + (10^-A69) - (pH_PT*Ka1p_c*(10^-A69)^2 + 2*pH_PT*Ka1p_c*Ka2p_c*(10^-A69) + 3*pH_PT*Ka1p_c*Ka2p_c*Ka3p_c)/((10^-A69)^3 + Ka1p_c*(10^-A69)^2 + Ka1p_c*Ka2p_c*(10^-A69) + Ka1p_c*Ka2p_c*Ka3p_c) - Ka1c_c*CO2aqc/(10^-A69) - 2*Ka1c_c*Ka2c_c*CO2aqc/(10^-A69)^2 - Kw_c/(10^-A69)</f>
        <v>0.043846459172</v>
      </c>
      <c r="I69" s="277">
        <f>IF(AND(H69&gt;=0,H70&lt;0),A69+pH_step*H69/(H69-H70),0)</f>
        <v>0.0</v>
      </c>
    </row>
    <row r="70" x14ac:dyDescent="0.2">
      <c r="A70" s="268">
        <v>6</v>
      </c>
      <c r="B70" s="210">
        <f t="shared" si="1"/>
        <v>0.037516462061</v>
      </c>
      <c r="C70" s="262">
        <f t="shared" si="2"/>
        <v>0.0</v>
      </c>
      <c r="D70" s="210">
        <f>SID_end_A + NT_end_A*(10^-A70)/((10^-A70)+KaN_c) + (10^-A70) - (pH_PT*Ka1p_c*(10^-A70)^2 + 2*pH_PT*Ka1p_c*Ka2p_c*(10^-A70) + 3*pH_PT*Ka1p_c*Ka2p_c*Ka3p_c)/((10^-A70)^3 + Ka1p_c*(10^-A70)^2 + Ka1p_c*Ka2p_c*(10^-A70) + Ka1p_c*Ka2p_c*Ka3p_c) - Ka1c_c*CO2aqc/(10^-A70) - 2*Ka1c_c*Ka2c_c*CO2aqc/(10^-A70)^2 - Kw_c/(10^-A70)</f>
        <v>0.029384119526</v>
      </c>
      <c r="E70" s="277">
        <f>IF(AND(D70&gt;=0,D71&lt;0),A70+pH_step*D70/(D70-D71),0)</f>
        <v>0.0</v>
      </c>
      <c r="F70" s="210">
        <f>SID_end_N + (10^-A70) - (pH_PT*Ka1p_c*(10^-A70)^2 + 2*pH_PT*Ka1p_c*Ka2p_c*(10^-A70) + 3*pH_PT*Ka1p_c*Ka2p_c*Ka3p_c)/((10^-A70)^3 + Ka1p_c*(10^-A70)^2 + Ka1p_c*Ka2p_c*(10^-A70) + Ka1p_c*Ka2p_c*Ka3p_c) - Ka1c_c*CO2aqc/(10^-A70) - 2*Ka1c_c*Ka2c_c*CO2aqc/(10^-A70)^2 - Kw_c/(10^-A70)</f>
        <v>0.045666552583</v>
      </c>
      <c r="G70" s="277">
        <f>IF(AND(F70&gt;=0,F71&lt;0),A70+pH_step*F70/(F70-F71),0)</f>
        <v>0.0</v>
      </c>
      <c r="H70" s="210">
        <f>SID_end_U + (10^-A70) - (pH_PT*Ka1p_c*(10^-A70)^2 + 2*pH_PT*Ka1p_c*Ka2p_c*(10^-A70) + 3*pH_PT*Ka1p_c*Ka2p_c*Ka3p_c)/((10^-A70)^3 + Ka1p_c*(10^-A70)^2 + Ka1p_c*Ka2p_c*(10^-A70) + Ka1p_c*Ka2p_c*Ka3p_c) - Ka1c_c*CO2aqc/(10^-A70) - 2*Ka1c_c*Ka2c_c*CO2aqc/(10^-A70)^2 - Kw_c/(10^-A70)</f>
        <v>0.037527764834</v>
      </c>
      <c r="I70" s="277">
        <f>IF(AND(H70&gt;=0,H71&lt;0),A70+pH_step*H70/(H70-H71),0)</f>
        <v>0.0</v>
      </c>
    </row>
    <row r="71" x14ac:dyDescent="0.2">
      <c r="A71" s="268">
        <v>6.1</v>
      </c>
      <c r="B71" s="210">
        <f t="shared" si="1"/>
        <v>0.029736261536</v>
      </c>
      <c r="C71" s="262">
        <f t="shared" si="2"/>
        <v>0.0</v>
      </c>
      <c r="D71" s="210">
        <f>SID_end_A + NT_end_A*(10^-A71)/((10^-A71)+KaN_c) + (10^-A71) - (pH_PT*Ka1p_c*(10^-A71)^2 + 2*pH_PT*Ka1p_c*Ka2p_c*(10^-A71) + 3*pH_PT*Ka1p_c*Ka2p_c*Ka3p_c)/((10^-A71)^3 + Ka1p_c*(10^-A71)^2 + Ka1p_c*Ka2p_c*(10^-A71) + Ka1p_c*Ka2p_c*Ka3p_c) - Ka1c_c*CO2aqc/(10^-A71) - 2*Ka1c_c*Ka2c_c*CO2aqc/(10^-A71)^2 - Kw_c/(10^-A71)</f>
        <v>0.021605586168</v>
      </c>
      <c r="E71" s="277">
        <f>IF(AND(D71&gt;=0,D72&lt;0),A71+pH_step*D71/(D71-D72),0)</f>
        <v>0.0</v>
      </c>
      <c r="F71" s="210">
        <f>SID_end_N + (10^-A71) - (pH_PT*Ka1p_c*(10^-A71)^2 + 2*pH_PT*Ka1p_c*Ka2p_c*(10^-A71) + 3*pH_PT*Ka1p_c*Ka2p_c*Ka3p_c)/((10^-A71)^3 + Ka1p_c*(10^-A71)^2 + Ka1p_c*Ka2p_c*(10^-A71) + Ka1p_c*Ka2p_c*Ka3p_c) - Ka1c_c*CO2aqc/(10^-A71) - 2*Ka1c_c*Ka2c_c*CO2aqc/(10^-A71)^2 - Kw_c/(10^-A71)</f>
        <v>0.037889275716</v>
      </c>
      <c r="G71" s="277">
        <f>IF(AND(F71&gt;=0,F72&lt;0),A71+pH_step*F71/(F71-F72),0)</f>
        <v>0.0</v>
      </c>
      <c r="H71" s="210">
        <f>SID_end_U + (10^-A71) - (pH_PT*Ka1p_c*(10^-A71)^2 + 2*pH_PT*Ka1p_c*Ka2p_c*(10^-A71) + 3*pH_PT*Ka1p_c*Ka2p_c*Ka3p_c)/((10^-A71)^3 + Ka1p_c*(10^-A71)^2 + Ka1p_c*Ka2p_c*(10^-A71) + Ka1p_c*Ka2p_c*Ka3p_c) - Ka1c_c*CO2aqc/(10^-A71) - 2*Ka1c_c*Ka2c_c*CO2aqc/(10^-A71)^2 - Kw_c/(10^-A71)</f>
        <v>0.029750487967</v>
      </c>
      <c r="I71" s="277">
        <f>IF(AND(H71&gt;=0,H72&lt;0),A71+pH_step*H71/(H71-H72),0)</f>
        <v>0.0</v>
      </c>
    </row>
    <row r="72" x14ac:dyDescent="0.2">
      <c r="A72" s="268">
        <v>6.2</v>
      </c>
      <c r="B72" s="210">
        <f t="shared" si="1"/>
        <v>0.020187301369</v>
      </c>
      <c r="C72" s="262">
        <f t="shared" si="2"/>
        <v>0.0</v>
      </c>
      <c r="D72" s="210">
        <f>SID_end_A + NT_end_A*(10^-A72)/((10^-A72)+KaN_c) + (10^-A72) - (pH_PT*Ka1p_c*(10^-A72)^2 + 2*pH_PT*Ka1p_c*Ka2p_c*(10^-A72) + 3*pH_PT*Ka1p_c*Ka2p_c*Ka3p_c)/((10^-A72)^3 + Ka1p_c*(10^-A72)^2 + Ka1p_c*Ka2p_c*(10^-A72) + Ka1p_c*Ka2p_c*Ka3p_c) - Ka1c_c*CO2aqc/(10^-A72) - 2*Ka1c_c*Ka2c_c*CO2aqc/(10^-A72)^2 - Kw_c/(10^-A72)</f>
        <v>0.012058723867</v>
      </c>
      <c r="E72" s="277">
        <f>IF(AND(D72&gt;=0,D73&lt;0),A72+pH_step*D72/(D72-D73),0)</f>
        <v>0.0</v>
      </c>
      <c r="F72" s="210">
        <f>SID_end_N + (10^-A72) - (pH_PT*Ka1p_c*(10^-A72)^2 + 2*pH_PT*Ka1p_c*Ka2p_c*(10^-A72) + 3*pH_PT*Ka1p_c*Ka2p_c*Ka3p_c)/((10^-A72)^3 + Ka1p_c*(10^-A72)^2 + Ka1p_c*Ka2p_c*(10^-A72) + Ka1p_c*Ka2p_c*Ka3p_c) - Ka1c_c*CO2aqc/(10^-A72) - 2*Ka1c_c*Ka2c_c*CO2aqc/(10^-A72)^2 - Kw_c/(10^-A72)</f>
        <v>0.028343994513</v>
      </c>
      <c r="G72" s="277">
        <f>IF(AND(F72&gt;=0,F73&lt;0),A72+pH_step*F72/(F72-F73),0)</f>
        <v>0.0</v>
      </c>
      <c r="H72" s="210">
        <f>SID_end_U + (10^-A72) - (pH_PT*Ka1p_c*(10^-A72)^2 + 2*pH_PT*Ka1p_c*Ka2p_c*(10^-A72) + 3*pH_PT*Ka1p_c*Ka2p_c*Ka3p_c)/((10^-A72)^3 + Ka1p_c*(10^-A72)^2 + Ka1p_c*Ka2p_c*(10^-A72) + Ka1p_c*Ka2p_c*Ka3p_c) - Ka1c_c*CO2aqc/(10^-A72) - 2*Ka1c_c*Ka2c_c*CO2aqc/(10^-A72)^2 - Kw_c/(10^-A72)</f>
        <v>0.020205206764</v>
      </c>
      <c r="I72" s="277">
        <f>IF(AND(H72&gt;=0,H73&lt;0),A72+pH_step*H72/(H72-H73),0)</f>
        <v>0.0</v>
      </c>
    </row>
    <row r="73" x14ac:dyDescent="0.2">
      <c r="A73" s="268">
        <v>6.3</v>
      </c>
      <c r="B73" s="209">
        <f t="shared" si="1"/>
        <v>0.008497431283</v>
      </c>
      <c r="C73" s="198">
        <f t="shared" si="2"/>
        <v>6.359495861596</v>
      </c>
      <c r="D73" s="209">
        <f>SID_end_A + NT_end_A*(10^-A73)/((10^-A73)+KaN_c) + (10^-A73) - (pH_PT*Ka1p_c*(10^-A73)^2 + 2*pH_PT*Ka1p_c*Ka2p_c*(10^-A73) + 3*pH_PT*Ka1p_c*Ka2p_c*Ka3p_c)/((10^-A73)^3 + Ka1p_c*(10^-A73)^2 + Ka1p_c*Ka2p_c*(10^-A73) + Ka1p_c*Ka2p_c*Ka3p_c) - Ka1c_c*CO2aqc/(10^-A73) - 2*Ka1c_c*Ka2c_c*CO2aqc/(10^-A73)^2 - Kw_c/(10^-A73)</f>
        <v>0.0003714932988227</v>
      </c>
      <c r="E73" s="198">
        <f>IF(AND(D73&gt;=0,D74&lt;0),A73+pH_step*D73/(D73-D74),0)</f>
        <v>6.302601663129</v>
      </c>
      <c r="F73" s="210">
        <f>SID_end_N + (10^-A73) - (pH_PT*Ka1p_c*(10^-A73)^2 + 2*pH_PT*Ka1p_c*Ka2p_c*(10^-A73) + 3*pH_PT*Ka1p_c*Ka2p_c*Ka3p_c)/((10^-A73)^3 + Ka1p_c*(10^-A73)^2 + Ka1p_c*Ka2p_c*(10^-A73) + Ka1p_c*Ka2p_c*Ka3p_c) - Ka1c_c*CO2aqc/(10^-A73) - 2*Ka1c_c*Ka2c_c*CO2aqc/(10^-A73)^2 - Kw_c/(10^-A73)</f>
        <v>0.016658753268</v>
      </c>
      <c r="G73" s="277">
        <f>IF(AND(F73&gt;=0,F74&lt;0),A73+pH_step*F73/(F73-F74),0)</f>
        <v>0.0</v>
      </c>
      <c r="H73" s="209">
        <f>SID_end_U + (10^-A73) - (pH_PT*Ka1p_c*(10^-A73)^2 + 2*pH_PT*Ka1p_c*Ka2p_c*(10^-A73) + 3*pH_PT*Ka1p_c*Ka2p_c*Ka3p_c)/((10^-A73)^3 + Ka1p_c*(10^-A73)^2 + Ka1p_c*Ka2p_c*(10^-A73) + Ka1p_c*Ka2p_c*Ka3p_c) - Ka1c_c*CO2aqc/(10^-A73) - 2*Ka1c_c*Ka2c_c*CO2aqc/(10^-A73)^2 - Kw_c/(10^-A73)</f>
        <v>0.008519965519</v>
      </c>
      <c r="I73" s="198">
        <f>IF(AND(H73&gt;=0,H74&lt;0),A73+pH_step*H73/(H73-H74),0)</f>
        <v>6.35967796935</v>
      </c>
    </row>
    <row r="74" x14ac:dyDescent="0.2">
      <c r="A74" s="268">
        <v>6.4</v>
      </c>
      <c r="B74" s="209">
        <f t="shared" si="1"/>
        <v>-0.005784959215</v>
      </c>
      <c r="C74" s="262">
        <f t="shared" si="2"/>
        <v>0.0</v>
      </c>
      <c r="D74" s="210">
        <f>SID_end_A + NT_end_A*(10^-A74)/((10^-A74)+KaN_c) + (10^-A74) - (pH_PT*Ka1p_c*(10^-A74)^2 + 2*pH_PT*Ka1p_c*Ka2p_c*(10^-A74) + 3*pH_PT*Ka1p_c*Ka2p_c*Ka3p_c)/((10^-A74)^3 + Ka1p_c*(10^-A74)^2 + Ka1p_c*Ka2p_c*(10^-A74) + Ka1p_c*Ka2p_c*Ka3p_c) - Ka1c_c*CO2aqc/(10^-A74) - 2*Ka1c_c*Ka2c_c*CO2aqc/(10^-A74)^2 - Kw_c/(10^-A74)</f>
        <v>-0.013907576678</v>
      </c>
      <c r="E74" s="277">
        <f>IF(AND(D74&gt;=0,D75&lt;0),A74+pH_step*D74/(D74-D75),0)</f>
        <v>0.0</v>
      </c>
      <c r="F74" s="209">
        <f>SID_end_N + (10^-A74) - (pH_PT*Ka1p_c*(10^-A74)^2 + 2*pH_PT*Ka1p_c*Ka2p_c*(10^-A74) + 3*pH_PT*Ka1p_c*Ka2p_c*Ka3p_c)/((10^-A74)^3 + Ka1p_c*(10^-A74)^2 + Ka1p_c*Ka2p_c*(10^-A74) + Ka1p_c*Ka2p_c*Ka3p_c) - Ka1c_c*CO2aqc/(10^-A74) - 2*Ka1c_c*Ka2c_c*CO2aqc/(10^-A74)^2 - Kw_c/(10^-A74)</f>
        <v>0.002382185865</v>
      </c>
      <c r="G74" s="198">
        <f>IF(AND(F74&gt;=0,F75&lt;0),A74+pH_step*F74/(F74-F75),0)</f>
        <v>6.413672714826</v>
      </c>
      <c r="H74" s="209">
        <f>SID_end_U + (10^-A74) - (pH_PT*Ka1p_c*(10^-A74)^2 + 2*pH_PT*Ka1p_c*Ka2p_c*(10^-A74) + 3*pH_PT*Ka1p_c*Ka2p_c*Ka3p_c)/((10^-A74)^3 + Ka1p_c*(10^-A74)^2 + Ka1p_c*Ka2p_c*(10^-A74) + Ka1p_c*Ka2p_c*Ka3p_c) - Ka1c_c*CO2aqc/(10^-A74) - 2*Ka1c_c*Ka2c_c*CO2aqc/(10^-A74)^2 - Kw_c/(10^-A74)</f>
        <v>-0.005756601884</v>
      </c>
      <c r="I74" s="277">
        <f>IF(AND(H74&gt;=0,H75&lt;0),A74+pH_step*H74/(H74-H75),0)</f>
        <v>0.0</v>
      </c>
    </row>
    <row r="75" x14ac:dyDescent="0.2">
      <c r="A75" s="268">
        <v>6.5</v>
      </c>
      <c r="B75" s="210">
        <f t="shared" si="1"/>
        <v>-0.023215201089</v>
      </c>
      <c r="C75" s="262">
        <f t="shared" si="2"/>
        <v>0.0</v>
      </c>
      <c r="D75" s="210">
        <f>SID_end_A + NT_end_A*(10^-A75)/((10^-A75)+KaN_c) + (10^-A75) - (pH_PT*Ka1p_c*(10^-A75)^2 + 2*pH_PT*Ka1p_c*Ka2p_c*(10^-A75) + 3*pH_PT*Ka1p_c*Ka2p_c*Ka3p_c)/((10^-A75)^3 + Ka1p_c*(10^-A75)^2 + Ka1p_c*Ka2p_c*(10^-A75) + Ka1p_c*Ka2p_c*Ka3p_c) - Ka1c_c*CO2aqc/(10^-A75) - 2*Ka1c_c*Ka2c_c*CO2aqc/(10^-A75)^2 - Kw_c/(10^-A75)</f>
        <v>-0.031333642122</v>
      </c>
      <c r="E75" s="277">
        <f>IF(AND(D75&gt;=0,D76&lt;0),A75+pH_step*D75/(D75-D76),0)</f>
        <v>0.0</v>
      </c>
      <c r="F75" s="210">
        <f>SID_end_N + (10^-A75) - (pH_PT*Ka1p_c*(10^-A75)^2 + 2*pH_PT*Ka1p_c*Ka2p_c*(10^-A75) + 3*pH_PT*Ka1p_c*Ka2p_c*Ka3p_c)/((10^-A75)^3 + Ka1p_c*(10^-A75)^2 + Ka1p_c*Ka2p_c*(10^-A75) + Ka1p_c*Ka2p_c*Ka3p_c) - Ka1c_c*CO2aqc/(10^-A75) - 2*Ka1c_c*Ka2c_c*CO2aqc/(10^-A75)^2 - Kw_c/(10^-A75)</f>
        <v>-0.015040731932</v>
      </c>
      <c r="G75" s="277">
        <f>IF(AND(F75&gt;=0,F76&lt;0),A75+pH_step*F75/(F75-F76),0)</f>
        <v>0.0</v>
      </c>
      <c r="H75" s="210">
        <f>SID_end_U + (10^-A75) - (pH_PT*Ka1p_c*(10^-A75)^2 + 2*pH_PT*Ka1p_c*Ka2p_c*(10^-A75) + 3*pH_PT*Ka1p_c*Ka2p_c*Ka3p_c)/((10^-A75)^3 + Ka1p_c*(10^-A75)^2 + Ka1p_c*Ka2p_c*(10^-A75) + Ka1p_c*Ka2p_c*Ka3p_c) - Ka1c_c*CO2aqc/(10^-A75) - 2*Ka1c_c*Ka2c_c*CO2aqc/(10^-A75)^2 - Kw_c/(10^-A75)</f>
        <v>-0.023179519681</v>
      </c>
      <c r="I75" s="277">
        <f>IF(AND(H75&gt;=0,H76&lt;0),A75+pH_step*H75/(H75-H76),0)</f>
        <v>0.0</v>
      </c>
    </row>
    <row r="76" x14ac:dyDescent="0.2">
      <c r="A76" s="268">
        <v>6.6</v>
      </c>
      <c r="B76" s="210">
        <f t="shared" si="1"/>
        <v>-0.044486437963</v>
      </c>
      <c r="C76" s="262">
        <f t="shared" si="2"/>
        <v>0.0</v>
      </c>
      <c r="D76" s="210">
        <f>SID_end_A + NT_end_A*(10^-A76)/((10^-A76)+KaN_c) + (10^-A76) - (pH_PT*Ka1p_c*(10^-A76)^2 + 2*pH_PT*Ka1p_c*Ka2p_c*(10^-A76) + 3*pH_PT*Ka1p_c*Ka2p_c*Ka3p_c)/((10^-A76)^3 + Ka1p_c*(10^-A76)^2 + Ka1p_c*Ka2p_c*(10^-A76) + Ka1p_c*Ka2p_c*Ka3p_c) - Ka1c_c*CO2aqc/(10^-A76) - 2*Ka1c_c*Ka2c_c*CO2aqc/(10^-A76)^2 - Kw_c/(10^-A76)</f>
        <v>-0.052599627285</v>
      </c>
      <c r="E76" s="277">
        <f>IF(AND(D76&gt;=0,D77&lt;0),A76+pH_step*D76/(D76-D77),0)</f>
        <v>0.0</v>
      </c>
      <c r="F76" s="210">
        <f>SID_end_N + (10^-A76) - (pH_PT*Ka1p_c*(10^-A76)^2 + 2*pH_PT*Ka1p_c*Ka2p_c*(10^-A76) + 3*pH_PT*Ka1p_c*Ka2p_c*Ka3p_c)/((10^-A76)^3 + Ka1p_c*(10^-A76)^2 + Ka1p_c*Ka2p_c*(10^-A76) + Ka1p_c*Ka2p_c*Ka3p_c) - Ka1c_c*CO2aqc/(10^-A76) - 2*Ka1c_c*Ka2c_c*CO2aqc/(10^-A76)^2 - Kw_c/(10^-A76)</f>
        <v>-0.036302759041</v>
      </c>
      <c r="G76" s="277">
        <f>IF(AND(F76&gt;=0,F77&lt;0),A76+pH_step*F76/(F76-F77),0)</f>
        <v>0.0</v>
      </c>
      <c r="H76" s="210">
        <f>SID_end_U + (10^-A76) - (pH_PT*Ka1p_c*(10^-A76)^2 + 2*pH_PT*Ka1p_c*Ka2p_c*(10^-A76) + 3*pH_PT*Ka1p_c*Ka2p_c*Ka3p_c)/((10^-A76)^3 + Ka1p_c*(10^-A76)^2 + Ka1p_c*Ka2p_c*(10^-A76) + Ka1p_c*Ka2p_c*Ka3p_c) - Ka1c_c*CO2aqc/(10^-A76) - 2*Ka1c_c*Ka2c_c*CO2aqc/(10^-A76)^2 - Kw_c/(10^-A76)</f>
        <v>-0.04444154679</v>
      </c>
      <c r="I76" s="277">
        <f>IF(AND(H76&gt;=0,H77&lt;0),A76+pH_step*H76/(H76-H77),0)</f>
        <v>0.0</v>
      </c>
    </row>
    <row r="77" x14ac:dyDescent="0.2">
      <c r="A77" s="268">
        <v>6.7</v>
      </c>
      <c r="B77" s="210">
        <f t="shared" si="1"/>
        <v>-0.070475853889</v>
      </c>
      <c r="C77" s="262">
        <f t="shared" si="2"/>
        <v>0.0</v>
      </c>
      <c r="D77" s="210">
        <f>SID_end_A + NT_end_A*(10^-A77)/((10^-A77)+KaN_c) + (10^-A77) - (pH_PT*Ka1p_c*(10^-A77)^2 + 2*pH_PT*Ka1p_c*Ka2p_c*(10^-A77) + 3*pH_PT*Ka1p_c*Ka2p_c*Ka3p_c)/((10^-A77)^3 + Ka1p_c*(10^-A77)^2 + Ka1p_c*Ka2p_c*(10^-A77) + Ka1p_c*Ka2p_c*Ka3p_c) - Ka1c_c*CO2aqc/(10^-A77) - 2*Ka1c_c*Ka2c_c*CO2aqc/(10^-A77)^2 - Kw_c/(10^-A77)</f>
        <v>-0.07858244135</v>
      </c>
      <c r="E77" s="277">
        <f>IF(AND(D77&gt;=0,D78&lt;0),A77+pH_step*D77/(D77-D78),0)</f>
        <v>0.0</v>
      </c>
      <c r="F77" s="210">
        <f>SID_end_N + (10^-A77) - (pH_PT*Ka1p_c*(10^-A77)^2 + 2*pH_PT*Ka1p_c*Ka2p_c*(10^-A77) + 3*pH_PT*Ka1p_c*Ka2p_c*Ka3p_c)/((10^-A77)^3 + Ka1p_c*(10^-A77)^2 + Ka1p_c*Ka2p_c*(10^-A77) + Ka1p_c*Ka2p_c*Ka3p_c) - Ka1c_c*CO2aqc/(10^-A77) - 2*Ka1c_c*Ka2c_c*CO2aqc/(10^-A77)^2 - Kw_c/(10^-A77)</f>
        <v>-0.062280597488</v>
      </c>
      <c r="G77" s="277">
        <f>IF(AND(F77&gt;=0,F78&lt;0),A77+pH_step*F77/(F77-F78),0)</f>
        <v>0.0</v>
      </c>
      <c r="H77" s="210">
        <f>SID_end_U + (10^-A77) - (pH_PT*Ka1p_c*(10^-A77)^2 + 2*pH_PT*Ka1p_c*Ka2p_c*(10^-A77) + 3*pH_PT*Ka1p_c*Ka2p_c*Ka3p_c)/((10^-A77)^3 + Ka1p_c*(10^-A77)^2 + Ka1p_c*Ka2p_c*(10^-A77) + Ka1p_c*Ka2p_c*Ka3p_c) - Ka1c_c*CO2aqc/(10^-A77) - 2*Ka1c_c*Ka2c_c*CO2aqc/(10^-A77)^2 - Kw_c/(10^-A77)</f>
        <v>-0.070419385237</v>
      </c>
      <c r="I77" s="277">
        <f>IF(AND(H77&gt;=0,H78&lt;0),A77+pH_step*H77/(H77-H78),0)</f>
        <v>0.0</v>
      </c>
    </row>
    <row r="78" x14ac:dyDescent="0.2">
      <c r="A78" s="268">
        <v>6.8</v>
      </c>
      <c r="B78" s="199">
        <f t="shared" si="1"/>
        <v>-0.102304968626</v>
      </c>
      <c r="C78" s="262">
        <f t="shared" si="2"/>
        <v>0.0</v>
      </c>
      <c r="D78" s="199">
        <f>SID_end_A + NT_end_A*(10^-A78)/((10^-A78)+KaN_c) + (10^-A78) - (pH_PT*Ka1p_c*(10^-A78)^2 + 2*pH_PT*Ka1p_c*Ka2p_c*(10^-A78) + 3*pH_PT*Ka1p_c*Ka2p_c*Ka3p_c)/((10^-A78)^3 + Ka1p_c*(10^-A78)^2 + Ka1p_c*Ka2p_c*(10^-A78) + Ka1p_c*Ka2p_c*Ka3p_c) - Ka1c_c*CO2aqc/(10^-A78) - 2*Ka1c_c*Ka2c_c*CO2aqc/(10^-A78)^2 - Kw_c/(10^-A78)</f>
        <v>-0.110403260099</v>
      </c>
      <c r="E78" s="277">
        <f>IF(AND(D78&gt;=0,D79&lt;0),A78+pH_step*D78/(D78-D79),0)</f>
        <v>0.0</v>
      </c>
      <c r="F78" s="210">
        <f>SID_end_N + (10^-A78) - (pH_PT*Ka1p_c*(10^-A78)^2 + 2*pH_PT*Ka1p_c*Ka2p_c*(10^-A78) + 3*pH_PT*Ka1p_c*Ka2p_c*Ka3p_c)/((10^-A78)^3 + Ka1p_c*(10^-A78)^2 + Ka1p_c*Ka2p_c*(10^-A78) + Ka1p_c*Ka2p_c*Ka3p_c) - Ka1c_c*CO2aqc/(10^-A78) - 2*Ka1c_c*Ka2c_c*CO2aqc/(10^-A78)^2 - Kw_c/(10^-A78)</f>
        <v>-0.094095163807</v>
      </c>
      <c r="G78" s="277">
        <f>IF(AND(F78&gt;=0,F79&lt;0),A78+pH_step*F78/(F78-F79),0)</f>
        <v>0.0</v>
      </c>
      <c r="H78" s="199">
        <f>SID_end_U + (10^-A78) - (pH_PT*Ka1p_c*(10^-A78)^2 + 2*pH_PT*Ka1p_c*Ka2p_c*(10^-A78) + 3*pH_PT*Ka1p_c*Ka2p_c*Ka3p_c)/((10^-A78)^3 + Ka1p_c*(10^-A78)^2 + Ka1p_c*Ka2p_c*(10^-A78) + Ka1p_c*Ka2p_c*Ka3p_c) - Ka1c_c*CO2aqc/(10^-A78) - 2*Ka1c_c*Ka2c_c*CO2aqc/(10^-A78)^2 - Kw_c/(10^-A78)</f>
        <v>-0.102233951556</v>
      </c>
      <c r="I78" s="277">
        <f>IF(AND(H78&gt;=0,H79&lt;0),A78+pH_step*H78/(H78-H79),0)</f>
        <v>0.0</v>
      </c>
    </row>
    <row r="79" x14ac:dyDescent="0.2">
      <c r="A79" s="268">
        <v>6.9</v>
      </c>
      <c r="B79" s="199">
        <f t="shared" si="1"/>
        <v>-0.141415717577</v>
      </c>
      <c r="C79" s="262">
        <f t="shared" si="2"/>
        <v>0.0</v>
      </c>
      <c r="D79" s="199">
        <f>SID_end_A + NT_end_A*(10^-A79)/((10^-A79)+KaN_c) + (10^-A79) - (pH_PT*Ka1p_c*(10^-A79)^2 + 2*pH_PT*Ka1p_c*Ka2p_c*(10^-A79) + 3*pH_PT*Ka1p_c*Ka2p_c*Ka3p_c)/((10^-A79)^3 + Ka1p_c*(10^-A79)^2 + Ka1p_c*Ka2p_c*(10^-A79) + Ka1p_c*Ka2p_c*Ka3p_c) - Ka1c_c*CO2aqc/(10^-A79) - 2*Ka1c_c*Ka2c_c*CO2aqc/(10^-A79)^2 - Kw_c/(10^-A79)</f>
        <v>-0.149503589133</v>
      </c>
      <c r="E79" s="277">
        <f>IF(AND(D79&gt;=0,D80&lt;0),A79+pH_step*D79/(D79-D80),0)</f>
        <v>0.0</v>
      </c>
      <c r="F79" s="199">
        <f>SID_end_N + (10^-A79) - (pH_PT*Ka1p_c*(10^-A79)^2 + 2*pH_PT*Ka1p_c*Ka2p_c*(10^-A79) + 3*pH_PT*Ka1p_c*Ka2p_c*Ka3p_c)/((10^-A79)^3 + Ka1p_c*(10^-A79)^2 + Ka1p_c*Ka2p_c*(10^-A79) + Ka1p_c*Ka2p_c*Ka3p_c) - Ka1c_c*CO2aqc/(10^-A79) - 2*Ka1c_c*Ka2c_c*CO2aqc/(10^-A79)^2 - Kw_c/(10^-A79)</f>
        <v>-0.133187639671</v>
      </c>
      <c r="G79" s="277">
        <f>IF(AND(F79&gt;=0,F80&lt;0),A79+pH_step*F79/(F79-F80),0)</f>
        <v>0.0</v>
      </c>
      <c r="H79" s="199">
        <f>SID_end_U + (10^-A79) - (pH_PT*Ka1p_c*(10^-A79)^2 + 2*pH_PT*Ka1p_c*Ka2p_c*(10^-A79) + 3*pH_PT*Ka1p_c*Ka2p_c*Ka3p_c)/((10^-A79)^3 + Ka1p_c*(10^-A79)^2 + Ka1p_c*Ka2p_c*(10^-A79) + Ka1p_c*Ka2p_c*Ka3p_c) - Ka1c_c*CO2aqc/(10^-A79) - 2*Ka1c_c*Ka2c_c*CO2aqc/(10^-A79)^2 - Kw_c/(10^-A79)</f>
        <v>-0.14132642742</v>
      </c>
      <c r="I79" s="277">
        <f>IF(AND(H79&gt;=0,H80&lt;0),A79+pH_step*H79/(H79-H80),0)</f>
        <v>0.0</v>
      </c>
    </row>
    <row r="80" x14ac:dyDescent="0.2">
      <c r="A80" s="268">
        <v>7</v>
      </c>
      <c r="B80" s="199">
        <f t="shared" si="1"/>
        <v>-0.189664461753</v>
      </c>
      <c r="C80" s="262">
        <f t="shared" si="2"/>
        <v>0.0</v>
      </c>
      <c r="D80" s="199">
        <f>SID_end_A + NT_end_A*(10^-A80)/((10^-A80)+KaN_c) + (10^-A80) - (pH_PT*Ka1p_c*(10^-A80)^2 + 2*pH_PT*Ka1p_c*Ka2p_c*(10^-A80) + 3*pH_PT*Ka1p_c*Ka2p_c*Ka3p_c)/((10^-A80)^3 + Ka1p_c*(10^-A80)^2 + Ka1p_c*Ka2p_c*(10^-A80) + Ka1p_c*Ka2p_c*Ka3p_c) - Ka1c_c*CO2aqc/(10^-A80) - 2*Ka1c_c*Ka2c_c*CO2aqc/(10^-A80)^2 - Kw_c/(10^-A80)</f>
        <v>-0.197739253475</v>
      </c>
      <c r="E80" s="277">
        <f>IF(AND(D80&gt;=0,D81&lt;0),A80+pH_step*D80/(D80-D81),0)</f>
        <v>0.0</v>
      </c>
      <c r="F80" s="199">
        <f>SID_end_N + (10^-A80) - (pH_PT*Ka1p_c*(10^-A80)^2 + 2*pH_PT*Ka1p_c*Ka2p_c*(10^-A80) + 3*pH_PT*Ka1p_c*Ka2p_c*Ka3p_c)/((10^-A80)^3 + Ka1p_c*(10^-A80)^2 + Ka1p_c*Ka2p_c*(10^-A80) + Ka1p_c*Ka2p_c*Ka3p_c) - Ka1c_c*CO2aqc/(10^-A80) - 2*Ka1c_c*Ka2c_c*CO2aqc/(10^-A80)^2 - Kw_c/(10^-A80)</f>
        <v>-0.181413446146</v>
      </c>
      <c r="G80" s="277">
        <f>IF(AND(F80&gt;=0,F81&lt;0),A80+pH_step*F80/(F80-F81),0)</f>
        <v>0.0</v>
      </c>
      <c r="H80" s="199">
        <f>SID_end_U + (10^-A80) - (pH_PT*Ka1p_c*(10^-A80)^2 + 2*pH_PT*Ka1p_c*Ka2p_c*(10^-A80) + 3*pH_PT*Ka1p_c*Ka2p_c*Ka3p_c)/((10^-A80)^3 + Ka1p_c*(10^-A80)^2 + Ka1p_c*Ka2p_c*(10^-A80) + Ka1p_c*Ka2p_c*Ka3p_c) - Ka1c_c*CO2aqc/(10^-A80) - 2*Ka1c_c*Ka2c_c*CO2aqc/(10^-A80)^2 - Kw_c/(10^-A80)</f>
        <v>-0.189552233895</v>
      </c>
      <c r="I80" s="277">
        <f>IF(AND(H80&gt;=0,H81&lt;0),A80+pH_step*H80/(H80-H81),0)</f>
        <v>0.0</v>
      </c>
    </row>
    <row r="81" x14ac:dyDescent="0.2">
      <c r="A81" s="268">
        <v>7.1</v>
      </c>
      <c r="B81" s="199">
        <f t="shared" si="1"/>
        <v>-0.249437497331</v>
      </c>
      <c r="C81" s="262">
        <f t="shared" si="2"/>
        <v>0.0</v>
      </c>
      <c r="D81" s="199">
        <f>SID_end_A + NT_end_A*(10^-A81)/((10^-A81)+KaN_c) + (10^-A81) - (pH_PT*Ka1p_c*(10^-A81)^2 + 2*pH_PT*Ka1p_c*Ka2p_c*(10^-A81) + 3*pH_PT*Ka1p_c*Ka2p_c*Ka3p_c)/((10^-A81)^3 + Ka1p_c*(10^-A81)^2 + Ka1p_c*Ka2p_c*(10^-A81) + Ka1p_c*Ka2p_c*Ka3p_c) - Ka1c_c*CO2aqc/(10^-A81) - 2*Ka1c_c*Ka2c_c*CO2aqc/(10^-A81)^2 - Kw_c/(10^-A81)</f>
        <v>-0.257495882552</v>
      </c>
      <c r="E81" s="277">
        <f>IF(AND(D81&gt;=0,D82&lt;0),A81+pH_step*D81/(D81-D82),0)</f>
        <v>0.0</v>
      </c>
      <c r="F81" s="199">
        <f>SID_end_N + (10^-A81) - (pH_PT*Ka1p_c*(10^-A81)^2 + 2*pH_PT*Ka1p_c*Ka2p_c*(10^-A81) + 3*pH_PT*Ka1p_c*Ka2p_c*Ka3p_c)/((10^-A81)^3 + Ka1p_c*(10^-A81)^2 + Ka1p_c*Ka2p_c*(10^-A81) + Ka1p_c*Ka2p_c*Ka3p_c) - Ka1c_c*CO2aqc/(10^-A81) - 2*Ka1c_c*Ka2c_c*CO2aqc/(10^-A81)^2 - Kw_c/(10^-A81)</f>
        <v>-0.241157710149</v>
      </c>
      <c r="G81" s="277">
        <f>IF(AND(F81&gt;=0,F82&lt;0),A81+pH_step*F81/(F81-F82),0)</f>
        <v>0.0</v>
      </c>
      <c r="H81" s="199">
        <f>SID_end_U + (10^-A81) - (pH_PT*Ka1p_c*(10^-A81)^2 + 2*pH_PT*Ka1p_c*Ka2p_c*(10^-A81) + 3*pH_PT*Ka1p_c*Ka2p_c*Ka3p_c)/((10^-A81)^3 + Ka1p_c*(10^-A81)^2 + Ka1p_c*Ka2p_c*(10^-A81) + Ka1p_c*Ka2p_c*Ka3p_c) - Ka1c_c*CO2aqc/(10^-A81) - 2*Ka1c_c*Ka2c_c*CO2aqc/(10^-A81)^2 - Kw_c/(10^-A81)</f>
        <v>-0.249296497898</v>
      </c>
      <c r="I81" s="277">
        <f>IF(AND(H81&gt;=0,H82&lt;0),A81+pH_step*H81/(H81-H82),0)</f>
        <v>0.0</v>
      </c>
    </row>
    <row r="82" x14ac:dyDescent="0.2">
      <c r="A82" s="268">
        <v>7.2</v>
      </c>
      <c r="B82" s="199">
        <f t="shared" ref="B82:B100" si="3">pH_SID + pH_NT*(10^-A82)/((10^-A82)+KaN_c) + (10^-A82) - (pH_PT*Ka1p_c*(10^-A82)^2 + 2*pH_PT*Ka1p_c*Ka2p_c*(10^-A82) + 3*pH_PT*Ka1p_c*Ka2p_c*Ka3p_c)/((10^-A82)^3 + Ka1p_c*(10^-A82)^2 + Ka1p_c*Ka2p_c*(10^-A82) + Ka1p_c*Ka2p_c*Ka3p_c) - Ka1c_c*CO2aqc/(10^-A82) - 2*Ka1c_c*Ka2c_c*CO2aqc/(10^-A82)^2 - Kw_c/(10^-A82)</f>
        <v>-0.323794112198</v>
      </c>
      <c r="C82" s="262">
        <f t="shared" ref="C82:C99" si="4">IF(AND(B82&gt;=0,B83&lt;0),A82+pH_step*B82/(B82-B83),0)</f>
        <v>0.0</v>
      </c>
      <c r="D82" s="199">
        <f>SID_end_A + NT_end_A*(10^-A82)/((10^-A82)+KaN_c) + (10^-A82) - (pH_PT*Ka1p_c*(10^-A82)^2 + 2*pH_PT*Ka1p_c*Ka2p_c*(10^-A82) + 3*pH_PT*Ka1p_c*Ka2p_c*Ka3p_c)/((10^-A82)^3 + Ka1p_c*(10^-A82)^2 + Ka1p_c*Ka2p_c*(10^-A82) + Ka1p_c*Ka2p_c*Ka3p_c) - Ka1c_c*CO2aqc/(10^-A82) - 2*Ka1c_c*Ka2c_c*CO2aqc/(10^-A82)^2 - Kw_c/(10^-A82)</f>
        <v>-0.331831937414</v>
      </c>
      <c r="E82" s="277">
        <f>IF(AND(D82&gt;=0,D83&lt;0),A82+pH_step*D82/(D82-D83),0)</f>
        <v>0.0</v>
      </c>
      <c r="F82" s="199">
        <f>SID_end_N + (10^-A82) - (pH_PT*Ka1p_c*(10^-A82)^2 + 2*pH_PT*Ka1p_c*Ka2p_c*(10^-A82) + 3*pH_PT*Ka1p_c*Ka2p_c*Ka3p_c)/((10^-A82)^3 + Ka1p_c*(10^-A82)^2 + Ka1p_c*Ka2p_c*(10^-A82) + Ka1p_c*Ka2p_c*Ka3p_c) - Ka1c_c*CO2aqc/(10^-A82) - 2*Ka1c_c*Ka2c_c*CO2aqc/(10^-A82)^2 - Kw_c/(10^-A82)</f>
        <v>-0.315478269569</v>
      </c>
      <c r="G82" s="277">
        <f>IF(AND(F82&gt;=0,F83&lt;0),A82+pH_step*F82/(F82-F83),0)</f>
        <v>0.0</v>
      </c>
      <c r="H82" s="199">
        <f>SID_end_U + (10^-A82) - (pH_PT*Ka1p_c*(10^-A82)^2 + 2*pH_PT*Ka1p_c*Ka2p_c*(10^-A82) + 3*pH_PT*Ka1p_c*Ka2p_c*Ka3p_c)/((10^-A82)^3 + Ka1p_c*(10^-A82)^2 + Ka1p_c*Ka2p_c*(10^-A82) + Ka1p_c*Ka2p_c*Ka3p_c) - Ka1c_c*CO2aqc/(10^-A82) - 2*Ka1c_c*Ka2c_c*CO2aqc/(10^-A82)^2 - Kw_c/(10^-A82)</f>
        <v>-0.323617057318</v>
      </c>
      <c r="I82" s="277">
        <f>IF(AND(H82&gt;=0,H83&lt;0),A82+pH_step*H82/(H82-H83),0)</f>
        <v>0.0</v>
      </c>
    </row>
    <row r="83" x14ac:dyDescent="0.2">
      <c r="A83" s="268">
        <v>7.3</v>
      </c>
      <c r="B83" s="199">
        <f t="shared" si="3"/>
        <v>-0.416646603229</v>
      </c>
      <c r="C83" s="262">
        <f t="shared" si="4"/>
        <v>0.0</v>
      </c>
      <c r="D83" s="199">
        <f>SID_end_A + NT_end_A*(10^-A83)/((10^-A83)+KaN_c) + (10^-A83) - (pH_PT*Ka1p_c*(10^-A83)^2 + 2*pH_PT*Ka1p_c*Ka2p_c*(10^-A83) + 3*pH_PT*Ka1p_c*Ka2p_c*Ka3p_c)/((10^-A83)^3 + Ka1p_c*(10^-A83)^2 + Ka1p_c*Ka2p_c*(10^-A83) + Ka1p_c*Ka2p_c*Ka3p_c) - Ka1c_c*CO2aqc/(10^-A83) - 2*Ka1c_c*Ka2c_c*CO2aqc/(10^-A83)^2 - Kw_c/(10^-A83)</f>
        <v>-0.424658693631</v>
      </c>
      <c r="E83" s="277">
        <f>IF(AND(D83&gt;=0,D84&lt;0),A83+pH_step*D83/(D83-D84),0)</f>
        <v>0.0</v>
      </c>
      <c r="F83" s="199">
        <f>SID_end_N + (10^-A83) - (pH_PT*Ka1p_c*(10^-A83)^2 + 2*pH_PT*Ka1p_c*Ka2p_c*(10^-A83) + 3*pH_PT*Ka1p_c*Ka2p_c*Ka3p_c)/((10^-A83)^3 + Ka1p_c*(10^-A83)^2 + Ka1p_c*Ka2p_c*(10^-A83) + Ka1p_c*Ka2p_c*Ka3p_c) - Ka1c_c*CO2aqc/(10^-A83) - 2*Ka1c_c*Ka2c_c*CO2aqc/(10^-A83)^2 - Kw_c/(10^-A83)</f>
        <v>-0.408285630251</v>
      </c>
      <c r="G83" s="277">
        <f>IF(AND(F83&gt;=0,F84&lt;0),A83+pH_step*F83/(F83-F84),0)</f>
        <v>0.0</v>
      </c>
      <c r="H83" s="199">
        <f>SID_end_U + (10^-A83) - (pH_PT*Ka1p_c*(10^-A83)^2 + 2*pH_PT*Ka1p_c*Ka2p_c*(10^-A83) + 3*pH_PT*Ka1p_c*Ka2p_c*Ka3p_c)/((10^-A83)^3 + Ka1p_c*(10^-A83)^2 + Ka1p_c*Ka2p_c*(10^-A83) + Ka1p_c*Ka2p_c*Ka3p_c) - Ka1c_c*CO2aqc/(10^-A83) - 2*Ka1c_c*Ka2c_c*CO2aqc/(10^-A83)^2 - Kw_c/(10^-A83)</f>
        <v>-0.416424418</v>
      </c>
      <c r="I83" s="277">
        <f>IF(AND(H83&gt;=0,H84&lt;0),A83+pH_step*H83/(H83-H84),0)</f>
        <v>0.0</v>
      </c>
    </row>
    <row r="84" x14ac:dyDescent="0.2">
      <c r="A84" s="268">
        <v>7.4</v>
      </c>
      <c r="B84" s="199">
        <f t="shared" si="3"/>
        <v>-0.532990802641</v>
      </c>
      <c r="C84" s="262">
        <f t="shared" si="4"/>
        <v>0.0</v>
      </c>
      <c r="D84" s="199">
        <f>SID_end_A + NT_end_A*(10^-A84)/((10^-A84)+KaN_c) + (10^-A84) - (pH_PT*Ka1p_c*(10^-A84)^2 + 2*pH_PT*Ka1p_c*Ka2p_c*(10^-A84) + 3*pH_PT*Ka1p_c*Ka2p_c*Ka3p_c)/((10^-A84)^3 + Ka1p_c*(10^-A84)^2 + Ka1p_c*Ka2p_c*(10^-A84) + Ka1p_c*Ka2p_c*Ka3p_c) - Ka1c_c*CO2aqc/(10^-A84) - 2*Ka1c_c*Ka2c_c*CO2aqc/(10^-A84)^2 - Kw_c/(10^-A84)</f>
        <v>-0.540970728209</v>
      </c>
      <c r="E84" s="277">
        <f>IF(AND(D84&gt;=0,D85&lt;0),A84+pH_step*D84/(D84-D85),0)</f>
        <v>0.0</v>
      </c>
      <c r="F84" s="199">
        <f>SID_end_N + (10^-A84) - (pH_PT*Ka1p_c*(10^-A84)^2 + 2*pH_PT*Ka1p_c*Ka2p_c*(10^-A84) + 3*pH_PT*Ka1p_c*Ka2p_c*Ka3p_c)/((10^-A84)^3 + Ka1p_c*(10^-A84)^2 + Ka1p_c*Ka2p_c*(10^-A84) + Ka1p_c*Ka2p_c*Ka3p_c) - Ka1c_c*CO2aqc/(10^-A84) - 2*Ka1c_c*Ka2c_c*CO2aqc/(10^-A84)^2 - Kw_c/(10^-A84)</f>
        <v>-0.524573423185</v>
      </c>
      <c r="G84" s="277">
        <f>IF(AND(F84&gt;=0,F85&lt;0),A84+pH_step*F84/(F84-F85),0)</f>
        <v>0.0</v>
      </c>
      <c r="H84" s="199">
        <f>SID_end_U + (10^-A84) - (pH_PT*Ka1p_c*(10^-A84)^2 + 2*pH_PT*Ka1p_c*Ka2p_c*(10^-A84) + 3*pH_PT*Ka1p_c*Ka2p_c*Ka3p_c)/((10^-A84)^3 + Ka1p_c*(10^-A84)^2 + Ka1p_c*Ka2p_c*(10^-A84) + Ka1p_c*Ka2p_c*Ka3p_c) - Ka1c_c*CO2aqc/(10^-A84) - 2*Ka1c_c*Ka2c_c*CO2aqc/(10^-A84)^2 - Kw_c/(10^-A84)</f>
        <v>-0.532712210934</v>
      </c>
      <c r="I84" s="277">
        <f>IF(AND(H84&gt;=0,H85&lt;0),A84+pH_step*H84/(H84-H85),0)</f>
        <v>0.0</v>
      </c>
    </row>
    <row r="85" x14ac:dyDescent="0.2">
      <c r="A85" s="268">
        <v>7.5</v>
      </c>
      <c r="B85" s="199">
        <f t="shared" si="3"/>
        <v>-0.679205763268</v>
      </c>
      <c r="C85" s="262">
        <f t="shared" si="4"/>
        <v>0.0</v>
      </c>
      <c r="D85" s="199">
        <f>SID_end_A + NT_end_A*(10^-A85)/((10^-A85)+KaN_c) + (10^-A85) - (pH_PT*Ka1p_c*(10^-A85)^2 + 2*pH_PT*Ka1p_c*Ka2p_c*(10^-A85) + 3*pH_PT*Ka1p_c*Ka2p_c*Ka3p_c)/((10^-A85)^3 + Ka1p_c*(10^-A85)^2 + Ka1p_c*Ka2p_c*(10^-A85) + Ka1p_c*Ka2p_c*Ka3p_c) - Ka1c_c*CO2aqc/(10^-A85) - 2*Ka1c_c*Ka2c_c*CO2aqc/(10^-A85)^2 - Kw_c/(10^-A85)</f>
        <v>-0.687145561076</v>
      </c>
      <c r="E85" s="277">
        <f>IF(AND(D85&gt;=0,D86&lt;0),A85+pH_step*D85/(D85-D86),0)</f>
        <v>0.0</v>
      </c>
      <c r="F85" s="199">
        <f>SID_end_N + (10^-A85) - (pH_PT*Ka1p_c*(10^-A85)^2 + 2*pH_PT*Ka1p_c*Ka2p_c*(10^-A85) + 3*pH_PT*Ka1p_c*Ka2p_c*Ka3p_c)/((10^-A85)^3 + Ka1p_c*(10^-A85)^2 + Ka1p_c*Ka2p_c*(10^-A85) + Ka1p_c*Ka2p_c*Ka3p_c) - Ka1c_c*CO2aqc/(10^-A85) - 2*Ka1c_c*Ka2c_c*CO2aqc/(10^-A85)^2 - Kw_c/(10^-A85)</f>
        <v>-0.670718012998</v>
      </c>
      <c r="G85" s="277">
        <f>IF(AND(F85&gt;=0,F86&lt;0),A85+pH_step*F85/(F85-F86),0)</f>
        <v>0.0</v>
      </c>
      <c r="H85" s="199">
        <f>SID_end_U + (10^-A85) - (pH_PT*Ka1p_c*(10^-A85)^2 + 2*pH_PT*Ka1p_c*Ka2p_c*(10^-A85) + 3*pH_PT*Ka1p_c*Ka2p_c*Ka3p_c)/((10^-A85)^3 + Ka1p_c*(10^-A85)^2 + Ka1p_c*Ka2p_c*(10^-A85) + Ka1p_c*Ka2p_c*Ka3p_c) - Ka1c_c*CO2aqc/(10^-A85) - 2*Ka1c_c*Ka2c_c*CO2aqc/(10^-A85)^2 - Kw_c/(10^-A85)</f>
        <v>-0.678856800747</v>
      </c>
      <c r="I85" s="277">
        <f>IF(AND(H85&gt;=0,H86&lt;0),A85+pH_step*H85/(H85-H86),0)</f>
        <v>0.0</v>
      </c>
    </row>
    <row r="86" x14ac:dyDescent="0.2">
      <c r="A86" s="268">
        <v>7.6</v>
      </c>
      <c r="B86" s="199">
        <f t="shared" si="3"/>
        <v>-0.86344798467</v>
      </c>
      <c r="C86" s="262">
        <f t="shared" si="4"/>
        <v>0.0</v>
      </c>
      <c r="D86" s="199">
        <f>SID_end_A + NT_end_A*(10^-A86)/((10^-A86)+KaN_c) + (10^-A86) - (pH_PT*Ka1p_c*(10^-A86)^2 + 2*pH_PT*Ka1p_c*Ka2p_c*(10^-A86) + 3*pH_PT*Ka1p_c*Ka2p_c*Ka3p_c)/((10^-A86)^3 + Ka1p_c*(10^-A86)^2 + Ka1p_c*Ka2p_c*(10^-A86) + Ka1p_c*Ka2p_c*Ka3p_c) - Ka1c_c*CO2aqc/(10^-A86) - 2*Ka1c_c*Ka2c_c*CO2aqc/(10^-A86)^2 - Kw_c/(10^-A86)</f>
        <v>-0.871337834854</v>
      </c>
      <c r="E86" s="277">
        <f>IF(AND(D86&gt;=0,D87&lt;0),A86+pH_step*D86/(D86-D87),0)</f>
        <v>0.0</v>
      </c>
      <c r="F86" s="199">
        <f>SID_end_N + (10^-A86) - (pH_PT*Ka1p_c*(10^-A86)^2 + 2*pH_PT*Ka1p_c*Ka2p_c*(10^-A86) + 3*pH_PT*Ka1p_c*Ka2p_c*Ka3p_c)/((10^-A86)^3 + Ka1p_c*(10^-A86)^2 + Ka1p_c*Ka2p_c*(10^-A86) + Ka1p_c*Ka2p_c*Ka3p_c) - Ka1c_c*CO2aqc/(10^-A86) - 2*Ka1c_c*Ka2c_c*CO2aqc/(10^-A86)^2 - Kw_c/(10^-A86)</f>
        <v>-0.854872642793</v>
      </c>
      <c r="G86" s="277">
        <f>IF(AND(F86&gt;=0,F87&lt;0),A86+pH_step*F86/(F86-F87),0)</f>
        <v>0.0</v>
      </c>
      <c r="H86" s="199">
        <f>SID_end_U + (10^-A86) - (pH_PT*Ka1p_c*(10^-A86)^2 + 2*pH_PT*Ka1p_c*Ka2p_c*(10^-A86) + 3*pH_PT*Ka1p_c*Ka2p_c*Ka3p_c)/((10^-A86)^3 + Ka1p_c*(10^-A86)^2 + Ka1p_c*Ka2p_c*(10^-A86) + Ka1p_c*Ka2p_c*Ka3p_c) - Ka1c_c*CO2aqc/(10^-A86) - 2*Ka1c_c*Ka2c_c*CO2aqc/(10^-A86)^2 - Kw_c/(10^-A86)</f>
        <v>-0.863011430542</v>
      </c>
      <c r="I86" s="277">
        <f>IF(AND(H86&gt;=0,H87&lt;0),A86+pH_step*H86/(H86-H87),0)</f>
        <v>0.0</v>
      </c>
    </row>
    <row r="87" x14ac:dyDescent="0.2">
      <c r="A87" s="268">
        <v>7.7</v>
      </c>
      <c r="B87" s="198">
        <f t="shared" si="3"/>
        <v>-1.096175090827</v>
      </c>
      <c r="C87" s="262">
        <f t="shared" si="4"/>
        <v>0.0</v>
      </c>
      <c r="D87" s="198">
        <f>SID_end_A + NT_end_A*(10^-A87)/((10^-A87)+KaN_c) + (10^-A87) - (pH_PT*Ka1p_c*(10^-A87)^2 + 2*pH_PT*Ka1p_c*Ka2p_c*(10^-A87) + 3*pH_PT*Ka1p_c*Ka2p_c*Ka3p_c)/((10^-A87)^3 + Ka1p_c*(10^-A87)^2 + Ka1p_c*Ka2p_c*(10^-A87) + Ka1p_c*Ka2p_c*Ka3p_c) - Ka1c_c*CO2aqc/(10^-A87) - 2*Ka1c_c*Ka2c_c*CO2aqc/(10^-A87)^2 - Kw_c/(10^-A87)</f>
        <v>-1.104002947214</v>
      </c>
      <c r="E87" s="277">
        <f>IF(AND(D87&gt;=0,D88&lt;0),A87+pH_step*D87/(D87-D88),0)</f>
        <v>0.0</v>
      </c>
      <c r="F87" s="198">
        <f>SID_end_N + (10^-A87) - (pH_PT*Ka1p_c*(10^-A87)^2 + 2*pH_PT*Ka1p_c*Ka2p_c*(10^-A87) + 3*pH_PT*Ka1p_c*Ka2p_c*Ka3p_c)/((10^-A87)^3 + Ka1p_c*(10^-A87)^2 + Ka1p_c*Ka2p_c*(10^-A87) + Ka1p_c*Ka2p_c*Ka3p_c) - Ka1c_c*CO2aqc/(10^-A87) - 2*Ka1c_c*Ka2c_c*CO2aqc/(10^-A87)^2 - Kw_c/(10^-A87)</f>
        <v>-1.08749103234</v>
      </c>
      <c r="G87" s="277">
        <f>IF(AND(F87&gt;=0,F88&lt;0),A87+pH_step*F87/(F87-F88),0)</f>
        <v>0.0</v>
      </c>
      <c r="H87" s="198">
        <f>SID_end_U + (10^-A87) - (pH_PT*Ka1p_c*(10^-A87)^2 + 2*pH_PT*Ka1p_c*Ka2p_c*(10^-A87) + 3*pH_PT*Ka1p_c*Ka2p_c*Ka3p_c)/((10^-A87)^3 + Ka1p_c*(10^-A87)^2 + Ka1p_c*Ka2p_c*(10^-A87) + Ka1p_c*Ka2p_c*Ka3p_c) - Ka1c_c*CO2aqc/(10^-A87) - 2*Ka1c_c*Ka2c_c*CO2aqc/(10^-A87)^2 - Kw_c/(10^-A87)</f>
        <v>-1.095629820089</v>
      </c>
      <c r="I87" s="277">
        <f>IF(AND(H87&gt;=0,H88&lt;0),A87+pH_step*H87/(H87-H88),0)</f>
        <v>0.0</v>
      </c>
    </row>
    <row r="88" x14ac:dyDescent="0.2">
      <c r="A88" s="268">
        <v>7.8</v>
      </c>
      <c r="B88" s="198">
        <f t="shared" si="3"/>
        <v>-1.390847930362</v>
      </c>
      <c r="C88" s="262">
        <f t="shared" si="4"/>
        <v>0.0</v>
      </c>
      <c r="D88" s="198">
        <f>SID_end_A + NT_end_A*(10^-A88)/((10^-A88)+KaN_c) + (10^-A88) - (pH_PT*Ka1p_c*(10^-A88)^2 + 2*pH_PT*Ka1p_c*Ka2p_c*(10^-A88) + 3*pH_PT*Ka1p_c*Ka2p_c*Ka3p_c)/((10^-A88)^3 + Ka1p_c*(10^-A88)^2 + Ka1p_c*Ka2p_c*(10^-A88) + Ka1p_c*Ka2p_c*Ka3p_c) - Ka1c_c*CO2aqc/(10^-A88) - 2*Ka1c_c*Ka2c_c*CO2aqc/(10^-A88)^2 - Kw_c/(10^-A88)</f>
        <v>-1.398599112869</v>
      </c>
      <c r="E88" s="277">
        <f>IF(AND(D88&gt;=0,D89&lt;0),A88+pH_step*D88/(D88-D89),0)</f>
        <v>0.0</v>
      </c>
      <c r="F88" s="198">
        <f>SID_end_N + (10^-A88) - (pH_PT*Ka1p_c*(10^-A88)^2 + 2*pH_PT*Ka1p_c*Ka2p_c*(10^-A88) + 3*pH_PT*Ka1p_c*Ka2p_c*Ka3p_c)/((10^-A88)^3 + Ka1p_c*(10^-A88)^2 + Ka1p_c*Ka2p_c*(10^-A88) + Ka1p_c*Ka2p_c*Ka3p_c) - Ka1c_c*CO2aqc/(10^-A88) - 2*Ka1c_c*Ka2c_c*CO2aqc/(10^-A88)^2 - Kw_c/(10^-A88)</f>
        <v>-1.382029411255</v>
      </c>
      <c r="G88" s="277">
        <f>IF(AND(F88&gt;=0,F89&lt;0),A88+pH_step*F88/(F88-F89),0)</f>
        <v>0.0</v>
      </c>
      <c r="H88" s="198">
        <f>SID_end_U + (10^-A88) - (pH_PT*Ka1p_c*(10^-A88)^2 + 2*pH_PT*Ka1p_c*Ka2p_c*(10^-A88) + 3*pH_PT*Ka1p_c*Ka2p_c*Ka3p_c)/((10^-A88)^3 + Ka1p_c*(10^-A88)^2 + Ka1p_c*Ka2p_c*(10^-A88) + Ka1p_c*Ka2p_c*Ka3p_c) - Ka1c_c*CO2aqc/(10^-A88) - 2*Ka1c_c*Ka2c_c*CO2aqc/(10^-A88)^2 - Kw_c/(10^-A88)</f>
        <v>-1.390168199004</v>
      </c>
      <c r="I88" s="277">
        <f>IF(AND(H88&gt;=0,H89&lt;0),A88+pH_step*H88/(H88-H89),0)</f>
        <v>0.0</v>
      </c>
    </row>
    <row r="89" x14ac:dyDescent="0.2">
      <c r="A89" s="268">
        <v>7.9</v>
      </c>
      <c r="B89" s="198">
        <f t="shared" si="3"/>
        <v>-1.764881184359</v>
      </c>
      <c r="C89" s="262">
        <f t="shared" si="4"/>
        <v>0.0</v>
      </c>
      <c r="D89" s="198">
        <f>SID_end_A + NT_end_A*(10^-A89)/((10^-A89)+KaN_c) + (10^-A89) - (pH_PT*Ka1p_c*(10^-A89)^2 + 2*pH_PT*Ka1p_c*Ka2p_c*(10^-A89) + 3*pH_PT*Ka1p_c*Ka2p_c*Ka3p_c)/((10^-A89)^3 + Ka1p_c*(10^-A89)^2 + Ka1p_c*Ka2p_c*(10^-A89) + Ka1p_c*Ka2p_c*Ka3p_c) - Ka1c_c*CO2aqc/(10^-A89) - 2*Ka1c_c*Ka2c_c*CO2aqc/(10^-A89)^2 - Kw_c/(10^-A89)</f>
        <v>-1.772537949921</v>
      </c>
      <c r="E89" s="277">
        <f>IF(AND(D89&gt;=0,D90&lt;0),A89+pH_step*D89/(D89-D90),0)</f>
        <v>0.0</v>
      </c>
      <c r="F89" s="198">
        <f>SID_end_N + (10^-A89) - (pH_PT*Ka1p_c*(10^-A89)^2 + 2*pH_PT*Ka1p_c*Ka2p_c*(10^-A89) + 3*pH_PT*Ka1p_c*Ka2p_c*Ka3p_c)/((10^-A89)^3 + Ka1p_c*(10^-A89)^2 + Ka1p_c*Ka2p_c*(10^-A89) + Ka1p_c*Ka2p_c*Ka3p_c) - Ka1c_c*CO2aqc/(10^-A89) - 2*Ka1c_c*Ka2c_c*CO2aqc/(10^-A89)^2 - Kw_c/(10^-A89)</f>
        <v>-1.755897089168</v>
      </c>
      <c r="G89" s="277">
        <f>IF(AND(F89&gt;=0,F90&lt;0),A89+pH_step*F89/(F89-F90),0)</f>
        <v>0.0</v>
      </c>
      <c r="H89" s="198">
        <f>SID_end_U + (10^-A89) - (pH_PT*Ka1p_c*(10^-A89)^2 + 2*pH_PT*Ka1p_c*Ka2p_c*(10^-A89) + 3*pH_PT*Ka1p_c*Ka2p_c*Ka3p_c)/((10^-A89)^3 + Ka1p_c*(10^-A89)^2 + Ka1p_c*Ka2p_c*(10^-A89) + Ka1p_c*Ka2p_c*Ka3p_c) - Ka1c_c*CO2aqc/(10^-A89) - 2*Ka1c_c*Ka2c_c*CO2aqc/(10^-A89)^2 - Kw_c/(10^-A89)</f>
        <v>-1.764035876917</v>
      </c>
      <c r="I89" s="277">
        <f>IF(AND(H89&gt;=0,H90&lt;0),A89+pH_step*H89/(H89-H90),0)</f>
        <v>0.0</v>
      </c>
    </row>
    <row r="90" x14ac:dyDescent="0.2">
      <c r="A90" s="268">
        <v>8</v>
      </c>
      <c r="B90" s="198">
        <f t="shared" si="3"/>
        <v>-2.240944507399</v>
      </c>
      <c r="C90" s="262">
        <f t="shared" si="4"/>
        <v>0.0</v>
      </c>
      <c r="D90" s="198">
        <f>SID_end_A + NT_end_A*(10^-A90)/((10^-A90)+KaN_c) + (10^-A90) - (pH_PT*Ka1p_c*(10^-A90)^2 + 2*pH_PT*Ka1p_c*Ka2p_c*(10^-A90) + 3*pH_PT*Ka1p_c*Ka2p_c*Ka3p_c)/((10^-A90)^3 + Ka1p_c*(10^-A90)^2 + Ka1p_c*Ka2p_c*(10^-A90) + Ka1p_c*Ka2p_c*Ka3p_c) - Ka1c_c*CO2aqc/(10^-A90) - 2*Ka1c_c*Ka2c_c*CO2aqc/(10^-A90)^2 - Kw_c/(10^-A90)</f>
        <v>-2.248485630319</v>
      </c>
      <c r="E90" s="277">
        <f>IF(AND(D90&gt;=0,D91&lt;0),A90+pH_step*D90/(D90-D91),0)</f>
        <v>0.0</v>
      </c>
      <c r="F90" s="198">
        <f>SID_end_N + (10^-A90) - (pH_PT*Ka1p_c*(10^-A90)^2 + 2*pH_PT*Ka1p_c*Ka2p_c*(10^-A90) + 3*pH_PT*Ka1p_c*Ka2p_c*Ka3p_c)/((10^-A90)^3 + Ka1p_c*(10^-A90)^2 + Ka1p_c*Ka2p_c*(10^-A90) + Ka1p_c*Ka2p_c*Ka3p_c) - Ka1c_c*CO2aqc/(10^-A90) - 2*Ka1c_c*Ka2c_c*CO2aqc/(10^-A90)^2 - Kw_c/(10^-A90)</f>
        <v>-2.231757613275</v>
      </c>
      <c r="G90" s="277">
        <f>IF(AND(F90&gt;=0,F91&lt;0),A90+pH_step*F90/(F90-F91),0)</f>
        <v>0.0</v>
      </c>
      <c r="H90" s="198">
        <f>SID_end_U + (10^-A90) - (pH_PT*Ka1p_c*(10^-A90)^2 + 2*pH_PT*Ka1p_c*Ka2p_c*(10^-A90) + 3*pH_PT*Ka1p_c*Ka2p_c*Ka3p_c)/((10^-A90)^3 + Ka1p_c*(10^-A90)^2 + Ka1p_c*Ka2p_c*(10^-A90) + Ka1p_c*Ka2p_c*Ka3p_c) - Ka1c_c*CO2aqc/(10^-A90) - 2*Ka1c_c*Ka2c_c*CO2aqc/(10^-A90)^2 - Kw_c/(10^-A90)</f>
        <v>-2.239896401024</v>
      </c>
      <c r="I90" s="277">
        <f>IF(AND(H90&gt;=0,H91&lt;0),A90+pH_step*H90/(H90-H91),0)</f>
        <v>0.0</v>
      </c>
    </row>
    <row r="91" x14ac:dyDescent="0.2">
      <c r="A91" s="268">
        <v>8.1</v>
      </c>
      <c r="B91" s="198">
        <f t="shared" si="3"/>
        <v>-2.848764794096</v>
      </c>
      <c r="C91" s="262">
        <f t="shared" si="4"/>
        <v>0.0</v>
      </c>
      <c r="D91" s="198">
        <f>SID_end_A + NT_end_A*(10^-A91)/((10^-A91)+KaN_c) + (10^-A91) - (pH_PT*Ka1p_c*(10^-A91)^2 + 2*pH_PT*Ka1p_c*Ka2p_c*(10^-A91) + 3*pH_PT*Ka1p_c*Ka2p_c*Ka3p_c)/((10^-A91)^3 + Ka1p_c*(10^-A91)^2 + Ka1p_c*Ka2p_c*(10^-A91) + Ka1p_c*Ka2p_c*Ka3p_c) - Ka1c_c*CO2aqc/(10^-A91) - 2*Ka1c_c*Ka2c_c*CO2aqc/(10^-A91)^2 - Kw_c/(10^-A91)</f>
        <v>-2.856165205858</v>
      </c>
      <c r="E91" s="277">
        <f>IF(AND(D91&gt;=0,D92&lt;0),A91+pH_step*D91/(D91-D92),0)</f>
        <v>0.0</v>
      </c>
      <c r="F91" s="198">
        <f>SID_end_N + (10^-A91) - (pH_PT*Ka1p_c*(10^-A91)^2 + 2*pH_PT*Ka1p_c*Ka2p_c*(10^-A91) + 3*pH_PT*Ka1p_c*Ka2p_c*Ka3p_c)/((10^-A91)^3 + Ka1p_c*(10^-A91)^2 + Ka1p_c*Ka2p_c*(10^-A91) + Ka1p_c*Ka2p_c*Ka3p_c) - Ka1c_c*CO2aqc/(10^-A91) - 2*Ka1c_c*Ka2c_c*CO2aqc/(10^-A91)^2 - Kw_c/(10^-A91)</f>
        <v>-2.839331139155</v>
      </c>
      <c r="G91" s="277">
        <f>IF(AND(F91&gt;=0,F92&lt;0),A91+pH_step*F91/(F91-F92),0)</f>
        <v>0.0</v>
      </c>
      <c r="H91" s="198">
        <f>SID_end_U + (10^-A91) - (pH_PT*Ka1p_c*(10^-A91)^2 + 2*pH_PT*Ka1p_c*Ka2p_c*(10^-A91) + 3*pH_PT*Ka1p_c*Ka2p_c*Ka3p_c)/((10^-A91)^3 + Ka1p_c*(10^-A91)^2 + Ka1p_c*Ka2p_c*(10^-A91) + Ka1p_c*Ka2p_c*Ka3p_c) - Ka1c_c*CO2aqc/(10^-A91) - 2*Ka1c_c*Ka2c_c*CO2aqc/(10^-A91)^2 - Kw_c/(10^-A91)</f>
        <v>-2.847469926904</v>
      </c>
      <c r="I91" s="277">
        <f>IF(AND(H91&gt;=0,H92&lt;0),A91+pH_step*H91/(H91-H92),0)</f>
        <v>0.0</v>
      </c>
    </row>
    <row r="92" x14ac:dyDescent="0.2">
      <c r="A92" s="268">
        <v>8.1999999999999993</v>
      </c>
      <c r="B92" s="198">
        <f t="shared" si="3"/>
        <v>-3.62765440665</v>
      </c>
      <c r="C92" s="262">
        <f t="shared" si="4"/>
        <v>0.0</v>
      </c>
      <c r="D92" s="198">
        <f>SID_end_A + NT_end_A*(10^-A92)/((10^-A92)+KaN_c) + (10^-A92) - (pH_PT*Ka1p_c*(10^-A92)^2 + 2*pH_PT*Ka1p_c*Ka2p_c*(10^-A92) + 3*pH_PT*Ka1p_c*Ka2p_c*Ka3p_c)/((10^-A92)^3 + Ka1p_c*(10^-A92)^2 + Ka1p_c*Ka2p_c*(10^-A92) + Ka1p_c*Ka2p_c*Ka3p_c) - Ka1c_c*CO2aqc/(10^-A92) - 2*Ka1c_c*Ka2c_c*CO2aqc/(10^-A92)^2 - Kw_c/(10^-A92)</f>
        <v>-3.634884968792</v>
      </c>
      <c r="E92" s="277">
        <f>IF(AND(D92&gt;=0,D93&lt;0),A92+pH_step*D92/(D92-D93),0)</f>
        <v>0.0</v>
      </c>
      <c r="F92" s="198">
        <f>SID_end_N + (10^-A92) - (pH_PT*Ka1p_c*(10^-A92)^2 + 2*pH_PT*Ka1p_c*Ka2p_c*(10^-A92) + 3*pH_PT*Ka1p_c*Ka2p_c*Ka3p_c)/((10^-A92)^3 + Ka1p_c*(10^-A92)^2 + Ka1p_c*Ka2p_c*(10^-A92) + Ka1p_c*Ka2p_c*Ka3p_c) - Ka1c_c*CO2aqc/(10^-A92) - 2*Ka1c_c*Ka2c_c*CO2aqc/(10^-A92)^2 - Kw_c/(10^-A92)</f>
        <v>-3.617922891669</v>
      </c>
      <c r="G92" s="277">
        <f>IF(AND(F92&gt;=0,F93&lt;0),A92+pH_step*F92/(F92-F93),0)</f>
        <v>0.0</v>
      </c>
      <c r="H92" s="198">
        <f>SID_end_U + (10^-A92) - (pH_PT*Ka1p_c*(10^-A92)^2 + 2*pH_PT*Ka1p_c*Ka2p_c*(10^-A92) + 3*pH_PT*Ka1p_c*Ka2p_c*Ka3p_c)/((10^-A92)^3 + Ka1p_c*(10^-A92)^2 + Ka1p_c*Ka2p_c*(10^-A92) + Ka1p_c*Ka2p_c*Ka3p_c) - Ka1c_c*CO2aqc/(10^-A92) - 2*Ka1c_c*Ka2c_c*CO2aqc/(10^-A92)^2 - Kw_c/(10^-A92)</f>
        <v>-3.626061679418</v>
      </c>
      <c r="I92" s="277">
        <f>IF(AND(H92&gt;=0,H93&lt;0),A92+pH_step*H92/(H92-H93),0)</f>
        <v>0.0</v>
      </c>
    </row>
    <row r="93" x14ac:dyDescent="0.2">
      <c r="A93" s="268">
        <v>8.3000000000000007</v>
      </c>
      <c r="B93" s="198">
        <f t="shared" si="3"/>
        <v>-4.630104325121</v>
      </c>
      <c r="C93" s="262">
        <f t="shared" si="4"/>
        <v>0.0</v>
      </c>
      <c r="D93" s="198">
        <f>SID_end_A + NT_end_A*(10^-A93)/((10^-A93)+KaN_c) + (10^-A93) - (pH_PT*Ka1p_c*(10^-A93)^2 + 2*pH_PT*Ka1p_c*Ka2p_c*(10^-A93) + 3*pH_PT*Ka1p_c*Ka2p_c*Ka3p_c)/((10^-A93)^3 + Ka1p_c*(10^-A93)^2 + Ka1p_c*Ka2p_c*(10^-A93) + Ka1p_c*Ka2p_c*Ka3p_c) - Ka1c_c*CO2aqc/(10^-A93) - 2*Ka1c_c*Ka2c_c*CO2aqc/(10^-A93)^2 - Kw_c/(10^-A93)</f>
        <v>-4.637131833944</v>
      </c>
      <c r="E93" s="277">
        <f>IF(AND(D93&gt;=0,D94&lt;0),A93+pH_step*D93/(D93-D94),0)</f>
        <v>0.0</v>
      </c>
      <c r="F93" s="198">
        <f>SID_end_N + (10^-A93) - (pH_PT*Ka1p_c*(10^-A93)^2 + 2*pH_PT*Ka1p_c*Ka2p_c*(10^-A93) + 3*pH_PT*Ka1p_c*Ka2p_c*Ka3p_c)/((10^-A93)^3 + Ka1p_c*(10^-A93)^2 + Ka1p_c*Ka2p_c*(10^-A93) + Ka1p_c*Ka2p_c*Ka3p_c) - Ka1c_c*CO2aqc/(10^-A93) - 2*Ka1c_c*Ka2c_c*CO2aqc/(10^-A93)^2 - Kw_c/(10^-A93)</f>
        <v>-4.620016721796</v>
      </c>
      <c r="G93" s="277">
        <f>IF(AND(F93&gt;=0,F94&lt;0),A93+pH_step*F93/(F93-F94),0)</f>
        <v>0.0</v>
      </c>
      <c r="H93" s="198">
        <f>SID_end_U + (10^-A93) - (pH_PT*Ka1p_c*(10^-A93)^2 + 2*pH_PT*Ka1p_c*Ka2p_c*(10^-A93) + 3*pH_PT*Ka1p_c*Ka2p_c*Ka3p_c)/((10^-A93)^3 + Ka1p_c*(10^-A93)^2 + Ka1p_c*Ka2p_c*(10^-A93) + Ka1p_c*Ka2p_c*Ka3p_c) - Ka1c_c*CO2aqc/(10^-A93) - 2*Ka1c_c*Ka2c_c*CO2aqc/(10^-A93)^2 - Kw_c/(10^-A93)</f>
        <v>-4.628155509545</v>
      </c>
      <c r="I93" s="277">
        <f>IF(AND(H93&gt;=0,H94&lt;0),A93+pH_step*H93/(H93-H94),0)</f>
        <v>0.0</v>
      </c>
    </row>
    <row r="94" x14ac:dyDescent="0.2">
      <c r="A94" s="268">
        <v>8.4</v>
      </c>
      <c r="B94" s="198">
        <f t="shared" si="3"/>
        <v>-5.926957541051</v>
      </c>
      <c r="C94" s="262">
        <f t="shared" si="4"/>
        <v>0.0</v>
      </c>
      <c r="D94" s="198">
        <f>SID_end_A + NT_end_A*(10^-A94)/((10^-A94)+KaN_c) + (10^-A94) - (pH_PT*Ka1p_c*(10^-A94)^2 + 2*pH_PT*Ka1p_c*Ka2p_c*(10^-A94) + 3*pH_PT*Ka1p_c*Ka2p_c*Ka3p_c)/((10^-A94)^3 + Ka1p_c*(10^-A94)^2 + Ka1p_c*Ka2p_c*(10^-A94) + Ka1p_c*Ka2p_c*Ka3p_c) - Ka1c_c*CO2aqc/(10^-A94) - 2*Ka1c_c*Ka2c_c*CO2aqc/(10^-A94)^2 - Kw_c/(10^-A94)</f>
        <v>-5.933745083392</v>
      </c>
      <c r="E94" s="277">
        <f>IF(AND(D94&gt;=0,D95&lt;0),A94+pH_step*D94/(D94-D95),0)</f>
        <v>0.0</v>
      </c>
      <c r="F94" s="198">
        <f>SID_end_N + (10^-A94) - (pH_PT*Ka1p_c*(10^-A94)^2 + 2*pH_PT*Ka1p_c*Ka2p_c*(10^-A94) + 3*pH_PT*Ka1p_c*Ka2p_c*Ka3p_c)/((10^-A94)^3 + Ka1p_c*(10^-A94)^2 + Ka1p_c*Ka2p_c*(10^-A94) + Ka1p_c*Ka2p_c*Ka3p_c) - Ka1c_c*CO2aqc/(10^-A94) - 2*Ka1c_c*Ka2c_c*CO2aqc/(10^-A94)^2 - Kw_c/(10^-A94)</f>
        <v>-5.916449115909</v>
      </c>
      <c r="G94" s="277">
        <f>IF(AND(F94&gt;=0,F95&lt;0),A94+pH_step*F94/(F94-F95),0)</f>
        <v>0.0</v>
      </c>
      <c r="H94" s="198">
        <f>SID_end_U + (10^-A94) - (pH_PT*Ka1p_c*(10^-A94)^2 + 2*pH_PT*Ka1p_c*Ka2p_c*(10^-A94) + 3*pH_PT*Ka1p_c*Ka2p_c*Ka3p_c)/((10^-A94)^3 + Ka1p_c*(10^-A94)^2 + Ka1p_c*Ka2p_c*(10^-A94) + Ka1p_c*Ka2p_c*Ka3p_c) - Ka1c_c*CO2aqc/(10^-A94) - 2*Ka1c_c*Ka2c_c*CO2aqc/(10^-A94)^2 - Kw_c/(10^-A94)</f>
        <v>-5.924587903658</v>
      </c>
      <c r="I94" s="277">
        <f>IF(AND(H94&gt;=0,H95&lt;0),A94+pH_step*H94/(H94-H95),0)</f>
        <v>0.0</v>
      </c>
    </row>
    <row r="95" x14ac:dyDescent="0.2">
      <c r="A95" s="268">
        <v>8.5</v>
      </c>
      <c r="B95" s="198">
        <f t="shared" si="3"/>
        <v>-7.614951807867</v>
      </c>
      <c r="C95" s="262">
        <f t="shared" si="4"/>
        <v>0.0</v>
      </c>
      <c r="D95" s="198">
        <f>SID_end_A + NT_end_A*(10^-A95)/((10^-A95)+KaN_c) + (10^-A95) - (pH_PT*Ka1p_c*(10^-A95)^2 + 2*pH_PT*Ka1p_c*Ka2p_c*(10^-A95) + 3*pH_PT*Ka1p_c*Ka2p_c*Ka3p_c)/((10^-A95)^3 + Ka1p_c*(10^-A95)^2 + Ka1p_c*Ka2p_c*(10^-A95) + Ka1p_c*Ka2p_c*Ka3p_c) - Ka1c_c*CO2aqc/(10^-A95) - 2*Ka1c_c*Ka2c_c*CO2aqc/(10^-A95)^2 - Kw_c/(10^-A95)</f>
        <v>-7.621459592317</v>
      </c>
      <c r="E95" s="277">
        <f>IF(AND(D95&gt;=0,D96&lt;0),A95+pH_step*D95/(D95-D96),0)</f>
        <v>0.0</v>
      </c>
      <c r="F95" s="198">
        <f>SID_end_N + (10^-A95) - (pH_PT*Ka1p_c*(10^-A95)^2 + 2*pH_PT*Ka1p_c*Ka2p_c*(10^-A95) + 3*pH_PT*Ka1p_c*Ka2p_c*Ka3p_c)/((10^-A95)^3 + Ka1p_c*(10^-A95)^2 + Ka1p_c*Ka2p_c*(10^-A95) + Ka1p_c*Ka2p_c*Ka3p_c) - Ka1c_c*CO2aqc/(10^-A95) - 2*Ka1c_c*Ka2c_c*CO2aqc/(10^-A95)^2 - Kw_c/(10^-A95)</f>
        <v>-7.603952779942</v>
      </c>
      <c r="G95" s="277">
        <f>IF(AND(F95&gt;=0,F96&lt;0),A95+pH_step*F95/(F95-F96),0)</f>
        <v>0.0</v>
      </c>
      <c r="H95" s="198">
        <f>SID_end_U + (10^-A95) - (pH_PT*Ka1p_c*(10^-A95)^2 + 2*pH_PT*Ka1p_c*Ka2p_c*(10^-A95) + 3*pH_PT*Ka1p_c*Ka2p_c*Ka3p_c)/((10^-A95)^3 + Ka1p_c*(10^-A95)^2 + Ka1p_c*Ka2p_c*(10^-A95) + Ka1p_c*Ka2p_c*Ka3p_c) - Ka1c_c*CO2aqc/(10^-A95) - 2*Ka1c_c*Ka2c_c*CO2aqc/(10^-A95)^2 - Kw_c/(10^-A95)</f>
        <v>-7.612091567691</v>
      </c>
      <c r="I95" s="277">
        <f>IF(AND(H95&gt;=0,H96&lt;0),A95+pH_step*H95/(H95-H96),0)</f>
        <v>0.0</v>
      </c>
    </row>
    <row r="96" x14ac:dyDescent="0.2">
      <c r="A96" s="268">
        <v>8.6</v>
      </c>
      <c r="B96" s="198">
        <f t="shared" si="3"/>
        <v>-9.827847584477</v>
      </c>
      <c r="C96" s="262">
        <f t="shared" si="4"/>
        <v>0.0</v>
      </c>
      <c r="D96" s="198">
        <f>SID_end_A + NT_end_A*(10^-A96)/((10^-A96)+KaN_c) + (10^-A96) - (pH_PT*Ka1p_c*(10^-A96)^2 + 2*pH_PT*Ka1p_c*Ka2p_c*(10^-A96) + 3*pH_PT*Ka1p_c*Ka2p_c*Ka3p_c)/((10^-A96)^3 + Ka1p_c*(10^-A96)^2 + Ka1p_c*Ka2p_c*(10^-A96) + Ka1p_c*Ka2p_c*Ka3p_c) - Ka1c_c*CO2aqc/(10^-A96) - 2*Ka1c_c*Ka2c_c*CO2aqc/(10^-A96)^2 - Kw_c/(10^-A96)</f>
        <v>-9.834034348026</v>
      </c>
      <c r="E96" s="277">
        <f>IF(AND(D96&gt;=0,D97&lt;0),A96+pH_step*D96/(D96-D97),0)</f>
        <v>0.0</v>
      </c>
      <c r="F96" s="198">
        <f>SID_end_N + (10^-A96) - (pH_PT*Ka1p_c*(10^-A96)^2 + 2*pH_PT*Ka1p_c*Ka2p_c*(10^-A96) + 3*pH_PT*Ka1p_c*Ka2p_c*Ka3p_c)/((10^-A96)^3 + Ka1p_c*(10^-A96)^2 + Ka1p_c*Ka2p_c*(10^-A96) + Ka1p_c*Ka2p_c*Ka3p_c) - Ka1c_c*CO2aqc/(10^-A96) - 2*Ka1c_c*Ka2c_c*CO2aqc/(10^-A96)^2 - Kw_c/(10^-A96)</f>
        <v>-9.816285592099</v>
      </c>
      <c r="G96" s="277">
        <f>IF(AND(F96&gt;=0,F97&lt;0),A96+pH_step*F96/(F96-F97),0)</f>
        <v>0.0</v>
      </c>
      <c r="H96" s="198">
        <f>SID_end_U + (10^-A96) - (pH_PT*Ka1p_c*(10^-A96)^2 + 2*pH_PT*Ka1p_c*Ka2p_c*(10^-A96) + 3*pH_PT*Ka1p_c*Ka2p_c*Ka3p_c)/((10^-A96)^3 + Ka1p_c*(10^-A96)^2 + Ka1p_c*Ka2p_c*(10^-A96) + Ka1p_c*Ka2p_c*Ka3p_c) - Ka1c_c*CO2aqc/(10^-A96) - 2*Ka1c_c*Ka2c_c*CO2aqc/(10^-A96)^2 - Kw_c/(10^-A96)</f>
        <v>-9.824424379848</v>
      </c>
      <c r="I96" s="277">
        <f>IF(AND(H96&gt;=0,H97&lt;0),A96+pH_step*H96/(H96-H97),0)</f>
        <v>0.0</v>
      </c>
    </row>
    <row r="97" x14ac:dyDescent="0.2">
      <c r="A97" s="268">
        <v>8.6999999999999993</v>
      </c>
      <c r="B97" s="212">
        <f t="shared" si="3"/>
        <v>-12.753024232131</v>
      </c>
      <c r="C97" s="262">
        <f t="shared" si="4"/>
        <v>0.0</v>
      </c>
      <c r="D97" s="212">
        <f>SID_end_A + NT_end_A*(10^-A97)/((10^-A97)+KaN_c) + (10^-A97) - (pH_PT*Ka1p_c*(10^-A97)^2 + 2*pH_PT*Ka1p_c*Ka2p_c*(10^-A97) + 3*pH_PT*Ka1p_c*Ka2p_c*Ka3p_c)/((10^-A97)^3 + Ka1p_c*(10^-A97)^2 + Ka1p_c*Ka2p_c*(10^-A97) + Ka1p_c*Ka2p_c*Ka3p_c) - Ka1c_c*CO2aqc/(10^-A97) - 2*Ka1c_c*Ka2c_c*CO2aqc/(10^-A97)^2 - Kw_c/(10^-A97)</f>
        <v>-12.75884925466</v>
      </c>
      <c r="E97" s="277">
        <f>IF(AND(D97&gt;=0,D98&lt;0),A97+pH_step*D97/(D97-D98),0)</f>
        <v>0.0</v>
      </c>
      <c r="F97" s="212">
        <f>SID_end_N + (10^-A97) - (pH_PT*Ka1p_c*(10^-A97)^2 + 2*pH_PT*Ka1p_c*Ka2p_c*(10^-A97) + 3*pH_PT*Ka1p_c*Ka2p_c*Ka3p_c)/((10^-A97)^3 + Ka1p_c*(10^-A97)^2 + Ka1p_c*Ka2p_c*(10^-A97) + Ka1p_c*Ka2p_c*Ka3p_c) - Ka1c_c*CO2aqc/(10^-A97) - 2*Ka1c_c*Ka2c_c*CO2aqc/(10^-A97)^2 - Kw_c/(10^-A97)</f>
        <v>-12.740827865684</v>
      </c>
      <c r="G97" s="277">
        <f>IF(AND(F97&gt;=0,F98&lt;0),A97+pH_step*F97/(F97-F98),0)</f>
        <v>0.0</v>
      </c>
      <c r="H97" s="212">
        <f>SID_end_U + (10^-A97) - (pH_PT*Ka1p_c*(10^-A97)^2 + 2*pH_PT*Ka1p_c*Ka2p_c*(10^-A97) + 3*pH_PT*Ka1p_c*Ka2p_c*Ka3p_c)/((10^-A97)^3 + Ka1p_c*(10^-A97)^2 + Ka1p_c*Ka2p_c*(10^-A97) + Ka1p_c*Ka2p_c*Ka3p_c) - Ka1c_c*CO2aqc/(10^-A97) - 2*Ka1c_c*Ka2c_c*CO2aqc/(10^-A97)^2 - Kw_c/(10^-A97)</f>
        <v>-12.748966653433</v>
      </c>
      <c r="I97" s="277">
        <f>IF(AND(H97&gt;=0,H98&lt;0),A97+pH_step*H97/(H97-H98),0)</f>
        <v>0.0</v>
      </c>
    </row>
    <row r="98" x14ac:dyDescent="0.2">
      <c r="A98" s="268">
        <v>8.8000000000000007</v>
      </c>
      <c r="B98" s="212">
        <f t="shared" si="3"/>
        <v>-16.656473546967</v>
      </c>
      <c r="C98" s="262">
        <f t="shared" si="4"/>
        <v>0.0</v>
      </c>
      <c r="D98" s="212">
        <f>SID_end_A + NT_end_A*(10^-A98)/((10^-A98)+KaN_c) + (10^-A98) - (pH_PT*Ka1p_c*(10^-A98)^2 + 2*pH_PT*Ka1p_c*Ka2p_c*(10^-A98) + 3*pH_PT*Ka1p_c*Ka2p_c*Ka3p_c)/((10^-A98)^3 + Ka1p_c*(10^-A98)^2 + Ka1p_c*Ka2p_c*(10^-A98) + Ka1p_c*Ka2p_c*Ka3p_c) - Ka1c_c*CO2aqc/(10^-A98) - 2*Ka1c_c*Ka2c_c*CO2aqc/(10^-A98)^2 - Kw_c/(10^-A98)</f>
        <v>-16.661899190261</v>
      </c>
      <c r="E98" s="277">
        <f>IF(AND(D98&gt;=0,D99&lt;0),A98+pH_step*D98/(D98-D99),0)</f>
        <v>0.0</v>
      </c>
      <c r="F98" s="212">
        <f>SID_end_N + (10^-A98) - (pH_PT*Ka1p_c*(10^-A98)^2 + 2*pH_PT*Ka1p_c*Ka2p_c*(10^-A98) + 3*pH_PT*Ka1p_c*Ka2p_c*Ka3p_c)/((10^-A98)^3 + Ka1p_c*(10^-A98)^2 + Ka1p_c*Ka2p_c*(10^-A98) + Ka1p_c*Ka2p_c*Ka3p_c) - Ka1c_c*CO2aqc/(10^-A98) - 2*Ka1c_c*Ka2c_c*CO2aqc/(10^-A98)^2 - Kw_c/(10^-A98)</f>
        <v>-16.643576801476</v>
      </c>
      <c r="G98" s="277">
        <f>IF(AND(F98&gt;=0,F99&lt;0),A98+pH_step*F98/(F98-F99),0)</f>
        <v>0.0</v>
      </c>
      <c r="H98" s="212">
        <f>SID_end_U + (10^-A98) - (pH_PT*Ka1p_c*(10^-A98)^2 + 2*pH_PT*Ka1p_c*Ka2p_c*(10^-A98) + 3*pH_PT*Ka1p_c*Ka2p_c*Ka3p_c)/((10^-A98)^3 + Ka1p_c*(10^-A98)^2 + Ka1p_c*Ka2p_c*(10^-A98) + Ka1p_c*Ka2p_c*Ka3p_c) - Ka1c_c*CO2aqc/(10^-A98) - 2*Ka1c_c*Ka2c_c*CO2aqc/(10^-A98)^2 - Kw_c/(10^-A98)</f>
        <v>-16.651715589225</v>
      </c>
      <c r="I98" s="277">
        <f>IF(AND(H98&gt;=0,H99&lt;0),A98+pH_step*H98/(H98-H99),0)</f>
        <v>0.0</v>
      </c>
    </row>
    <row r="99" x14ac:dyDescent="0.2">
      <c r="A99" s="268">
        <v>8.9</v>
      </c>
      <c r="B99" s="212">
        <f t="shared" si="3"/>
        <v>-21.920763103551</v>
      </c>
      <c r="C99" s="262">
        <f t="shared" si="4"/>
        <v>0.0</v>
      </c>
      <c r="D99" s="212">
        <f>SID_end_A + NT_end_A*(10^-A99)/((10^-A99)+KaN_c) + (10^-A99) - (pH_PT*Ka1p_c*(10^-A99)^2 + 2*pH_PT*Ka1p_c*Ka2p_c*(10^-A99) + 3*pH_PT*Ka1p_c*Ka2p_c*Ka3p_c)/((10^-A99)^3 + Ka1p_c*(10^-A99)^2 + Ka1p_c*Ka2p_c*(10^-A99) + Ka1p_c*Ka2p_c*Ka3p_c) - Ka1c_c*CO2aqc/(10^-A99) - 2*Ka1c_c*Ka2c_c*CO2aqc/(10^-A99)^2 - Kw_c/(10^-A99)</f>
        <v>-21.925757641702</v>
      </c>
      <c r="E99" s="277">
        <f>IF(AND(D99&gt;=0,D100&lt;0),A99+pH_step*D99/(D99-D100),0)</f>
        <v>0.0</v>
      </c>
      <c r="F99" s="212">
        <f>SID_end_N + (10^-A99) - (pH_PT*Ka1p_c*(10^-A99)^2 + 2*pH_PT*Ka1p_c*Ka2p_c*(10^-A99) + 3*pH_PT*Ka1p_c*Ka2p_c*Ka3p_c)/((10^-A99)^3 + Ka1p_c*(10^-A99)^2 + Ka1p_c*Ka2p_c*(10^-A99) + Ka1p_c*Ka2p_c*Ka3p_c) - Ka1c_c*CO2aqc/(10^-A99) - 2*Ka1c_c*Ka2c_c*CO2aqc/(10^-A99)^2 - Kw_c/(10^-A99)</f>
        <v>-21.907110342267</v>
      </c>
      <c r="G99" s="277">
        <f>IF(AND(F99&gt;=0,F100&lt;0),A99+pH_step*F99/(F99-F100),0)</f>
        <v>0.0</v>
      </c>
      <c r="H99" s="212">
        <f>SID_end_U + (10^-A99) - (pH_PT*Ka1p_c*(10^-A99)^2 + 2*pH_PT*Ka1p_c*Ka2p_c*(10^-A99) + 3*pH_PT*Ka1p_c*Ka2p_c*Ka3p_c)/((10^-A99)^3 + Ka1p_c*(10^-A99)^2 + Ka1p_c*Ka2p_c*(10^-A99) + Ka1p_c*Ka2p_c*Ka3p_c) - Ka1c_c*CO2aqc/(10^-A99) - 2*Ka1c_c*Ka2c_c*CO2aqc/(10^-A99)^2 - Kw_c/(10^-A99)</f>
        <v>-21.915249130016</v>
      </c>
      <c r="I99" s="277">
        <f>IF(AND(H99&gt;=0,H100&lt;0),A99+pH_step*H99/(H99-H100),0)</f>
        <v>0.0</v>
      </c>
    </row>
    <row r="100" x14ac:dyDescent="0.2">
      <c r="A100" s="268">
        <v>9</v>
      </c>
      <c r="B100" s="212">
        <f t="shared" si="3"/>
        <v>-29.103128305186</v>
      </c>
      <c r="C100" s="262">
        <f>0</f>
        <v>0.0</v>
      </c>
      <c r="D100" s="212">
        <f>SID_end_A + NT_end_A*(10^-A100)/((10^-A100)+KaN_c) + (10^-A100) - (pH_PT*Ka1p_c*(10^-A100)^2 + 2*pH_PT*Ka1p_c*Ka2p_c*(10^-A100) + 3*pH_PT*Ka1p_c*Ka2p_c*Ka3p_c)/((10^-A100)^3 + Ka1p_c*(10^-A100)^2 + Ka1p_c*Ka2p_c*(10^-A100) + Ka1p_c*Ka2p_c*Ka3p_c) - Ka1c_c*CO2aqc/(10^-A100) - 2*Ka1c_c*Ka2c_c*CO2aqc/(10^-A100)^2 - Kw_c/(10^-A100)</f>
        <v>-29.107668668971</v>
      </c>
      <c r="E100" s="277">
        <f>0</f>
        <v>0.0</v>
      </c>
      <c r="F100" s="212">
        <f>SID_end_N + (10^-A100) - (pH_PT*Ka1p_c*(10^-A100)^2 + 2*pH_PT*Ka1p_c*Ka2p_c*(10^-A100) + 3*pH_PT*Ka1p_c*Ka2p_c*Ka3p_c)/((10^-A100)^3 + Ka1p_c*(10^-A100)^2 + Ka1p_c*Ka2p_c*(10^-A100) + Ka1p_c*Ka2p_c*Ka3p_c) - Ka1c_c*CO2aqc/(10^-A100) - 2*Ka1c_c*Ka2c_c*CO2aqc/(10^-A100)^2 - Kw_c/(10^-A100)</f>
        <v>-29.088679072326</v>
      </c>
      <c r="G100" s="277">
        <f>0</f>
        <v>0.0</v>
      </c>
      <c r="H100" s="212">
        <f>SID_end_U + (10^-A100) - (pH_PT*Ka1p_c*(10^-A100)^2 + 2*pH_PT*Ka1p_c*Ka2p_c*(10^-A100) + 3*pH_PT*Ka1p_c*Ka2p_c*Ka3p_c)/((10^-A100)^3 + Ka1p_c*(10^-A100)^2 + Ka1p_c*Ka2p_c*(10^-A100) + Ka1p_c*Ka2p_c*Ka3p_c) - Ka1c_c*CO2aqc/(10^-A100) - 2*Ka1c_c*Ka2c_c*CO2aqc/(10^-A100)^2 - Kw_c/(10^-A100)</f>
        <v>-29.096817860075</v>
      </c>
      <c r="I100" s="277">
        <f>0</f>
        <v>0.0</v>
      </c>
    </row>
    <row r="101" s="320" customFormat="1" x14ac:dyDescent="0.2">
      <c r="B101" s="317"/>
      <c r="C101" s="317"/>
    </row>
    <row r="102" x14ac:dyDescent="0.2">
      <c r="A102" t="s" s="263">
        <v>20</v>
      </c>
      <c r="B102" t="s" s="263">
        <v>21</v>
      </c>
      <c r="C102" t="s" s="263">
        <v>22</v>
      </c>
      <c r="D102" t="s" s="263">
        <v>23</v>
      </c>
      <c r="E102" t="s" s="263">
        <v>104</v>
      </c>
    </row>
    <row r="103" x14ac:dyDescent="0.2" ht="64.5" customHeight="1">
      <c r="A103" t="s" s="265">
        <v>1889</v>
      </c>
      <c r="B103" t="s" s="266">
        <v>850</v>
      </c>
      <c r="C103" t="s" s="265">
        <v>851</v>
      </c>
      <c r="D103" s="198">
        <f>IF(n_cross=1,SUM(C50:C100),NA())</f>
        <v>6.359495861596</v>
      </c>
      <c r="E103" t="s" s="306">
        <v>1634</v>
      </c>
      <c r="F103" t="s" s="269">
        <v>1890</v>
      </c>
    </row>
    <row r="104" x14ac:dyDescent="0.2" ht="52" customHeight="1">
      <c r="A104" t="s" s="265">
        <v>852</v>
      </c>
      <c r="B104" t="s" s="266">
        <v>853</v>
      </c>
      <c r="C104" t="s" s="265">
        <v>854</v>
      </c>
      <c r="D104" s="199">
        <f>1/(1+KaHOCl_c/10^-pH_op)</f>
        <v>0.884777651302</v>
      </c>
      <c r="E104" t="s" s="306">
        <v>1891</v>
      </c>
    </row>
    <row r="105" x14ac:dyDescent="0.2" ht="52" customHeight="1">
      <c r="A105" t="s" s="265">
        <v>897</v>
      </c>
      <c r="B105" t="s" s="266">
        <v>898</v>
      </c>
      <c r="C105" t="s" s="265">
        <v>899</v>
      </c>
      <c r="D105" s="262">
        <f>SUMPRODUCT((B50:B99&gt;=0)*(B51:B100&lt;0))</f>
        <v>1.0</v>
      </c>
      <c r="E105" t="s" s="306">
        <v>900</v>
      </c>
      <c r="F105" s="271"/>
    </row>
    <row r="106" ht="48" x14ac:dyDescent="0.2">
      <c r="A106" t="s" s="278">
        <v>855</v>
      </c>
      <c r="B106" s="278"/>
      <c r="C106" s="278"/>
      <c r="D106" s="278"/>
      <c r="E106" s="278"/>
      <c r="G106" t="s" s="298">
        <v>902</v>
      </c>
    </row>
    <row r="107" ht="328" x14ac:dyDescent="0.2">
      <c r="A107" t="s" s="265">
        <v>943</v>
      </c>
      <c r="B107" t="s" s="266">
        <v>856</v>
      </c>
      <c r="C107" t="s" s="265">
        <v>857</v>
      </c>
      <c r="D107" s="196">
        <f>Iappc/(2*Fcc)*M_HOCl*3600/VLc</f>
        <v>371.244905447914</v>
      </c>
      <c r="E107" s="310" t="str">
        <f>IF(P_HOCl&gt;0,"Naive FE=1 ceiling; overstates operative production by "&amp;TEXT(bleach_rate/(P_HOCl*M_HOCl*3600),"0")&amp;" times","No chlorine production at the selected chloride inventory")</f>
        <v>No chlorine production at the selected chloride inventory</v>
      </c>
      <c r="G107" t="s" s="272">
        <v>903</v>
      </c>
    </row>
    <row r="108" ht="284" x14ac:dyDescent="0.2">
      <c r="A108" t="s" s="265">
        <v>858</v>
      </c>
      <c r="B108" t="s" s="266">
        <v>859</v>
      </c>
      <c r="C108" t="s" s="265">
        <v>860</v>
      </c>
      <c r="D108" s="199">
        <f>1/(bleach_rate)*60</f>
        <v>0.161618379457</v>
      </c>
      <c r="E108" t="s" s="306">
        <v>861</v>
      </c>
      <c r="G108" t="s" s="272">
        <v>904</v>
      </c>
    </row>
    <row r="109" ht="204" x14ac:dyDescent="0.2">
      <c r="A109" t="s" s="265">
        <v>862</v>
      </c>
      <c r="B109" t="s" s="266">
        <v>863</v>
      </c>
      <c r="C109" t="s" s="265">
        <v>864</v>
      </c>
      <c r="D109" s="216"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t="s" s="306">
        <v>1008</v>
      </c>
      <c r="G109" t="s" s="272">
        <v>905</v>
      </c>
    </row>
    <row r="110" ht="328" x14ac:dyDescent="0.2">
      <c r="A110" t="s" s="265">
        <v>865</v>
      </c>
      <c r="B110" t="s" s="266">
        <v>866</v>
      </c>
      <c r="C110" t="s" s="265">
        <v>867</v>
      </c>
      <c r="D110" s="216"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t="s" s="306">
        <v>1635</v>
      </c>
      <c r="G110" t="s" s="272">
        <v>906</v>
      </c>
    </row>
    <row r="112" x14ac:dyDescent="0.2" hidden="1">
      <c r="A112" s="278"/>
      <c r="B112" s="278"/>
      <c r="C112" s="278"/>
      <c r="D112" s="278"/>
      <c r="E112" s="278"/>
      <c r="F112"/>
      <c r="G112"/>
    </row>
    <row r="113" x14ac:dyDescent="0.2" hidden="1">
      <c r="A113" s="263"/>
      <c r="B113" s="263"/>
      <c r="C113" s="263"/>
      <c r="D113" s="263"/>
      <c r="E113" s="263"/>
      <c r="F113"/>
      <c r="G113"/>
    </row>
    <row r="114" x14ac:dyDescent="0.2" hidden="1">
      <c r="A114" s="265"/>
      <c r="B114" s="268"/>
      <c r="C114" s="212"/>
      <c r="D114" s="268"/>
      <c r="E114" s="318"/>
      <c r="F114"/>
      <c r="G114"/>
    </row>
    <row r="115" x14ac:dyDescent="0.2" hidden="1">
      <c r="A115" s="265"/>
      <c r="B115" s="268"/>
      <c r="C115" s="212"/>
      <c r="D115" s="268"/>
      <c r="E115" s="318"/>
      <c r="F115"/>
      <c r="G115"/>
    </row>
    <row r="116" x14ac:dyDescent="0.2" hidden="1">
      <c r="A116" s="265"/>
      <c r="B116" s="268"/>
      <c r="C116" s="212"/>
      <c r="D116" s="268"/>
      <c r="E116" s="318"/>
      <c r="F116"/>
      <c r="G116"/>
    </row>
    <row r="117" hidden="1"/>
    <row r="118" hidden="1"/>
    <row r="119" hidden="1"/>
    <row r="120" hidden="1"/>
    <row r="121" hidden="1"/>
    <row r="122" hidden="1"/>
    <row r="123" x14ac:dyDescent="0.2" hidden="1">
      <c r="A123" s="319"/>
    </row>
    <row r="124" hidden="1"/>
    <row r="125" x14ac:dyDescent="0.2" ht="77" customHeight="1">
      <c r="A125" t="s" s="265">
        <v>944</v>
      </c>
      <c r="B125" t="s" s="266">
        <v>882</v>
      </c>
      <c r="C125" t="s" s="265">
        <v>883</v>
      </c>
      <c r="D125" s="262">
        <f>pH_Cl*pH_fHOCl*M_HOCl</f>
        <v>0.0</v>
      </c>
      <c r="E125" t="s" s="306">
        <v>1289</v>
      </c>
    </row>
    <row r="127" ht="16" x14ac:dyDescent="0.2">
      <c r="A127" t="s" s="278">
        <v>947</v>
      </c>
      <c r="B127" s="278"/>
      <c r="C127" s="278"/>
      <c r="D127" s="278"/>
      <c r="E127" s="278"/>
    </row>
    <row r="128" x14ac:dyDescent="0.2" ht="77" customHeight="1">
      <c r="A128" t="s" s="265">
        <v>948</v>
      </c>
      <c r="B128" t="s" s="266">
        <v>949</v>
      </c>
      <c r="C128" t="s" s="265">
        <v>950</v>
      </c>
      <c r="D128" s="268">
        <v>0.5</v>
      </c>
      <c r="E128" t="s" s="306">
        <v>1290</v>
      </c>
    </row>
    <row r="129" x14ac:dyDescent="0.2" ht="52" customHeight="1">
      <c r="A129" t="s" s="265">
        <v>951</v>
      </c>
      <c r="B129" t="s" s="266">
        <v>952</v>
      </c>
      <c r="C129" t="s" s="265">
        <v>953</v>
      </c>
      <c r="D129" s="209">
        <f>km_O2_c*(D_Cl/D_O2_c)^km_exp_c</f>
        <v>0.003746398314</v>
      </c>
      <c r="E129" t="s" s="306">
        <v>1892</v>
      </c>
    </row>
    <row r="130" x14ac:dyDescent="0.2" ht="39.5" customHeight="1">
      <c r="A130" t="s" s="265">
        <v>954</v>
      </c>
      <c r="B130" t="s" s="266">
        <v>955</v>
      </c>
      <c r="C130" t="s" s="265">
        <v>956</v>
      </c>
      <c r="D130" s="198">
        <f>Electrochemistry!A_anode_wet</f>
        <v>1.730635055817</v>
      </c>
      <c r="E130" t="s" s="306">
        <v>1233</v>
      </c>
    </row>
    <row r="131" x14ac:dyDescent="0.2">
      <c r="A131" t="s" s="265">
        <v>957</v>
      </c>
      <c r="B131" t="s" s="266">
        <v>958</v>
      </c>
      <c r="C131" t="s" s="265">
        <v>959</v>
      </c>
      <c r="D131" s="209">
        <f>Iappc*FE_CER</f>
        <v>0.002845</v>
      </c>
      <c r="E131" t="s" s="306">
        <v>960</v>
      </c>
    </row>
    <row r="132" x14ac:dyDescent="0.2" ht="127" customHeight="1">
      <c r="A132" t="s" s="265">
        <v>961</v>
      </c>
      <c r="B132" t="s" s="266">
        <v>962</v>
      </c>
      <c r="C132" t="s" s="265">
        <v>959</v>
      </c>
      <c r="D132" s="262">
        <f>n_e_Cl*Fcc*km_Cl*(pH_Cl*Cl_free_frac/1000)*A_anode</f>
        <v>0.0</v>
      </c>
      <c r="E132" t="s" s="313">
        <v>1893</v>
      </c>
    </row>
    <row r="133" x14ac:dyDescent="0.2" ht="27" customHeight="1">
      <c r="A133" t="s" s="265">
        <v>963</v>
      </c>
      <c r="B133" t="s" s="266">
        <v>964</v>
      </c>
      <c r="C133" t="s" s="265">
        <v>959</v>
      </c>
      <c r="D133" s="262">
        <f>MIN(I_Cl_FE,I_Cl_mt)</f>
        <v>0.0</v>
      </c>
      <c r="E133" t="s" s="306">
        <v>965</v>
      </c>
    </row>
    <row r="134" x14ac:dyDescent="0.2" ht="39.5" customHeight="1">
      <c r="A134" t="s" s="265">
        <v>966</v>
      </c>
      <c r="B134" t="s" s="266">
        <v>967</v>
      </c>
      <c r="C134" t="s" s="265">
        <v>968</v>
      </c>
      <c r="D134" s="262">
        <f>I_Cl/(n_e_Cl*Fcc*VLc)</f>
        <v>0.0</v>
      </c>
      <c r="E134" t="s" s="306">
        <v>1894</v>
      </c>
    </row>
    <row r="135" x14ac:dyDescent="0.2">
      <c r="A135" t="s" s="265">
        <v>969</v>
      </c>
      <c r="B135" t="s" s="266">
        <v>970</v>
      </c>
      <c r="C135" t="s" s="265">
        <v>971</v>
      </c>
      <c r="D135" s="196">
        <f>pH_NT*MW_N</f>
        <v>199.918283638565</v>
      </c>
      <c r="E135" t="s" s="306">
        <v>972</v>
      </c>
    </row>
    <row r="136" x14ac:dyDescent="0.2" ht="52" customHeight="1">
      <c r="A136" t="s" s="265">
        <v>973</v>
      </c>
      <c r="B136" t="s" s="266">
        <v>974</v>
      </c>
      <c r="C136" t="s" s="265">
        <v>975</v>
      </c>
      <c r="D136" s="268">
        <v>4200000</v>
      </c>
      <c r="E136" t="s" s="306">
        <v>976</v>
      </c>
    </row>
    <row r="137" x14ac:dyDescent="0.2" ht="77" customHeight="1">
      <c r="A137" t="s" s="265">
        <v>977</v>
      </c>
      <c r="B137" t="s" s="266">
        <v>978</v>
      </c>
      <c r="C137" t="s" s="265">
        <v>950</v>
      </c>
      <c r="D137" s="198">
        <f>-LOG10(Ka_NH4)</f>
        <v>9.100978320656</v>
      </c>
      <c r="E137" t="s" s="306">
        <v>1302</v>
      </c>
    </row>
    <row r="138" x14ac:dyDescent="0.2" ht="27" customHeight="1">
      <c r="A138" t="s" s="265">
        <v>979</v>
      </c>
      <c r="B138" t="s" s="266">
        <v>980</v>
      </c>
      <c r="C138" t="s" s="265">
        <v>981</v>
      </c>
      <c r="D138" s="209">
        <f>pH_NT/(1+10^(pKa_NH4-pH_op))</f>
        <v>2.583675976917e-05</v>
      </c>
      <c r="E138" t="s" s="306">
        <v>982</v>
      </c>
    </row>
    <row r="139" x14ac:dyDescent="0.2" ht="64.5" customHeight="1">
      <c r="A139" t="s" s="265">
        <v>983</v>
      </c>
      <c r="B139" t="s" s="266">
        <v>984</v>
      </c>
      <c r="C139" t="s" s="265">
        <v>981</v>
      </c>
      <c r="D139" s="262">
        <f>IF(NH3_free&gt;0,P_HOCl/(k1_NH2Cl*NH3_free),IF(P_HOCl&gt;0,pH_Cl,0))</f>
        <v>0.0</v>
      </c>
      <c r="E139" t="inlineStr" s="306">
        <is>
          <t>[HOCl]_ss = production/(k₁·NH₃_free). Rises with current, falls with ammonium and pH. With no ammonia (nitrate or urea, D326 section) nothing scavenges it, so any production accumulates to the whole chloride pool (D47).</t>
        </is>
      </c>
    </row>
    <row r="140" x14ac:dyDescent="0.2" ht="39.5" customHeight="1">
      <c r="A140" t="s" s="265">
        <v>986</v>
      </c>
      <c r="B140" t="s" s="266">
        <v>987</v>
      </c>
      <c r="C140" t="s" s="265">
        <v>971</v>
      </c>
      <c r="D140" s="262">
        <f>HOCl_ss*M_HOCl</f>
        <v>0.0</v>
      </c>
      <c r="E140" t="s" s="306">
        <v>988</v>
      </c>
    </row>
    <row r="141" x14ac:dyDescent="0.2" ht="64.5" customHeight="1">
      <c r="A141" t="s" s="265">
        <v>989</v>
      </c>
      <c r="B141" t="s" s="266">
        <v>990</v>
      </c>
      <c r="C141" t="s" s="265">
        <v>950</v>
      </c>
      <c r="D141" s="268">
        <v>10</v>
      </c>
      <c r="E141" t="s" s="306">
        <v>991</v>
      </c>
    </row>
    <row r="142" x14ac:dyDescent="0.2" ht="139.5" customHeight="1">
      <c r="A142" t="s" s="265">
        <v>992</v>
      </c>
      <c r="B142" t="s" s="266">
        <v>993</v>
      </c>
      <c r="C142" t="s" s="265">
        <v>994</v>
      </c>
      <c r="D142" s="277">
        <f>IF(ISNUMBER(cal_tau_NH2Cl),cal_tau_NH2Cl,tau_NH2Cl_default)</f>
        <v>1.0</v>
      </c>
      <c r="E142" s="313" t="inlineStr">
        <is>
          <t xml:space="preserve">Monochloramine residence time: the included calibration for this reactor and medium (Calibrations cal_tau_NH2Cl) when there is one, otherwise the default (D314). The calibration inverts the model’s own steady state, τ = max(B/(k(C − B)), B/P), from the plateau combined chlorine B, the chloride pool C (D47), the turnover k (D271) and the production P (D315), none of which depends on τ (Calibrations rows 155–162, protocols/chlorine-species.md); dividing by a τ-dependent production rate would be circular.</t>
        </is>
      </c>
    </row>
    <row r="143" x14ac:dyDescent="0.2" ht="39.5" customHeight="1">
      <c r="A143" t="s" s="265">
        <v>995</v>
      </c>
      <c r="B143" t="s" s="266">
        <v>996</v>
      </c>
      <c r="C143" t="s" s="265">
        <v>971</v>
      </c>
      <c r="D143" s="277">
        <f>Cl_bound*M_HOCl</f>
        <v>0.0</v>
      </c>
      <c r="E143" t="s" s="313">
        <v>2865</v>
      </c>
    </row>
    <row r="144" x14ac:dyDescent="0.2" ht="52" customHeight="1">
      <c r="A144" t="s" s="265">
        <v>997</v>
      </c>
      <c r="B144" t="s" s="266">
        <v>998</v>
      </c>
      <c r="C144" t="s" s="265">
        <v>950</v>
      </c>
      <c r="D144" s="268">
        <v>25</v>
      </c>
      <c r="E144" t="s" s="306">
        <v>999</v>
      </c>
    </row>
    <row r="145" x14ac:dyDescent="0.2" ht="77" customHeight="1">
      <c r="A145" t="s" s="265">
        <v>1000</v>
      </c>
      <c r="B145" t="s" s="266">
        <v>1001</v>
      </c>
      <c r="C145" t="s" s="265">
        <v>971</v>
      </c>
      <c r="D145" s="262">
        <f>f_local*HOCl_ss_mgL+NH2Cl_mgL/R_chloramine</f>
        <v>0.0</v>
      </c>
      <c r="E145" t="s" s="306">
        <v>1895</v>
      </c>
    </row>
    <row r="146" x14ac:dyDescent="0.2" ht="52" customHeight="1">
      <c r="A146" t="s" s="265">
        <v>1002</v>
      </c>
      <c r="B146" t="s" s="266">
        <v>1003</v>
      </c>
      <c r="C146" t="s" s="265">
        <v>971</v>
      </c>
      <c r="D146" s="268">
        <v>0.1</v>
      </c>
      <c r="E146" t="s" s="306">
        <v>1004</v>
      </c>
    </row>
    <row r="147" x14ac:dyDescent="0.2" ht="39.5" customHeight="1">
      <c r="A147" t="s" s="265">
        <v>1005</v>
      </c>
      <c r="B147" t="s" s="266">
        <v>1006</v>
      </c>
      <c r="C147" t="s" s="265">
        <v>971</v>
      </c>
      <c r="D147" s="268">
        <v>2</v>
      </c>
      <c r="E147" t="s" s="306">
        <v>1007</v>
      </c>
    </row>
    <row r="148" x14ac:dyDescent="0.2" ht="102" customHeight="1">
      <c r="A148" t="s" s="265">
        <v>1058</v>
      </c>
      <c r="B148" t="s" s="266">
        <v>1059</v>
      </c>
      <c r="C148" t="s" s="265">
        <v>1060</v>
      </c>
      <c r="D148" s="262">
        <f>2</f>
        <v>2.0</v>
      </c>
      <c r="E148" t="s" s="306">
        <v>1896</v>
      </c>
    </row>
    <row r="149" x14ac:dyDescent="0.2" ht="64.5" customHeight="1">
      <c r="A149" t="s" s="265">
        <v>1061</v>
      </c>
      <c r="B149" t="s" s="266">
        <v>1062</v>
      </c>
      <c r="C149" t="s" s="265">
        <v>1063</v>
      </c>
      <c r="D149" s="262">
        <f>pH_Cl*M_HOCl</f>
        <v>0.0</v>
      </c>
      <c r="E149" t="s" s="306">
        <v>1897</v>
      </c>
    </row>
    <row r="150" x14ac:dyDescent="0.2" ht="27" customHeight="1">
      <c r="A150" t="s" s="265">
        <v>1064</v>
      </c>
      <c r="B150" t="s" s="266">
        <v>1065</v>
      </c>
      <c r="C150" t="s" s="265">
        <v>1066</v>
      </c>
      <c r="D150" s="268">
        <v>1.6666666666666666E-2</v>
      </c>
      <c r="E150" t="s" s="313">
        <v>1067</v>
      </c>
    </row>
    <row r="151" x14ac:dyDescent="0.2" ht="27" customHeight="1">
      <c r="A151" t="s" s="265">
        <v>1068</v>
      </c>
      <c r="B151" t="s" s="266">
        <v>1069</v>
      </c>
      <c r="C151" t="s" s="265">
        <v>1070</v>
      </c>
      <c r="D151" s="268">
        <v>5</v>
      </c>
      <c r="E151" t="s" s="313">
        <v>1071</v>
      </c>
    </row>
    <row r="152" x14ac:dyDescent="0.2" ht="27" customHeight="1">
      <c r="A152" t="s" s="265">
        <v>1072</v>
      </c>
      <c r="B152" t="s" s="266">
        <v>1073</v>
      </c>
      <c r="C152" t="s" s="265">
        <v>1074</v>
      </c>
      <c r="D152" s="268">
        <v>18</v>
      </c>
      <c r="E152" t="s" s="313">
        <v>1075</v>
      </c>
    </row>
    <row r="153" x14ac:dyDescent="0.2" ht="27" customHeight="1">
      <c r="A153" t="s" s="265">
        <v>1076</v>
      </c>
      <c r="B153" t="s" s="266">
        <v>1077</v>
      </c>
      <c r="C153" t="s" s="265">
        <v>1078</v>
      </c>
      <c r="D153" s="268">
        <v>70</v>
      </c>
      <c r="E153" t="s" s="313">
        <v>1079</v>
      </c>
    </row>
    <row r="154" x14ac:dyDescent="0.2" ht="27" customHeight="1">
      <c r="A154" t="s" s="265">
        <v>1080</v>
      </c>
      <c r="B154" t="s" s="266">
        <v>1081</v>
      </c>
      <c r="C154" t="s" s="265">
        <v>1082</v>
      </c>
      <c r="D154" s="277">
        <f>MIN(pH_Cl*k_Cl_turn*tau_NH2Cl_lo*3600/(1+k_Cl_turn*tau_NH2Cl_lo*3600),I_Cl_FE/(n_e_Cl*Fcc*VLc)*tau_NH2Cl_lo*3600,pH_NT)*M_HOCl</f>
        <v>0.0</v>
      </c>
      <c r="E154" t="s" s="306">
        <v>1898</v>
      </c>
    </row>
    <row r="155" x14ac:dyDescent="0.2" ht="27" customHeight="1">
      <c r="A155" t="s" s="265">
        <v>1083</v>
      </c>
      <c r="B155" t="s" s="266">
        <v>1084</v>
      </c>
      <c r="C155" t="s" s="265">
        <v>1085</v>
      </c>
      <c r="D155" s="277">
        <f>MIN(pH_Cl*k_Cl_turn*tau_NH2Cl_hi*3600/(1+k_Cl_turn*tau_NH2Cl_hi*3600),I_Cl_FE/(n_e_Cl*Fcc*VLc)*tau_NH2Cl_hi*3600,pH_NT)*M_HOCl</f>
        <v>0.0</v>
      </c>
      <c r="E155" t="s" s="306">
        <v>1899</v>
      </c>
    </row>
    <row r="156" x14ac:dyDescent="0.2" ht="27" customHeight="1">
      <c r="A156" t="s" s="265">
        <v>1086</v>
      </c>
      <c r="B156" t="s" s="266">
        <v>1087</v>
      </c>
      <c r="C156" t="s" s="265">
        <v>1088</v>
      </c>
      <c r="D156" s="262">
        <f>f_local*HOCl_ss_mgL+NH2Cl_lo/R_chloramine_hi</f>
        <v>0.0</v>
      </c>
      <c r="E156" t="s" s="306">
        <v>1089</v>
      </c>
    </row>
    <row r="157" x14ac:dyDescent="0.2" ht="39.5" customHeight="1">
      <c r="A157" t="s" s="265">
        <v>1090</v>
      </c>
      <c r="B157" t="s" s="266">
        <v>1091</v>
      </c>
      <c r="C157" t="s" s="265">
        <v>1092</v>
      </c>
      <c r="D157" s="262">
        <f>f_local*HOCl_ss_mgL+NH2Cl_hi/R_chloramine_lo</f>
        <v>0.0</v>
      </c>
      <c r="E157" t="s" s="306">
        <v>1093</v>
      </c>
    </row>
    <row r="158" x14ac:dyDescent="0.2" ht="39.5" customHeight="1">
      <c r="A158" t="s" s="265">
        <v>1094</v>
      </c>
      <c r="B158" t="s" s="266">
        <v>1095</v>
      </c>
      <c r="C158" t="s" s="265">
        <v>1096</v>
      </c>
      <c r="D158" s="268"/>
      <c r="E158" t="s" s="307">
        <v>1097</v>
      </c>
    </row>
    <row r="159" x14ac:dyDescent="0.2" ht="27" customHeight="1">
      <c r="A159" t="s" s="265">
        <v>1098</v>
      </c>
      <c r="B159" t="s" s="266">
        <v>1099</v>
      </c>
      <c r="C159" t="s" s="265">
        <v>1100</v>
      </c>
      <c r="D159" s="268">
        <v>63.55</v>
      </c>
      <c r="E159" t="s" s="306">
        <v>1101</v>
      </c>
    </row>
    <row r="160" x14ac:dyDescent="0.2">
      <c r="A160" t="s" s="265">
        <v>1102</v>
      </c>
      <c r="B160" t="s" s="266">
        <v>1103</v>
      </c>
      <c r="C160" t="s" s="265">
        <v>1104</v>
      </c>
      <c r="D160" s="268">
        <v>2</v>
      </c>
      <c r="E160" t="s" s="306">
        <v>1105</v>
      </c>
    </row>
    <row r="161" x14ac:dyDescent="0.2" ht="27" customHeight="1">
      <c r="A161" t="s" s="265">
        <v>1106</v>
      </c>
      <c r="B161" t="s" s="266">
        <v>1107</v>
      </c>
      <c r="C161" t="s" s="265">
        <v>1108</v>
      </c>
      <c r="D161" s="196" t="e">
        <f>IF(ISNUMBER(corr_I_frac),corr_I_frac*Iappc/(metal_z*Fcc)*metal_MW*1000*3600/VLc,NA())</f>
        <v>#N/A</v>
      </c>
      <c r="E161" t="s" s="307">
        <v>1109</v>
      </c>
    </row>
    <row r="162" x14ac:dyDescent="0.2" ht="27" customHeight="1">
      <c r="A162" t="s" s="265">
        <v>1110</v>
      </c>
      <c r="B162" t="s" s="266">
        <v>1111</v>
      </c>
      <c r="C162" t="s" s="265">
        <v>1112</v>
      </c>
      <c r="D162" s="268">
        <v>0.5</v>
      </c>
      <c r="E162" t="s" s="306">
        <v>1113</v>
      </c>
    </row>
    <row r="163" x14ac:dyDescent="0.2" ht="27" customHeight="1">
      <c r="A163" t="s" s="265">
        <v>1114</v>
      </c>
      <c r="B163" t="s" s="266">
        <v>1115</v>
      </c>
      <c r="C163" t="s" s="265">
        <v>1116</v>
      </c>
      <c r="D163" s="216"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t="s" s="307">
        <v>1117</v>
      </c>
    </row>
    <row r="165" x14ac:dyDescent="0.2">
      <c r="A165" t="s" s="278">
        <v>1303</v>
      </c>
      <c r="B165" s="278"/>
      <c r="C165" s="278"/>
      <c r="D165" s="278"/>
      <c r="E165" s="278"/>
    </row>
    <row r="166" x14ac:dyDescent="0.2" ht="52" customHeight="1">
      <c r="A166" t="s" s="265">
        <v>1304</v>
      </c>
      <c r="B166" t="s" s="266">
        <v>1305</v>
      </c>
      <c r="C166" t="s" s="265">
        <v>1306</v>
      </c>
      <c r="D166" s="268">
        <v>50.08</v>
      </c>
      <c r="E166" t="s" s="303">
        <v>1307</v>
      </c>
    </row>
    <row r="167" x14ac:dyDescent="0.2" ht="52" customHeight="1">
      <c r="A167" t="s" s="265">
        <v>1308</v>
      </c>
      <c r="B167" t="s" s="266">
        <v>1309</v>
      </c>
      <c r="C167" t="s" s="265">
        <v>1306</v>
      </c>
      <c r="D167" s="268">
        <v>73.48</v>
      </c>
      <c r="E167" t="s" s="303">
        <v>1307</v>
      </c>
    </row>
    <row r="168" x14ac:dyDescent="0.2" ht="52" customHeight="1">
      <c r="A168" t="s" s="265">
        <v>1310</v>
      </c>
      <c r="B168" t="s" s="266">
        <v>1311</v>
      </c>
      <c r="C168" t="s" s="265">
        <v>1306</v>
      </c>
      <c r="D168" s="268">
        <v>73.5</v>
      </c>
      <c r="E168" t="s" s="303">
        <v>1307</v>
      </c>
    </row>
    <row r="169" x14ac:dyDescent="0.2" ht="52" customHeight="1">
      <c r="A169" t="s" s="265">
        <v>1312</v>
      </c>
      <c r="B169" t="s" s="266">
        <v>1313</v>
      </c>
      <c r="C169" t="s" s="265">
        <v>1306</v>
      </c>
      <c r="D169" s="268">
        <v>106</v>
      </c>
      <c r="E169" t="s" s="303">
        <v>1307</v>
      </c>
    </row>
    <row r="170" x14ac:dyDescent="0.2" ht="52" customHeight="1">
      <c r="A170" t="s" s="265">
        <v>1314</v>
      </c>
      <c r="B170" t="s" s="266">
        <v>1315</v>
      </c>
      <c r="C170" t="s" s="265">
        <v>1306</v>
      </c>
      <c r="D170" s="268">
        <v>118.94</v>
      </c>
      <c r="E170" t="s" s="303">
        <v>1307</v>
      </c>
    </row>
    <row r="171" x14ac:dyDescent="0.2" ht="52" customHeight="1">
      <c r="A171" t="s" s="265">
        <v>1316</v>
      </c>
      <c r="B171" t="s" s="266">
        <v>1317</v>
      </c>
      <c r="C171" t="s" s="265">
        <v>1306</v>
      </c>
      <c r="D171" s="268">
        <v>36</v>
      </c>
      <c r="E171" t="s" s="303">
        <v>1307</v>
      </c>
    </row>
    <row r="172" x14ac:dyDescent="0.2" ht="52" customHeight="1">
      <c r="A172" t="s" s="265">
        <v>1318</v>
      </c>
      <c r="B172" t="s" s="266">
        <v>1319</v>
      </c>
      <c r="C172" t="s" s="265">
        <v>1306</v>
      </c>
      <c r="D172" s="268">
        <v>114</v>
      </c>
      <c r="E172" t="s" s="303">
        <v>1307</v>
      </c>
    </row>
    <row r="173" x14ac:dyDescent="0.2" ht="52" customHeight="1">
      <c r="A173" t="s" s="265">
        <v>1320</v>
      </c>
      <c r="B173" t="s" s="266">
        <v>1321</v>
      </c>
      <c r="C173" t="s" s="265">
        <v>1306</v>
      </c>
      <c r="D173" s="268">
        <v>160</v>
      </c>
      <c r="E173" t="s" s="303">
        <v>1307</v>
      </c>
    </row>
    <row r="174" x14ac:dyDescent="0.2" ht="52" customHeight="1">
      <c r="A174" t="s" s="265">
        <v>1322</v>
      </c>
      <c r="B174" t="s" s="266">
        <v>1323</v>
      </c>
      <c r="C174" t="s" s="265">
        <v>1306</v>
      </c>
      <c r="D174" s="268">
        <v>44.5</v>
      </c>
      <c r="E174" t="s" s="303">
        <v>1307</v>
      </c>
    </row>
    <row r="175" x14ac:dyDescent="0.2" ht="52" customHeight="1">
      <c r="A175" t="s" s="265">
        <v>1324</v>
      </c>
      <c r="B175" t="s" s="266">
        <v>1325</v>
      </c>
      <c r="C175" t="s" s="265">
        <v>1306</v>
      </c>
      <c r="D175" s="268">
        <v>76.31</v>
      </c>
      <c r="E175" t="s" s="303">
        <v>1307</v>
      </c>
    </row>
    <row r="176" x14ac:dyDescent="0.2" ht="52" customHeight="1">
      <c r="A176" s="265"/>
      <c r="B176" s="266"/>
      <c r="C176" s="265"/>
      <c r="D176" s="199"/>
      <c r="E176" s="306"/>
      <c r="F176"/>
      <c r="G176"/>
    </row>
    <row r="177" x14ac:dyDescent="0.2" hidden="1">
      <c r="A177" s="265"/>
      <c r="B177" s="266"/>
      <c r="C177" s="265"/>
      <c r="D177" s="199"/>
      <c r="E177" s="306"/>
      <c r="F177"/>
      <c r="G177"/>
    </row>
    <row r="178" x14ac:dyDescent="0.2" ht="52" customHeight="1">
      <c r="A178" t="s" s="265">
        <v>1333</v>
      </c>
      <c r="B178" t="s" s="266">
        <v>1334</v>
      </c>
      <c r="C178" t="s" s="265">
        <v>1116</v>
      </c>
      <c r="D178" s="268">
        <v>0.78</v>
      </c>
      <c r="E178" s="313" t="inlineStr">
        <is>
          <t xml:space="preserve">Estimate anchored near I=0.1 M, not calibrated for AM003 at about 0.2 M. Retained 0.78 pending conductivity measurement; sweep 0.66–0.90 is illustrative, not a validated uncertainty bound.</t>
        </is>
      </c>
    </row>
    <row r="179" x14ac:dyDescent="0.2" ht="64.5" customHeight="1">
      <c r="A179" t="s" s="265">
        <v>1335</v>
      </c>
      <c r="B179" t="s" s="266">
        <v>1336</v>
      </c>
      <c r="C179" t="s" s="265">
        <v>1337</v>
      </c>
      <c r="D179" s="268">
        <v>0.02</v>
      </c>
      <c r="E179" t="s" s="306">
        <v>1338</v>
      </c>
    </row>
    <row r="180" x14ac:dyDescent="0.2" ht="52" customHeight="1">
      <c r="A180" t="s" s="265">
        <v>1339</v>
      </c>
      <c r="B180" t="s" s="266">
        <v>1340</v>
      </c>
      <c r="C180" t="s" s="265">
        <v>1328</v>
      </c>
      <c r="D180" s="198">
        <f>(med_kappa0_rec+alk_add_M*(lam_Na+lam_HCO3)/10)*kappa_fI*(1+kappa_TC*(TKc-T_ref))</f>
        <v>1.40129171645</v>
      </c>
      <c r="E180" s="306" t="inlineStr">
        <is>
          <t xml:space="preserve">(Kohlrausch sum of the chosen medium, D33, + the added NaHCO₃, D318) × finite-strength factor × temperature correction. Feeds the ohmic term of the cell-voltage budget (Electrochemistry).</t>
        </is>
      </c>
    </row>
    <row r="182" x14ac:dyDescent="0.2">
      <c r="A182" t="s" s="278">
        <v>1341</v>
      </c>
      <c r="B182" s="278"/>
      <c r="C182" s="278"/>
      <c r="D182" s="278"/>
      <c r="E182" s="278"/>
    </row>
    <row r="183" x14ac:dyDescent="0.2" ht="52" customHeight="1">
      <c r="A183" s="265"/>
      <c r="B183" s="266"/>
      <c r="C183" s="265"/>
      <c r="D183" s="199"/>
      <c r="E183" s="306"/>
      <c r="F183"/>
      <c r="G183"/>
    </row>
    <row r="184" x14ac:dyDescent="0.2" hidden="1">
      <c r="A184" s="265"/>
      <c r="B184" s="266"/>
      <c r="C184" s="265"/>
      <c r="D184" s="199"/>
      <c r="E184" s="306"/>
      <c r="F184"/>
      <c r="G184"/>
    </row>
    <row r="185" x14ac:dyDescent="0.2" ht="27" customHeight="1">
      <c r="A185" t="s" s="265">
        <v>1347</v>
      </c>
      <c r="B185" t="s" s="266">
        <v>1348</v>
      </c>
      <c r="C185" t="s" s="265">
        <v>981</v>
      </c>
      <c r="D185" s="199">
        <f>med_I_rec+alk_add_M</f>
        <v>0.200184197377</v>
      </c>
      <c r="E185" s="306" t="inlineStr">
        <is>
          <t xml:space="preserve">The chosen medium (D32), plus the added NaHCO₃ (D318: Na⁺ and HCO₃⁻, each z = 1).</t>
        </is>
      </c>
    </row>
    <row r="186" x14ac:dyDescent="0.2" ht="39.5" customHeight="1">
      <c r="A186" t="s" s="265">
        <v>1349</v>
      </c>
      <c r="B186" t="s" s="266">
        <v>1350</v>
      </c>
      <c r="C186" t="s" s="265">
        <v>1116</v>
      </c>
      <c r="D186" s="199">
        <f>DH_const*(eps_water_298*(T_ref/TKc)^eps_T_exp)^-1.5*TKc^-1.5</f>
        <v>0.512589593496</v>
      </c>
      <c r="E186" t="s" s="306">
        <v>1351</v>
      </c>
    </row>
    <row r="187" x14ac:dyDescent="0.2" ht="52" customHeight="1">
      <c r="A187" t="s" s="265">
        <v>1352</v>
      </c>
      <c r="B187" t="s" s="266">
        <v>1353</v>
      </c>
      <c r="C187" t="s" s="265">
        <v>1116</v>
      </c>
      <c r="D187" s="199">
        <f>10^(-A_DH*1*(SQRT(I_ionic)/(1+SQRT(I_ionic))-davies_c*I_ionic))</f>
        <v>0.745305665732</v>
      </c>
      <c r="E187" t="s" s="306">
        <v>1354</v>
      </c>
    </row>
    <row r="188" x14ac:dyDescent="0.2" ht="52" customHeight="1">
      <c r="A188" t="s" s="265">
        <v>1355</v>
      </c>
      <c r="B188" t="s" s="266">
        <v>1356</v>
      </c>
      <c r="C188" t="s" s="265">
        <v>1116</v>
      </c>
      <c r="D188" s="199">
        <f>10^(-A_DH*4*(SQRT(I_ionic)/(1+SQRT(I_ionic))-davies_c*I_ionic))</f>
        <v>0.308558625178</v>
      </c>
      <c r="E188" t="s" s="306">
        <v>1354</v>
      </c>
    </row>
    <row r="189" x14ac:dyDescent="0.2" ht="52" customHeight="1">
      <c r="A189" t="s" s="265">
        <v>1357</v>
      </c>
      <c r="B189" t="s" s="266">
        <v>1358</v>
      </c>
      <c r="C189" t="s" s="265">
        <v>1116</v>
      </c>
      <c r="D189" s="210">
        <f>10^(-A_DH*9*(SQRT(I_ionic)/(1+SQRT(I_ionic))-davies_c*I_ionic))</f>
        <v>0.070959378706</v>
      </c>
      <c r="E189" t="s" s="306">
        <v>1354</v>
      </c>
    </row>
    <row r="190" x14ac:dyDescent="0.2" ht="52" customHeight="1">
      <c r="A190" t="s" s="265">
        <v>1359</v>
      </c>
      <c r="B190" t="s" s="266">
        <v>1360</v>
      </c>
      <c r="C190" t="s" s="265">
        <v>981</v>
      </c>
      <c r="D190" s="209">
        <f>Ka1c/gamma_1^2</f>
        <v>8.513936323774e-07</v>
      </c>
      <c r="E190" t="s" s="306">
        <v>1361</v>
      </c>
    </row>
    <row r="191" x14ac:dyDescent="0.2" ht="39.5" customHeight="1">
      <c r="A191" t="s" s="265">
        <v>1362</v>
      </c>
      <c r="B191" t="s" s="266">
        <v>1363</v>
      </c>
      <c r="C191" t="s" s="265">
        <v>981</v>
      </c>
      <c r="D191" s="209">
        <f>Ka2c/gamma_2</f>
        <v>1.678375773579e-10</v>
      </c>
      <c r="E191" t="s" s="306">
        <v>1364</v>
      </c>
    </row>
    <row r="192" x14ac:dyDescent="0.2" ht="39.5" customHeight="1">
      <c r="A192" t="s" s="265">
        <v>1365</v>
      </c>
      <c r="B192" t="s" s="266">
        <v>1366</v>
      </c>
      <c r="C192" t="s" s="265">
        <v>981</v>
      </c>
      <c r="D192" s="210">
        <f>Ka1p/gamma_1^2</f>
        <v>0.012119179969</v>
      </c>
      <c r="E192" t="s" s="306">
        <v>1367</v>
      </c>
    </row>
    <row r="193" x14ac:dyDescent="0.2" ht="77" customHeight="1">
      <c r="A193" t="s" s="265">
        <v>1368</v>
      </c>
      <c r="B193" t="s" s="266">
        <v>1369</v>
      </c>
      <c r="C193" t="s" s="265">
        <v>981</v>
      </c>
      <c r="D193" s="209">
        <f>Ka2p/gamma_2</f>
        <v>2.094565709218e-07</v>
      </c>
      <c r="E193" t="s" s="306">
        <v>1370</v>
      </c>
    </row>
    <row r="194" x14ac:dyDescent="0.2" ht="39.5" customHeight="1">
      <c r="A194" t="s" s="265">
        <v>1371</v>
      </c>
      <c r="B194" t="s" s="266">
        <v>1372</v>
      </c>
      <c r="C194" t="s" s="265">
        <v>981</v>
      </c>
      <c r="D194" s="209">
        <f>Ka3p*gamma_2/(gamma_1*gamma_3)</f>
        <v>2.725682659848e-12</v>
      </c>
      <c r="E194" t="s" s="306">
        <v>1373</v>
      </c>
    </row>
    <row r="195" x14ac:dyDescent="0.2" ht="39.5" customHeight="1">
      <c r="A195" t="s" s="265">
        <v>1374</v>
      </c>
      <c r="B195" t="s" s="266">
        <v>1375</v>
      </c>
      <c r="C195" t="s" s="265">
        <v>981</v>
      </c>
      <c r="D195" s="209">
        <f>Kw_w/gamma_1^2</f>
        <v>2.609559044695e-14</v>
      </c>
      <c r="E195" t="s" s="306">
        <v>1376</v>
      </c>
    </row>
    <row r="196" x14ac:dyDescent="0.2" ht="39.5" customHeight="1">
      <c r="A196" t="s" s="265">
        <v>1377</v>
      </c>
      <c r="B196" t="s" s="266">
        <v>1378</v>
      </c>
      <c r="C196" t="s" s="265">
        <v>981</v>
      </c>
      <c r="D196" s="209">
        <f>Ka_HOCl/gamma_1^2</f>
        <v>5.691237610169e-08</v>
      </c>
      <c r="E196" t="s" s="306">
        <v>1379</v>
      </c>
    </row>
    <row r="197" x14ac:dyDescent="0.2" ht="39.5" customHeight="1">
      <c r="A197" t="s" s="265">
        <v>1380</v>
      </c>
      <c r="B197" t="s" s="266">
        <v>1381</v>
      </c>
      <c r="C197" t="s" s="265">
        <v>981</v>
      </c>
      <c r="D197" s="209">
        <f>Ka_NH4</f>
        <v>7.92540891973e-10</v>
      </c>
      <c r="E197" t="s" s="303">
        <v>1382</v>
      </c>
    </row>
    <row r="199" x14ac:dyDescent="0.2">
      <c r="A199" t="s" s="278">
        <v>1383</v>
      </c>
      <c r="B199" s="278"/>
      <c r="C199" s="278"/>
      <c r="D199" s="278"/>
      <c r="E199" s="278"/>
    </row>
    <row r="200" x14ac:dyDescent="0.2">
      <c r="A200" t="s" s="265">
        <v>1384</v>
      </c>
      <c r="B200" t="s" s="266">
        <v>1385</v>
      </c>
      <c r="C200" t="s" s="265">
        <v>1386</v>
      </c>
      <c r="D200" s="210">
        <f>R_gas*TKc/Fcc*LN(10)</f>
        <v>0.060151456841</v>
      </c>
      <c r="E200" t="s" s="303">
        <v>1387</v>
      </c>
    </row>
    <row r="201" x14ac:dyDescent="0.2" ht="52" customHeight="1">
      <c r="A201" t="s" s="265">
        <v>1388</v>
      </c>
      <c r="B201" t="s" s="266">
        <v>1389</v>
      </c>
      <c r="C201" t="s" s="265">
        <v>1390</v>
      </c>
      <c r="D201" s="268">
        <v>1.2290000000000001</v>
      </c>
      <c r="E201" t="s" s="303">
        <v>1391</v>
      </c>
    </row>
    <row r="202" x14ac:dyDescent="0.2" ht="27" customHeight="1">
      <c r="A202" t="s" s="265">
        <v>1392</v>
      </c>
      <c r="B202" t="s" s="266">
        <v>1393</v>
      </c>
      <c r="C202" t="s" s="265">
        <v>1390</v>
      </c>
      <c r="D202" s="268">
        <v>0</v>
      </c>
      <c r="E202" t="s" s="303">
        <v>1394</v>
      </c>
    </row>
    <row r="203" x14ac:dyDescent="0.2">
      <c r="A203" t="s" s="265">
        <v>1395</v>
      </c>
      <c r="B203" t="s" s="266">
        <v>1396</v>
      </c>
      <c r="C203" t="s" s="265">
        <v>1390</v>
      </c>
      <c r="D203" s="268">
        <v>1.3580000000000001</v>
      </c>
      <c r="E203" t="s" s="303">
        <v>1397</v>
      </c>
    </row>
    <row r="204" x14ac:dyDescent="0.2" ht="27" customHeight="1">
      <c r="A204" t="s" s="265">
        <v>1398</v>
      </c>
      <c r="B204" t="s" s="266">
        <v>1399</v>
      </c>
      <c r="C204" t="s" s="265">
        <v>1390</v>
      </c>
      <c r="D204" s="268">
        <v>0.69499999999999995</v>
      </c>
      <c r="E204" t="s" s="303">
        <v>1400</v>
      </c>
    </row>
    <row r="205" x14ac:dyDescent="0.2">
      <c r="A205" t="s" s="265">
        <v>1401</v>
      </c>
      <c r="B205" t="s" s="266">
        <v>1402</v>
      </c>
      <c r="C205" t="s" s="265">
        <v>1390</v>
      </c>
      <c r="D205" s="268">
        <v>0.34189999999999998</v>
      </c>
      <c r="E205" t="s" s="303">
        <v>1397</v>
      </c>
    </row>
    <row r="206" x14ac:dyDescent="0.2" ht="27" customHeight="1">
      <c r="A206" t="s" s="265">
        <v>1403</v>
      </c>
      <c r="B206" t="s" s="266">
        <v>1404</v>
      </c>
      <c r="C206" t="s" s="265">
        <v>1390</v>
      </c>
      <c r="D206" s="199">
        <f>E0_OER-nernst_slope*pH_meas</f>
        <v>0.838787788686</v>
      </c>
      <c r="E206" t="s" s="303">
        <v>1405</v>
      </c>
    </row>
    <row r="207" x14ac:dyDescent="0.2" ht="27" customHeight="1">
      <c r="A207" t="s" s="265">
        <v>1406</v>
      </c>
      <c r="B207" t="s" s="266">
        <v>1407</v>
      </c>
      <c r="C207" t="s" s="265">
        <v>1390</v>
      </c>
      <c r="D207" s="199">
        <f>E0_HER-nernst_slope*pH_meas</f>
        <v>-0.390212211314</v>
      </c>
      <c r="E207" t="s" s="303">
        <v>1408</v>
      </c>
    </row>
    <row r="208" x14ac:dyDescent="0.2" ht="39.5" customHeight="1">
      <c r="A208" t="s" s="265">
        <v>1900</v>
      </c>
      <c r="B208" t="s" s="266">
        <v>1409</v>
      </c>
      <c r="C208" t="s" s="265">
        <v>1390</v>
      </c>
      <c r="D208" s="277" t="e">
        <f>IF(pH_Cl&gt;0,E0_Cl2+nernst_slope*(-LOG10(MAX(gamma_1*pH_Cl*Cl_free_frac,Cl_floor_molL))),NA())</f>
        <v>#N/A</v>
      </c>
      <c r="E208" t="s" s="306">
        <v>1410</v>
      </c>
    </row>
    <row r="209" x14ac:dyDescent="0.2" ht="52" customHeight="1">
      <c r="A209" t="s" s="265">
        <v>1901</v>
      </c>
      <c r="B209" t="s" s="266">
        <v>1411</v>
      </c>
      <c r="C209" t="s" s="265">
        <v>1412</v>
      </c>
      <c r="D209" s="277" t="e">
        <f>E_HOCl_Cl-E_anode_op</f>
        <v>#N/A</v>
      </c>
      <c r="E209" t="s" s="313">
        <v>2869</v>
      </c>
    </row>
    <row r="210" x14ac:dyDescent="0.2" ht="64.5" customHeight="1">
      <c r="A210" t="s" s="265">
        <v>1413</v>
      </c>
      <c r="B210" t="s" s="266">
        <v>1414</v>
      </c>
      <c r="C210" t="s" s="265">
        <v>1390</v>
      </c>
      <c r="D210" s="199">
        <f>E0_ORR2-nernst_slope*pH_meas</f>
        <v>0.304787788686</v>
      </c>
      <c r="E210" t="s" s="306">
        <v>1415</v>
      </c>
    </row>
    <row r="211" x14ac:dyDescent="0.2" ht="64.5" customHeight="1">
      <c r="A211" t="s" s="265">
        <v>1902</v>
      </c>
      <c r="B211" t="s" s="266">
        <v>1417</v>
      </c>
      <c r="C211" t="s" s="265">
        <v>1412</v>
      </c>
      <c r="D211" s="198">
        <f>E_anode_op-E0_Cu</f>
        <v>1.248916601067</v>
      </c>
      <c r="E211" t="s" s="306">
        <v>1418</v>
      </c>
    </row>
    <row r="213" x14ac:dyDescent="0.2">
      <c r="A213" t="s" s="278">
        <v>1419</v>
      </c>
      <c r="B213" s="278"/>
      <c r="C213" s="278"/>
      <c r="D213" s="278"/>
      <c r="E213" s="278"/>
    </row>
    <row r="214" x14ac:dyDescent="0.2" ht="27" customHeight="1">
      <c r="A214" t="s" s="265">
        <v>1420</v>
      </c>
      <c r="B214" t="s" s="266">
        <v>1421</v>
      </c>
      <c r="C214" t="s" s="265">
        <v>509</v>
      </c>
      <c r="D214" s="268">
        <v>7.5899999999999996E-10</v>
      </c>
      <c r="E214" t="s" s="303">
        <v>1422</v>
      </c>
    </row>
    <row r="215" x14ac:dyDescent="0.2" ht="52" customHeight="1">
      <c r="A215" t="s" s="265">
        <v>1903</v>
      </c>
      <c r="B215" t="s" s="266">
        <v>1423</v>
      </c>
      <c r="C215" t="s" s="265">
        <v>512</v>
      </c>
      <c r="D215" s="212">
        <f>D_O2_c/(km_O2_c/100)*1000000</f>
        <v>56.238610894062</v>
      </c>
      <c r="E215" t="s" s="306">
        <v>1904</v>
      </c>
    </row>
    <row r="216" x14ac:dyDescent="0.2" ht="114.5" customHeight="1">
      <c r="A216" t="s" s="265">
        <v>1424</v>
      </c>
      <c r="B216" t="s" s="266">
        <v>1425</v>
      </c>
      <c r="C216" t="s" s="265">
        <v>1123</v>
      </c>
      <c r="D216" s="212">
        <f>Fcc*((km_HPO4/100)*HPO4_op+(km_HCO3/100)*HCO3_op)*1000/10</f>
        <v>16.463249166465</v>
      </c>
      <c r="E216" t="s" s="306">
        <v>1905</v>
      </c>
    </row>
    <row r="217" x14ac:dyDescent="0.2">
      <c r="A217" t="s" s="265">
        <v>1426</v>
      </c>
      <c r="B217" t="s" s="266">
        <v>1427</v>
      </c>
      <c r="C217" t="s" s="265">
        <v>1123</v>
      </c>
      <c r="D217" s="198">
        <f>Electrochemistry!j_anode</f>
        <v>3.287810437489</v>
      </c>
      <c r="E217" t="s" s="306">
        <v>1428</v>
      </c>
    </row>
    <row r="218" x14ac:dyDescent="0.2" ht="64.5" customHeight="1">
      <c r="A218" t="s" s="265">
        <v>1429</v>
      </c>
      <c r="B218" t="s" s="266">
        <v>1430</v>
      </c>
      <c r="C218" t="s" s="265">
        <v>1116</v>
      </c>
      <c r="D218" s="199">
        <f>j_anode_c/j_buffer_lim</f>
        <v>0.19970604856</v>
      </c>
      <c r="E218" t="s" s="306">
        <v>1431</v>
      </c>
    </row>
    <row r="219" x14ac:dyDescent="0.2" ht="64.5" customHeight="1">
      <c r="A219" t="s" s="265">
        <v>1432</v>
      </c>
      <c r="B219" t="s" s="266">
        <v>1433</v>
      </c>
      <c r="C219" t="s" s="265">
        <v>1116</v>
      </c>
      <c r="D219" s="277"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t="s" s="306">
        <v>1434</v>
      </c>
    </row>
    <row r="220" x14ac:dyDescent="0.2" ht="77" customHeight="1">
      <c r="A220" t="s" s="265">
        <v>1435</v>
      </c>
      <c r="B220" t="s" s="266">
        <v>1436</v>
      </c>
      <c r="C220" t="s" s="265">
        <v>1116</v>
      </c>
      <c r="D220" s="198">
        <f>pH_op-LOG10(gamma_1)</f>
        <v>6.487161438894</v>
      </c>
      <c r="E220" t="s" s="306">
        <v>1437</v>
      </c>
    </row>
    <row r="221" x14ac:dyDescent="0.2">
      <c r="A221" t="s" s="278">
        <v>1906</v>
      </c>
      <c r="B221" s="278"/>
      <c r="C221" s="278"/>
      <c r="D221" s="278"/>
      <c r="E221" s="278"/>
    </row>
    <row r="222" x14ac:dyDescent="0.2" ht="64.5" customHeight="1">
      <c r="A222" t="s" s="265">
        <v>1636</v>
      </c>
      <c r="B222" t="s" s="266">
        <v>1637</v>
      </c>
      <c r="C222" t="s" s="265">
        <v>1638</v>
      </c>
      <c r="D222" s="268">
        <v>52460</v>
      </c>
      <c r="E222" t="s" s="303">
        <v>1639</v>
      </c>
    </row>
    <row r="223" x14ac:dyDescent="0.2">
      <c r="A223" t="s" s="265">
        <v>1640</v>
      </c>
      <c r="B223" t="s" s="266">
        <v>1641</v>
      </c>
      <c r="C223" t="s" s="265">
        <v>1638</v>
      </c>
      <c r="D223" s="268">
        <v>70906</v>
      </c>
      <c r="E223" t="s" s="303">
        <v>1642</v>
      </c>
    </row>
    <row r="224" x14ac:dyDescent="0.2" ht="77" customHeight="1">
      <c r="A224" t="s" s="265">
        <v>2870</v>
      </c>
      <c r="B224" t="s" s="266">
        <v>1643</v>
      </c>
      <c r="C224" t="s" s="265">
        <v>1644</v>
      </c>
      <c r="D224" s="268">
        <v>5.0599999999999996</v>
      </c>
      <c r="E224" t="s" s="306">
        <v>2871</v>
      </c>
    </row>
    <row r="225" x14ac:dyDescent="0.2">
      <c r="A225" t="s" s="265">
        <v>1645</v>
      </c>
      <c r="B225" t="s" s="266">
        <v>1646</v>
      </c>
      <c r="C225" t="s" s="265">
        <v>1638</v>
      </c>
      <c r="D225" s="268">
        <v>14007</v>
      </c>
      <c r="E225" t="s" s="303">
        <v>1647</v>
      </c>
    </row>
    <row r="226" x14ac:dyDescent="0.2" ht="64.5" customHeight="1">
      <c r="A226" t="s" s="265">
        <v>1648</v>
      </c>
      <c r="B226" t="s" s="266">
        <v>1649</v>
      </c>
      <c r="C226" t="s" s="265">
        <v>1112</v>
      </c>
      <c r="D226" s="277">
        <f>C_eff*M_Cl2/M_HOCl</f>
        <v>0.0</v>
      </c>
      <c r="E226" t="s" s="306">
        <v>1650</v>
      </c>
    </row>
    <row r="228" ht="16" x14ac:dyDescent="0.2">
      <c r="A228" t="s" s="278">
        <v>1907</v>
      </c>
      <c r="B228" s="278"/>
      <c r="C228" s="278"/>
      <c r="D228" s="278"/>
      <c r="E228" s="278"/>
    </row>
    <row r="229" x14ac:dyDescent="0.2">
      <c r="A229" t="s" s="265">
        <v>1908</v>
      </c>
      <c r="B229" t="s" s="266">
        <v>388</v>
      </c>
      <c r="C229" t="s" s="265">
        <v>259</v>
      </c>
      <c r="D229" s="196">
        <f>Biology!T_ref</f>
        <v>298.15</v>
      </c>
      <c r="E229" t="s" s="306">
        <v>1909</v>
      </c>
    </row>
    <row r="230" x14ac:dyDescent="0.2">
      <c r="A230" t="s" s="265">
        <v>1910</v>
      </c>
      <c r="B230" t="s" s="266">
        <v>1911</v>
      </c>
      <c r="C230" t="s" s="265">
        <v>1912</v>
      </c>
      <c r="D230" s="268">
        <v>1820000</v>
      </c>
      <c r="E230" t="s" s="316">
        <v>1913</v>
      </c>
    </row>
    <row r="231" x14ac:dyDescent="0.2">
      <c r="A231" t="s" s="265">
        <v>1914</v>
      </c>
      <c r="B231" t="s" s="266">
        <v>1915</v>
      </c>
      <c r="C231" t="s" s="265">
        <v>108</v>
      </c>
      <c r="D231" s="268">
        <v>78.540000000000006</v>
      </c>
      <c r="E231" t="s" s="316">
        <v>1916</v>
      </c>
    </row>
    <row r="232" x14ac:dyDescent="0.2" ht="27" customHeight="1">
      <c r="A232" t="s" s="265">
        <v>1917</v>
      </c>
      <c r="B232" t="s" s="266">
        <v>1918</v>
      </c>
      <c r="C232" t="s" s="265">
        <v>108</v>
      </c>
      <c r="D232" s="268">
        <v>1.3680000000000001</v>
      </c>
      <c r="E232" t="s" s="306">
        <v>1919</v>
      </c>
    </row>
    <row r="233" x14ac:dyDescent="0.2">
      <c r="A233" t="s" s="265">
        <v>1920</v>
      </c>
      <c r="B233" t="s" s="266">
        <v>1921</v>
      </c>
      <c r="C233" t="s" s="265">
        <v>108</v>
      </c>
      <c r="D233" s="268">
        <v>0.3</v>
      </c>
      <c r="E233" t="s" s="316">
        <v>1922</v>
      </c>
    </row>
    <row r="234" x14ac:dyDescent="0.2">
      <c r="A234" t="s" s="265">
        <v>1923</v>
      </c>
      <c r="B234" t="s" s="266">
        <v>1924</v>
      </c>
      <c r="C234" t="s" s="265">
        <v>424</v>
      </c>
      <c r="D234" s="268">
        <v>9.9999999999999998E-13</v>
      </c>
      <c r="E234" t="s" s="316">
        <v>1925</v>
      </c>
    </row>
    <row r="235" x14ac:dyDescent="0.2">
      <c r="A235" t="s" s="265">
        <v>1926</v>
      </c>
      <c r="B235" t="s" s="266">
        <v>1927</v>
      </c>
      <c r="C235" t="s" s="265">
        <v>1774</v>
      </c>
      <c r="D235" s="268">
        <v>0.1</v>
      </c>
      <c r="E235" t="s" s="316">
        <v>1928</v>
      </c>
    </row>
    <row r="236" x14ac:dyDescent="0.2" ht="27" customHeight="1">
      <c r="A236" t="s" s="265">
        <v>1929</v>
      </c>
      <c r="B236" t="s" s="266">
        <v>1930</v>
      </c>
      <c r="C236" t="s" s="265">
        <v>1774</v>
      </c>
      <c r="D236" s="268">
        <v>6.5</v>
      </c>
      <c r="E236" t="s" s="306">
        <v>1931</v>
      </c>
    </row>
    <row r="237" x14ac:dyDescent="0.2" ht="27" customHeight="1">
      <c r="A237" t="s" s="265">
        <v>1932</v>
      </c>
      <c r="B237" t="s" s="266">
        <v>1933</v>
      </c>
      <c r="C237" t="s" s="265">
        <v>1774</v>
      </c>
      <c r="D237" s="268">
        <v>7.5</v>
      </c>
      <c r="E237" t="s" s="306">
        <v>1931</v>
      </c>
    </row>
    <row r="238" x14ac:dyDescent="0.2" ht="27" customHeight="1">
      <c r="A238" t="s" s="265">
        <v>1934</v>
      </c>
      <c r="B238" t="s" s="266">
        <v>1935</v>
      </c>
      <c r="C238" t="s" s="265">
        <v>108</v>
      </c>
      <c r="D238" s="268">
        <v>0.5</v>
      </c>
      <c r="E238" t="s" s="313">
        <v>1936</v>
      </c>
    </row>
    <row r="240" hidden="1"/>
    <row r="241" hidden="1"/>
    <row r="242" hidden="1"/>
    <row r="243" hidden="1"/>
    <row r="244" hidden="1"/>
    <row r="245" hidden="1"/>
    <row r="246" hidden="1"/>
    <row r="247" hidden="1"/>
    <row r="248" hidden="1"/>
    <row r="249" hidden="1"/>
    <row r="250" x14ac:dyDescent="0.2">
      <c r="A250" t="s" s="278">
        <v>1937</v>
      </c>
      <c r="B250" s="278"/>
      <c r="C250" s="278"/>
      <c r="D250" s="278"/>
      <c r="E250" s="278"/>
    </row>
    <row r="251" x14ac:dyDescent="0.2" ht="27" customHeight="1">
      <c r="A251" t="s" s="265">
        <v>1938</v>
      </c>
      <c r="B251" t="s" s="266">
        <v>1939</v>
      </c>
      <c r="C251" t="s" s="265">
        <v>509</v>
      </c>
      <c r="D251" s="268">
        <v>1.1849999999999999E-9</v>
      </c>
      <c r="E251" t="s" s="303">
        <v>1940</v>
      </c>
    </row>
    <row r="252" x14ac:dyDescent="0.2" ht="27" customHeight="1">
      <c r="A252" t="s" s="265">
        <v>1941</v>
      </c>
      <c r="B252" t="s" s="266">
        <v>1942</v>
      </c>
      <c r="C252" t="s" s="265">
        <v>424</v>
      </c>
      <c r="D252" s="210">
        <f>Ka1c_c*CO2aqc/10^-pH_op</f>
        <v>0.049863963444</v>
      </c>
      <c r="E252" t="s" s="306">
        <v>1943</v>
      </c>
    </row>
    <row r="253" x14ac:dyDescent="0.2" ht="27" customHeight="1">
      <c r="A253" t="s" s="265">
        <v>1944</v>
      </c>
      <c r="B253" t="s" s="266">
        <v>1945</v>
      </c>
      <c r="C253" t="s" s="265">
        <v>424</v>
      </c>
      <c r="D253" s="210">
        <f>pH_PT/(1+10^(-LOG10(Ka2p_c)-pH_op))</f>
        <v>0.01944185964</v>
      </c>
      <c r="E253" t="s" s="306">
        <v>1946</v>
      </c>
    </row>
    <row r="254" x14ac:dyDescent="0.2" ht="27" customHeight="1">
      <c r="A254" t="s" s="265">
        <v>1947</v>
      </c>
      <c r="B254" t="s" s="266">
        <v>1948</v>
      </c>
      <c r="C254" t="s" s="265">
        <v>1412</v>
      </c>
      <c r="D254" s="199">
        <f>Electrochemistry!eta_anode</f>
        <v>0.902028812381</v>
      </c>
      <c r="E254" t="s" s="306">
        <v>1949</v>
      </c>
    </row>
    <row r="255" x14ac:dyDescent="0.2" ht="27" customHeight="1">
      <c r="A255" t="s" s="265">
        <v>1950</v>
      </c>
      <c r="B255" t="s" s="266">
        <v>1951</v>
      </c>
      <c r="C255" t="s" s="265">
        <v>1412</v>
      </c>
      <c r="D255" s="199">
        <f>Electrochemistry!pcet_credit_op</f>
        <v>-0.15</v>
      </c>
      <c r="E255" t="s" s="306">
        <v>1952</v>
      </c>
    </row>
    <row r="256" x14ac:dyDescent="0.2" ht="39.5" customHeight="1">
      <c r="A256" t="s" s="265">
        <v>1953</v>
      </c>
      <c r="B256" t="s" s="266">
        <v>1954</v>
      </c>
      <c r="C256" t="s" s="265">
        <v>1390</v>
      </c>
      <c r="D256" s="198">
        <f>E_OER+eta_anode_c+pcet_credit_c</f>
        <v>1.590816601067</v>
      </c>
      <c r="E256" t="s" s="306">
        <v>1955</v>
      </c>
    </row>
    <row r="257" x14ac:dyDescent="0.2">
      <c r="A257" t="s" s="265">
        <v>1956</v>
      </c>
      <c r="B257" t="s" s="266">
        <v>1957</v>
      </c>
      <c r="C257" t="s" s="265">
        <v>1412</v>
      </c>
      <c r="D257" s="268">
        <v>1.482</v>
      </c>
      <c r="E257" t="s" s="303">
        <v>1958</v>
      </c>
    </row>
    <row r="258" x14ac:dyDescent="0.2" ht="39.5" customHeight="1">
      <c r="A258" t="s" s="265">
        <v>1959</v>
      </c>
      <c r="B258" t="s" s="266">
        <v>1960</v>
      </c>
      <c r="C258" t="s" s="265">
        <v>1390</v>
      </c>
      <c r="D258" s="277" t="e">
        <f>IF(pH_Cl&gt;0,E0_HOCl+nernst_slope/2*(LOG10(MAX(HOCl_ss*f_local,Cl_floor_molL))-pH_meas-LOG10(MAX(gamma_1*pH_Cl*Cl_free_frac,Cl_floor_molL))),NA())</f>
        <v>#N/A</v>
      </c>
      <c r="E258" t="s" s="306">
        <v>1961</v>
      </c>
    </row>
    <row r="259" x14ac:dyDescent="0.2">
      <c r="A259" t="s" s="265">
        <v>1962</v>
      </c>
      <c r="B259" t="s" s="266">
        <v>1963</v>
      </c>
      <c r="C259" t="s" s="265">
        <v>83</v>
      </c>
      <c r="D259" s="277">
        <f>C_eff_lo*M_Cl2/M_HOCl</f>
        <v>0.0</v>
      </c>
      <c r="E259" t="s" s="306">
        <v>1964</v>
      </c>
    </row>
    <row r="260" x14ac:dyDescent="0.2">
      <c r="A260" t="s" s="265">
        <v>1965</v>
      </c>
      <c r="B260" t="s" s="266">
        <v>1966</v>
      </c>
      <c r="C260" t="s" s="265">
        <v>83</v>
      </c>
      <c r="D260" s="277">
        <f>C_eff_hi*M_Cl2/M_HOCl</f>
        <v>0.0</v>
      </c>
      <c r="E260" t="s" s="306">
        <v>1967</v>
      </c>
    </row>
    <row r="262" hidden="1"/>
    <row r="263" hidden="1"/>
    <row r="264" hidden="1"/>
    <row r="265" hidden="1"/>
    <row r="266" hidden="1"/>
    <row r="267" hidden="1"/>
    <row r="268" hidden="1"/>
    <row r="269" hidden="1"/>
    <row r="270" x14ac:dyDescent="0.2">
      <c r="A270" t="s" s="278">
        <v>1968</v>
      </c>
      <c r="B270" s="278"/>
      <c r="C270" s="278"/>
      <c r="D270" s="278"/>
      <c r="E270" s="278"/>
    </row>
    <row r="271" x14ac:dyDescent="0.2" ht="52" customHeight="1">
      <c r="A271" t="s" s="265">
        <v>1969</v>
      </c>
      <c r="B271" t="s" s="266">
        <v>1970</v>
      </c>
      <c r="C271" t="s" s="265">
        <v>571</v>
      </c>
      <c r="D271" s="209">
        <f>km_Cl*A_anode/1000/VLc</f>
        <v>0.0004322432170043</v>
      </c>
      <c r="E271" t="s" s="313">
        <v>1971</v>
      </c>
    </row>
    <row r="272" x14ac:dyDescent="0.2" ht="27" customHeight="1">
      <c r="A272" t="s" s="265">
        <v>1972</v>
      </c>
      <c r="B272" t="s" s="266">
        <v>1973</v>
      </c>
      <c r="C272" t="s" s="265">
        <v>953</v>
      </c>
      <c r="D272" s="209">
        <f>Electrochemistry!km_O2</f>
        <v>0.004</v>
      </c>
      <c r="E272" t="s" s="306">
        <v>1974</v>
      </c>
    </row>
    <row r="273" x14ac:dyDescent="0.2">
      <c r="A273" t="s" s="265">
        <v>1975</v>
      </c>
      <c r="B273" t="s" s="266">
        <v>1976</v>
      </c>
      <c r="C273" t="s" s="265">
        <v>108</v>
      </c>
      <c r="D273" s="199">
        <f>Electrochemistry!km_exp</f>
        <v>0.644</v>
      </c>
      <c r="E273" t="s" s="306">
        <v>1977</v>
      </c>
    </row>
    <row r="274" x14ac:dyDescent="0.2">
      <c r="A274" t="s" s="265">
        <v>1441</v>
      </c>
      <c r="B274" t="s" s="266">
        <v>1978</v>
      </c>
      <c r="C274" t="s" s="265">
        <v>509</v>
      </c>
      <c r="D274" s="209">
        <f>Electrochemistry!ec_D_O2</f>
        <v>2.249544435762e-09</v>
      </c>
      <c r="E274" t="s" s="306">
        <v>1979</v>
      </c>
    </row>
    <row r="275" x14ac:dyDescent="0.2" ht="27" customHeight="1">
      <c r="A275" t="s" s="265">
        <v>1980</v>
      </c>
      <c r="B275" t="s" s="266">
        <v>1981</v>
      </c>
      <c r="C275" t="s" s="265">
        <v>953</v>
      </c>
      <c r="D275" s="209">
        <f>km_O2_c*(D_HPO4/D_O2_c)^km_exp_c</f>
        <v>0.00198694931</v>
      </c>
      <c r="E275" t="s" s="313">
        <v>1982</v>
      </c>
    </row>
    <row r="276" x14ac:dyDescent="0.2">
      <c r="A276" t="s" s="265">
        <v>1983</v>
      </c>
      <c r="B276" t="s" s="266">
        <v>1984</v>
      </c>
      <c r="C276" t="s" s="265">
        <v>953</v>
      </c>
      <c r="D276" s="209">
        <f>km_O2_c*(D_HCO3/D_O2_c)^km_exp_c</f>
        <v>0.002647193586</v>
      </c>
      <c r="E276" t="s" s="313">
        <v>1985</v>
      </c>
    </row>
    <row r="277" x14ac:dyDescent="0.2" ht="27" customHeight="1">
      <c r="A277" t="s" s="265">
        <v>1986</v>
      </c>
      <c r="B277" t="s" s="266">
        <v>1987</v>
      </c>
      <c r="C277" t="s" s="265">
        <v>509</v>
      </c>
      <c r="D277" s="268">
        <v>2.032E-9</v>
      </c>
      <c r="E277" t="s" s="303">
        <v>1988</v>
      </c>
    </row>
    <row r="278" x14ac:dyDescent="0.2" ht="39.5" customHeight="1">
      <c r="A278" t="s" s="265">
        <v>1989</v>
      </c>
      <c r="B278" t="s" s="266">
        <v>1990</v>
      </c>
      <c r="C278" t="s" s="265">
        <v>108</v>
      </c>
      <c r="D278" s="277">
        <f>IF(pH_Cl&gt;0,MAX(0,1-Cl_bound/pH_Cl),1)</f>
        <v>1.0</v>
      </c>
      <c r="E278" t="s" s="306">
        <v>1991</v>
      </c>
    </row>
    <row r="279" x14ac:dyDescent="0.2">
      <c r="A279" t="s" s="265">
        <v>1872</v>
      </c>
      <c r="B279" t="s" s="266">
        <v>180</v>
      </c>
      <c r="C279" t="s" s="265">
        <v>52</v>
      </c>
      <c r="D279" s="277">
        <f>Biology!V_charge</f>
        <v>15.0</v>
      </c>
      <c r="E279" t="s" s="306">
        <v>1873</v>
      </c>
    </row>
    <row r="280" x14ac:dyDescent="0.2">
      <c r="A280" t="s" s="265">
        <v>1992</v>
      </c>
      <c r="B280" t="s" s="266">
        <v>37</v>
      </c>
      <c r="C280" t="s" s="265">
        <v>108</v>
      </c>
      <c r="D280" s="277" t="str">
        <f>Summary!media_sel</f>
        <v>AM003</v>
      </c>
      <c r="E280" t="s" s="306">
        <v>1993</v>
      </c>
    </row>
    <row r="282" hidden="1"/>
    <row r="283" hidden="1"/>
    <row r="284" hidden="1"/>
    <row r="285" hidden="1"/>
    <row r="286" hidden="1"/>
    <row r="287" hidden="1"/>
    <row r="288" hidden="1"/>
    <row r="289" hidden="1"/>
    <row r="290" x14ac:dyDescent="0.2">
      <c r="A290" t="s" s="278">
        <v>1994</v>
      </c>
      <c r="B290" s="278"/>
      <c r="C290" s="278"/>
      <c r="D290" s="278"/>
      <c r="E290" s="278"/>
    </row>
    <row r="291" x14ac:dyDescent="0.2" ht="52" customHeight="1">
      <c r="A291" t="s" s="265">
        <v>1995</v>
      </c>
      <c r="B291" t="s" s="266">
        <v>1996</v>
      </c>
      <c r="C291" t="s" s="265">
        <v>1774</v>
      </c>
      <c r="D291" s="268">
        <v>6.3599462045299999</v>
      </c>
      <c r="E291" t="s" s="305">
        <v>1997</v>
      </c>
    </row>
    <row r="292" x14ac:dyDescent="0.2">
      <c r="A292" t="s" s="265">
        <v>1998</v>
      </c>
      <c r="B292" t="s" s="266">
        <v>1999</v>
      </c>
      <c r="C292" t="s" s="265">
        <v>424</v>
      </c>
      <c r="D292" s="209">
        <f>10^-pH_ref_DIC</f>
        <v>4.365699062148e-07</v>
      </c>
      <c r="E292" t="s" s="316">
        <v>2000</v>
      </c>
    </row>
    <row r="293" x14ac:dyDescent="0.2">
      <c r="A293" t="s" s="265">
        <v>2001</v>
      </c>
      <c r="B293" t="s" s="266">
        <v>2002</v>
      </c>
      <c r="C293" t="s" s="265">
        <v>108</v>
      </c>
      <c r="D293" s="198">
        <f>Ka1c_c/h_ref_DIC</f>
        <v>1.950188550006</v>
      </c>
      <c r="E293" t="s" s="316">
        <v>2003</v>
      </c>
    </row>
    <row r="294" x14ac:dyDescent="0.2">
      <c r="A294" t="s" s="265">
        <v>2004</v>
      </c>
      <c r="B294" t="s" s="266">
        <v>2005</v>
      </c>
      <c r="C294" t="s" s="265">
        <v>424</v>
      </c>
      <c r="D294" s="210">
        <f>(pH_SID+pH_NT*h_ref_DIC/(h_ref_DIC+KaN_c)+h_ref_DIC-(pH_PT*Ka1p_c*h_ref_DIC^2+2*pH_PT*Ka1p_c*Ka2p_c*h_ref_DIC+3*pH_PT*Ka1p_c*Ka2p_c*Ka3p_c)/(h_ref_DIC^3+Ka1p_c*h_ref_DIC^2+Ka1p_c*Ka2p_c*h_ref_DIC+Ka1p_c*Ka2p_c*Ka3p_c)-Kw_c/h_ref_DIC)/(1+2*Ka2c_c/h_ref_DIC)</f>
        <v>0.050195278773</v>
      </c>
      <c r="E294" t="s" s="316">
        <v>2006</v>
      </c>
    </row>
    <row r="295" x14ac:dyDescent="0.2">
      <c r="A295" t="s" s="265">
        <v>2007</v>
      </c>
      <c r="B295" t="s" s="266">
        <v>2008</v>
      </c>
      <c r="C295" t="s" s="265">
        <v>2009</v>
      </c>
      <c r="D295" s="210">
        <f>LN(10)*(pH_PT*Ka1p_c*h_ref_DIC/(Ka1p_c+h_ref_DIC)^2+pH_PT*Ka2p_c*h_ref_DIC/(Ka2p_c+h_ref_DIC)^2+pH_NT*KaN_c*h_ref_DIC/(KaN_c+h_ref_DIC)^2+h_ref_DIC+Kw_c/h_ref_DIC)</f>
        <v>0.030338975539</v>
      </c>
      <c r="E295" t="s" s="316">
        <v>2010</v>
      </c>
    </row>
    <row r="296" x14ac:dyDescent="0.2" ht="64.5" customHeight="1">
      <c r="A296" t="s" s="265">
        <v>2011</v>
      </c>
      <c r="B296" t="s" s="266">
        <v>2012</v>
      </c>
      <c r="C296" t="s" s="265">
        <v>108</v>
      </c>
      <c r="D296" s="198">
        <f>1+r_HCO3_ref*beta_nonC/(beta_nonC+LN(10)*HCO3_ref)</f>
        <v>1.405479604448</v>
      </c>
      <c r="E296" t="s" s="306">
        <v>2013</v>
      </c>
    </row>
    <row r="298" x14ac:dyDescent="0.2">
      <c r="A298" t="s" s="278">
        <v>2014</v>
      </c>
      <c r="B298" s="278"/>
      <c r="C298" s="278"/>
      <c r="D298" s="278"/>
      <c r="E298" s="278"/>
    </row>
    <row r="299" x14ac:dyDescent="0.2" ht="39.5" customHeight="1">
      <c r="A299" t="s" s="265">
        <v>2015</v>
      </c>
      <c r="B299" t="s" s="266">
        <v>2016</v>
      </c>
      <c r="C299" t="s" s="265">
        <v>1774</v>
      </c>
      <c r="D299" s="268">
        <v>6</v>
      </c>
      <c r="E299" t="inlineStr" s="305">
        <is>
          <t>Design assumption: below pH 6 HOB growth is taken as severely impaired; the red edge of the Summary D27 colour (was embedded in the rule).</t>
        </is>
      </c>
    </row>
    <row r="300" x14ac:dyDescent="0.2" ht="27" customHeight="1">
      <c r="A300" t="s" s="265">
        <v>2017</v>
      </c>
      <c r="B300" t="s" s="266">
        <v>2018</v>
      </c>
      <c r="C300" t="s" s="265">
        <v>1774</v>
      </c>
      <c r="D300" s="268">
        <v>8</v>
      </c>
      <c r="E300" t="s" s="305">
        <v>2019</v>
      </c>
    </row>
    <row r="302" x14ac:dyDescent="0.2">
      <c r="A302" t="s" s="278">
        <v>2591</v>
      </c>
      <c r="B302" s="278"/>
      <c r="C302" s="278"/>
      <c r="D302" s="278"/>
      <c r="E302" s="278"/>
    </row>
    <row r="303" x14ac:dyDescent="0.2">
      <c r="A303" t="s" s="265">
        <v>2592</v>
      </c>
      <c r="B303" t="s" s="266">
        <v>2593</v>
      </c>
      <c r="C303" t="s" s="265">
        <v>1774</v>
      </c>
      <c r="D303" s="198">
        <f>pH_band_lo</f>
        <v>6.5</v>
      </c>
      <c r="E303" t="s" s="316">
        <v>2594</v>
      </c>
    </row>
    <row r="304" x14ac:dyDescent="0.2">
      <c r="A304" t="s" s="265">
        <v>2595</v>
      </c>
      <c r="B304" t="s" s="266">
        <v>2596</v>
      </c>
      <c r="C304" t="s" s="265">
        <v>1774</v>
      </c>
      <c r="D304" s="198">
        <f>alk_pH_target+LOG10(gamma_1)</f>
        <v>6.372334422702</v>
      </c>
      <c r="E304" t="s" s="316">
        <v>2597</v>
      </c>
    </row>
    <row r="305" x14ac:dyDescent="0.2">
      <c r="A305" t="s" s="265">
        <v>2598</v>
      </c>
      <c r="B305" t="s" s="266">
        <v>2599</v>
      </c>
      <c r="C305" t="s" s="265">
        <v>424</v>
      </c>
      <c r="D305" s="209">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-0.001544530881</v>
      </c>
      <c r="E305" t="s" s="316">
        <v>2600</v>
      </c>
    </row>
    <row r="306" x14ac:dyDescent="0.2">
      <c r="A306" t="s" s="265">
        <v>2873</v>
      </c>
      <c r="B306" t="s" s="266">
        <v>2601</v>
      </c>
      <c r="C306" t="s" s="265">
        <v>424</v>
      </c>
      <c r="D306" s="209">
        <f>MAX(0,-alk_resid_t)</f>
        <v>0.001544530881</v>
      </c>
      <c r="E306" t="s" s="316">
        <v>2602</v>
      </c>
    </row>
    <row r="307" x14ac:dyDescent="0.2" ht="27" customHeight="1">
      <c r="A307" t="s" s="265">
        <v>2603</v>
      </c>
      <c r="B307" t="s" s="266">
        <v>2604</v>
      </c>
      <c r="C307" t="s" s="265">
        <v>686</v>
      </c>
      <c r="D307" s="268">
        <v>84.007000000000005</v>
      </c>
      <c r="E307" t="s" s="305">
        <v>2605</v>
      </c>
    </row>
    <row r="308" x14ac:dyDescent="0.2">
      <c r="A308" t="s" s="265">
        <v>2606</v>
      </c>
      <c r="B308" t="s" s="266">
        <v>2607</v>
      </c>
      <c r="C308" t="s" s="265">
        <v>2586</v>
      </c>
      <c r="D308" s="199">
        <f>alk_needed*M_NaHCO3</f>
        <v>0.129751405739</v>
      </c>
      <c r="E308" t="s" s="316">
        <v>2874</v>
      </c>
    </row>
    <row r="309" x14ac:dyDescent="0.2" ht="39.5" customHeight="1">
      <c r="A309" t="s" s="265">
        <v>2875</v>
      </c>
      <c r="B309" t="s" s="266">
        <v>2876</v>
      </c>
      <c r="C309" t="s" s="265">
        <v>1774</v>
      </c>
      <c r="D309" s="268">
        <v>0.1</v>
      </c>
      <c r="E309" t="s" s="313">
        <v>2877</v>
      </c>
    </row>
    <row r="310" x14ac:dyDescent="0.2" ht="39.5" customHeight="1">
      <c r="A310" t="s" s="265">
        <v>2878</v>
      </c>
      <c r="B310" t="s" s="266">
        <v>2879</v>
      </c>
      <c r="C310" t="s" s="265">
        <v>108</v>
      </c>
      <c r="D310" s="277" t="str">
        <f>IF(ABS(pH_ref_DIC-pH_op)&lt;=DIC_ref_tol,"OK","REFRESH DIC reference pH")</f>
        <v>OK</v>
      </c>
      <c r="E310" t="s" s="313">
        <v>2880</v>
      </c>
    </row>
    <row r="311" x14ac:dyDescent="0.2" ht="39.5" customHeight="1">
      <c r="A311" t="s" s="265">
        <v>2881</v>
      </c>
      <c r="B311" t="s" s="266">
        <v>2882</v>
      </c>
      <c r="C311" t="s" s="265">
        <v>424</v>
      </c>
      <c r="D311" s="277">
        <f>MIN(pH_Cl*k_Cl_turn*tau_NH2Cl*3600/(1+k_Cl_turn*tau_NH2Cl*3600),I_Cl_FE/(n_e_Cl*Fcc*VLc)*tau_NH2Cl*3600,pH_NT)</f>
        <v>0.0</v>
      </c>
      <c r="E311" t="s" s="313">
        <v>2883</v>
      </c>
    </row>
    <row r="312" x14ac:dyDescent="0.2" ht="39.5" customHeight="1">
      <c r="A312" t="s" s="265">
        <v>2884</v>
      </c>
      <c r="B312" t="s" s="266">
        <v>2885</v>
      </c>
      <c r="C312" t="s" s="265">
        <v>108</v>
      </c>
      <c r="D312" s="277" t="str">
        <f>IF(AND(pH_Cl&gt;0,Cl_bound&gt;=pH_NT,P_HOCl&gt;pH_NT/(tau_NH2Cl*3600)),"UNSUPPORTED – nitrogen capacity exhausted","OK")</f>
        <v>OK</v>
      </c>
      <c r="E312" t="s" s="313">
        <v>2886</v>
      </c>
    </row>
    <row r="314" x14ac:dyDescent="0.2" ht="64.5" customHeight="1">
      <c r="A314" t="s" s="265">
        <v>2887</v>
      </c>
      <c r="B314" t="s" s="266">
        <v>2888</v>
      </c>
      <c r="C314" t="s" s="265">
        <v>994</v>
      </c>
      <c r="D314" s="268">
        <v>1</v>
      </c>
      <c r="E314" s="313" t="inlineStr">
        <is>
          <t xml:space="preserve">Time combined chlorine persists before consumption (growth N-uptake, cathodic reduction, dilution). Lit: minutes–hours; system-specific value unknown, so 1 h is a weak central estimate until a DPD run is entered in its calibration log.</t>
        </is>
      </c>
    </row>
    <row r="315" x14ac:dyDescent="0.2" ht="64.5" customHeight="1">
      <c r="A315" t="s" s="265">
        <v>2890</v>
      </c>
      <c r="B315" t="s" s="266">
        <v>2891</v>
      </c>
      <c r="C315" t="s" s="265">
        <v>968</v>
      </c>
      <c r="D315" s="209">
        <f>I_Cl_FE/(n_e_Cl*Fcc*VLc)</f>
        <v>9.828782391026e-07</v>
      </c>
      <c r="E315" t="s" s="313">
        <v>2892</v>
      </c>
    </row>
    <row r="316" x14ac:dyDescent="0.2">
      <c r="A316" t="s" s="278">
        <v>2893</v>
      </c>
      <c r="B316" s="278"/>
      <c r="C316" s="278"/>
      <c r="D316" s="278"/>
      <c r="E316" s="278"/>
    </row>
    <row r="317" x14ac:dyDescent="0.2" ht="27" customHeight="1">
      <c r="A317" t="s" s="265">
        <v>2894</v>
      </c>
      <c r="B317" t="s" s="266">
        <v>2705</v>
      </c>
      <c r="C317" t="s" s="265">
        <v>2586</v>
      </c>
      <c r="D317" s="277">
        <f>Summary!NaHCO3_add_gL</f>
        <v>0.0</v>
      </c>
      <c r="E317" t="s" s="306">
        <v>2895</v>
      </c>
    </row>
    <row r="318" x14ac:dyDescent="0.2">
      <c r="A318" t="s" s="265">
        <v>2896</v>
      </c>
      <c r="B318" t="s" s="266">
        <v>2897</v>
      </c>
      <c r="C318" t="s" s="265">
        <v>424</v>
      </c>
      <c r="D318" s="277">
        <f>NaHCO3_add_gL/M_NaHCO3</f>
        <v>0.0</v>
      </c>
      <c r="E318" t="s" s="316">
        <v>2898</v>
      </c>
    </row>
    <row r="320" x14ac:dyDescent="0.2">
      <c r="A320" t="s" s="278">
        <v>2899</v>
      </c>
      <c r="B320" s="278"/>
      <c r="C320" s="278"/>
      <c r="D320" s="278"/>
      <c r="E320" s="278"/>
    </row>
    <row r="321" x14ac:dyDescent="0.2">
      <c r="A321" t="s" s="265">
        <v>2900</v>
      </c>
      <c r="B321" t="s" s="266">
        <v>2901</v>
      </c>
      <c r="C321" t="s" s="265">
        <v>1774</v>
      </c>
      <c r="D321" s="198">
        <f>pH_band_hi+LOG10(gamma_1)</f>
        <v>7.372334422702</v>
      </c>
      <c r="E321" t="s" s="316">
        <v>2902</v>
      </c>
    </row>
    <row r="322" x14ac:dyDescent="0.2">
      <c r="A322" t="s" s="265">
        <v>2903</v>
      </c>
      <c r="B322" t="s" s="266">
        <v>2904</v>
      </c>
      <c r="C322" t="s" s="265">
        <v>424</v>
      </c>
      <c r="D322" s="209">
        <f>10^-pH_hi_c</f>
        <v>4.242927171446e-08</v>
      </c>
      <c r="E322" t="s" s="316">
        <v>2905</v>
      </c>
    </row>
    <row r="323" x14ac:dyDescent="0.2">
      <c r="A323" t="s" s="265">
        <v>2906</v>
      </c>
      <c r="B323" t="s" s="266">
        <v>2907</v>
      </c>
      <c r="C323" t="s" s="265">
        <v>424</v>
      </c>
      <c r="D323" s="210">
        <f>pH_SID+pH_NT*h_hi/(h_hi+KaN_c)+h_hi-(pH_PT*Ka1p_c*h_hi^2+2*pH_PT*Ka1p_c*Ka2p_c*h_hi+3*pH_PT*Ka1p_c*Ka2p_c*Ka3p_c)/(h_hi^3+Ka1p_c*h_hi^2+Ka1p_c*Ka2p_c*h_hi+Ka1p_c*Ka2p_c*Ka3p_c)-Kw_c/h_hi</f>
        <v>0.019548509304</v>
      </c>
      <c r="E323" t="s" s="316">
        <v>2908</v>
      </c>
    </row>
    <row r="324" x14ac:dyDescent="0.2">
      <c r="A324" t="s" s="265">
        <v>2909</v>
      </c>
      <c r="B324" t="s" s="266">
        <v>2910</v>
      </c>
      <c r="C324" t="s" s="265">
        <v>424</v>
      </c>
      <c r="D324" s="209">
        <f>MAX(0,resid_noC_hi)/(Ka1c_c/h_hi+2*Ka1c_c*Ka2c_c/h_hi^2)</f>
        <v>0.0009665547632062</v>
      </c>
      <c r="E324" t="s" s="316">
        <v>2911</v>
      </c>
    </row>
    <row r="326">
      <c r="A326" t="inlineStr" s="278">
        <is>
          <t>NITROGEN SOURCE AND UPTAKE (Summary D16–D17): the acid ammonium uptake releases, and the alternatives</t>
        </is>
      </c>
      <c r="B326" s="278"/>
      <c r="C326" s="278"/>
      <c r="D326" s="278"/>
      <c r="E326" s="278"/>
    </row>
    <row r="327">
      <c r="A327" t="inlineStr" s="265">
        <is>
          <t>(import) Nitrogen source</t>
        </is>
      </c>
      <c r="B327" t="inlineStr" s="266">
        <is>
          <t>N_source_sel</t>
        </is>
      </c>
      <c r="C327" t="inlineStr" s="265">
        <is>
          <t>-</t>
        </is>
      </c>
      <c r="D327" s="277" t="str">
        <f>Summary!N_source_sel</f>
        <v>Ammonium (recipe)</v>
      </c>
      <c r="E327" t="inlineStr" s="310">
        <is>
          <t>Import from Summary!D16 (N_source_sel).</t>
        </is>
      </c>
    </row>
    <row r="328">
      <c r="A328" t="inlineStr" s="265">
        <is>
          <t>Nitrogen source option 1</t>
        </is>
      </c>
      <c r="B328" t="inlineStr" s="266">
        <is>
          <t>N_src_1</t>
        </is>
      </c>
      <c r="C328" t="inlineStr" s="265">
        <is>
          <t>-</t>
        </is>
      </c>
      <c r="D328" t="inlineStr" s="268">
        <is>
          <t>Ammonium (recipe)</t>
        </is>
      </c>
      <c r="E328" t="inlineStr" s="310">
        <is>
          <t>Defined: the recipe as written, nitrogen as (NH₄)₂SO₄.</t>
        </is>
      </c>
    </row>
    <row r="329">
      <c r="A329" t="inlineStr" s="265">
        <is>
          <t>Nitrogen source option 2</t>
        </is>
      </c>
      <c r="B329" t="inlineStr" s="266">
        <is>
          <t>N_src_2</t>
        </is>
      </c>
      <c r="C329" t="inlineStr" s="265">
        <is>
          <t>-</t>
        </is>
      </c>
      <c r="D329" t="inlineStr" s="268">
        <is>
          <t>Nitrate (KNO₃)</t>
        </is>
      </c>
      <c r="E329" t="inlineStr" s="310">
        <is>
          <t>Defined: (NH₄)₂SO₄ swapped for K₂SO₄, the same nitrogen added as KNO₃.</t>
        </is>
      </c>
    </row>
    <row r="330">
      <c r="A330" t="inlineStr" s="265">
        <is>
          <t>Nitrogen source option 3</t>
        </is>
      </c>
      <c r="B330" t="inlineStr" s="266">
        <is>
          <t>N_src_3</t>
        </is>
      </c>
      <c r="C330" t="inlineStr" s="265">
        <is>
          <t>-</t>
        </is>
      </c>
      <c r="D330" t="inlineStr" s="268">
        <is>
          <t>Urea</t>
        </is>
      </c>
      <c r="E330" t="inlineStr" s="310">
        <is>
          <t>Defined: (NH₄)₂SO₄ swapped for K₂SO₄, the same nitrogen added as urea.</t>
        </is>
      </c>
    </row>
    <row r="331">
      <c r="A331" t="inlineStr" s="265">
        <is>
          <t>Nitrogen source in use (1–3)</t>
        </is>
      </c>
      <c r="B331" t="inlineStr" s="266">
        <is>
          <t>N_src_idx</t>
        </is>
      </c>
      <c r="C331" t="inlineStr" s="265">
        <is>
          <t>-</t>
        </is>
      </c>
      <c r="D331" s="277">
        <f>IF(N_source_sel=N_src_1,1,IF(N_source_sel=N_src_2,2,IF(N_source_sel=N_src_3,3,NA())))</f>
        <v>1.0</v>
      </c>
      <c r="E331" t="inlineStr" s="310">
        <is>
          <t>Selector: #N/A for anything but the three listed options.</t>
        </is>
      </c>
    </row>
    <row r="332">
      <c r="A332" t="inlineStr" s="265">
        <is>
          <t>Recipe strong-ion difference (before any nitrogen swap)</t>
        </is>
      </c>
      <c r="B332" t="inlineStr" s="266">
        <is>
          <t>pH_SID_rec</t>
        </is>
      </c>
      <c r="C332" t="inlineStr" s="265">
        <is>
          <t>mol/L</t>
        </is>
      </c>
      <c r="D332" s="199">
        <f>med_SID_rec+alk_add_M</f>
        <v>0.115446909129</v>
      </c>
      <c r="E332" s="316" t="inlineStr">
        <is>
          <t xml:space="preserve">The chosen medium (D29), plus any NaHCO₃ added on Summary (alk_add_M, D318).</t>
        </is>
      </c>
    </row>
    <row r="333">
      <c r="A333" t="inlineStr" s="265">
        <is>
          <t>Recipe total ammonium</t>
        </is>
      </c>
      <c r="B333" t="inlineStr" s="266">
        <is>
          <t>pH_NT_rec</t>
        </is>
      </c>
      <c r="C333" t="inlineStr" s="265">
        <is>
          <t>mol/L</t>
        </is>
      </c>
      <c r="D333" s="210">
        <f>med_NT_rec</f>
        <v>0.014272741032</v>
      </c>
      <c r="E333" s="316" t="inlineStr">
        <is>
          <t xml:space="preserve">The chosen medium (D30).</t>
        </is>
      </c>
    </row>
    <row r="334">
      <c r="A334" t="inlineStr" s="265">
        <is>
          <t>(import) Biomass at the end of the run</t>
        </is>
      </c>
      <c r="B334" t="inlineStr" s="266">
        <is>
          <t>X_end</t>
        </is>
      </c>
      <c r="C334" t="inlineStr" s="265">
        <is>
          <t>g/L</t>
        </is>
      </c>
      <c r="D334" s="277">
        <f>IF(ISNUMBER(Summary!X_end_gL),Summary!X_end_gL,0)</f>
        <v>1.0</v>
      </c>
      <c r="E334" t="inlineStr" s="310">
        <is>
          <t>Import from Summary!D17 (X_end_gL, dry weight); blank reads as 0, the start of the run.</t>
        </is>
      </c>
    </row>
    <row r="335">
      <c r="A335" t="inlineStr" s="265">
        <is>
          <t>Nitrogen mass fraction of biomass</t>
        </is>
      </c>
      <c r="B335" t="inlineStr" s="266">
        <is>
          <t>f_N_bio</t>
        </is>
      </c>
      <c r="C335" t="inlineStr" s="265">
        <is>
          <t>-</t>
        </is>
      </c>
      <c r="D335" s="268">
        <v>0.114</v>
      </c>
      <c r="E335" t="inlineStr" s="318">
        <is>
          <t>Bacterial biomass CH₁.₈O₀.₅N₀.₂ (Roels 1983, Energetics and kinetics in biotechnology): 11.4 % N by mass; C. necator is reported at 11–13 %.</t>
        </is>
      </c>
    </row>
    <row r="336">
      <c r="A336" t="inlineStr" s="265">
        <is>
          <t>Nitrogen taken up by the end of the run</t>
        </is>
      </c>
      <c r="B336" t="inlineStr" s="266">
        <is>
          <t>n_up_end</t>
        </is>
      </c>
      <c r="C336" t="inlineStr" s="265">
        <is>
          <t>mol/L</t>
        </is>
      </c>
      <c r="D336" s="209">
        <f>MIN(X_end*f_N_bio/(MW_N/1000),pH_NT_rec)</f>
        <v>0.008138787749</v>
      </c>
      <c r="E336" t="inlineStr" s="314">
        <is>
          <t>Biomass × N fraction ÷ molar mass of N, capped at the nitrogen the recipe supplies (D337 says when the cap binds). Each option supplies the same nitrogen.</t>
        </is>
      </c>
    </row>
    <row r="337">
      <c r="A337" t="inlineStr" s="265">
        <is>
          <t>Nitrogen supply against the end-of-run biomass</t>
        </is>
      </c>
      <c r="B337" t="inlineStr" s="266">
        <is>
          <t>N_limit_chk</t>
        </is>
      </c>
      <c r="C337" t="inlineStr" s="265">
        <is>
          <t>-</t>
        </is>
      </c>
      <c r="D337" s="277" t="str">
        <f>IF(X_end*f_N_bio/(MW_N/1000)&gt;pH_NT_rec,"NITROGEN RUNS OUT at "&amp;TEXT(pH_NT_rec*MW_N/1000/f_N_bio,"0.00")&amp;" g/L biomass, below the end-of-run biomass on Summary","OK")</f>
        <v>OK</v>
      </c>
      <c r="E337" t="inlineStr" s="310">
        <is>
          <t>Growth stops when the nitrogen is used up; the pH figures then hold at that biomass.</t>
        </is>
      </c>
    </row>
    <row r="338">
      <c r="A338" t="inlineStr" s="265">
        <is>
          <t>End-of-run strong-ion difference — ammonium</t>
        </is>
      </c>
      <c r="B338" t="inlineStr" s="266">
        <is>
          <t>SID_end_A</t>
        </is>
      </c>
      <c r="C338" t="inlineStr" s="265">
        <is>
          <t>mol/L</t>
        </is>
      </c>
      <c r="D338" s="199">
        <f>pH_SID_rec</f>
        <v>0.115446909129</v>
      </c>
      <c r="E338" t="inlineStr" s="310">
        <is>
          <t>NH₄⁺ uptake releases one H⁺ per N: modelled exactly as the loss of that ammonium at a fixed strong-ion difference.</t>
        </is>
      </c>
    </row>
    <row r="339">
      <c r="A339" t="inlineStr" s="265">
        <is>
          <t>End-of-run total ammonium — ammonium</t>
        </is>
      </c>
      <c r="B339" t="inlineStr" s="266">
        <is>
          <t>NT_end_A</t>
        </is>
      </c>
      <c r="C339" t="inlineStr" s="265">
        <is>
          <t>mol/L</t>
        </is>
      </c>
      <c r="D339" s="209">
        <f>pH_NT_rec-n_up_end</f>
        <v>0.006133953283</v>
      </c>
      <c r="E339" t="inlineStr" s="310">
        <is>
          <t>Recipe ammonium less the uptake.</t>
        </is>
      </c>
    </row>
    <row r="340">
      <c r="A340" t="inlineStr" s="265">
        <is>
          <t>End-of-run strong-ion difference — nitrate</t>
        </is>
      </c>
      <c r="B340" t="inlineStr" s="266">
        <is>
          <t>SID_end_N</t>
        </is>
      </c>
      <c r="C340" t="inlineStr" s="265">
        <is>
          <t>mol/L</t>
        </is>
      </c>
      <c r="D340" s="199">
        <f>pH_SID_rec+pH_NT_rec+n_up_end</f>
        <v>0.13785843791</v>
      </c>
      <c r="E340" t="inlineStr" s="310">
        <is>
          <t>K⁺ in place of NH₄⁺ (+ recipe N) and the nitrate taken up (+ uptake): NO₃⁻ uptake consumes one H⁺ per N, the same as removing a strong anion. KNO₃ itself is neutral.</t>
        </is>
      </c>
    </row>
    <row r="341">
      <c r="A341" t="inlineStr" s="265">
        <is>
          <t>End-of-run strong-ion difference — urea</t>
        </is>
      </c>
      <c r="B341" t="inlineStr" s="266">
        <is>
          <t>SID_end_U</t>
        </is>
      </c>
      <c r="C341" t="inlineStr" s="265">
        <is>
          <t>mol/L</t>
        </is>
      </c>
      <c r="D341" s="199">
        <f>pH_SID_rec+pH_NT_rec</f>
        <v>0.129719650162</v>
      </c>
      <c r="E341" t="inlineStr" s="314">
        <is>
          <t>K⁺ in place of NH₄⁺; urea is neutral and its assimilation releases no net acid (urease inside the cell).</t>
        </is>
      </c>
    </row>
    <row r="342">
      <c r="A342" t="inlineStr" s="265">
        <is>
          <t>pH-grid crossings — ammonium at the end</t>
        </is>
      </c>
      <c r="B342" t="inlineStr" s="266">
        <is>
          <t>n_cross_A</t>
        </is>
      </c>
      <c r="C342" t="inlineStr" s="265">
        <is>
          <t>-</t>
        </is>
      </c>
      <c r="D342" s="277">
        <f>SUMPRODUCT((D50:D99&gt;=0)*(D51:D100&lt;0))</f>
        <v>1.0</v>
      </c>
      <c r="E342" t="inlineStr" s="310">
        <is>
          <t>As D105, for grid column D.</t>
        </is>
      </c>
    </row>
    <row r="343">
      <c r="A343" t="inlineStr" s="265">
        <is>
          <t>pH-grid crossings — nitrate at the end</t>
        </is>
      </c>
      <c r="B343" t="inlineStr" s="266">
        <is>
          <t>n_cross_N</t>
        </is>
      </c>
      <c r="C343" t="inlineStr" s="265">
        <is>
          <t>-</t>
        </is>
      </c>
      <c r="D343" s="277">
        <f>SUMPRODUCT((F50:F99&gt;=0)*(F51:F100&lt;0))</f>
        <v>1.0</v>
      </c>
      <c r="E343" t="inlineStr" s="310">
        <is>
          <t>As D105, for grid column F.</t>
        </is>
      </c>
    </row>
    <row r="344">
      <c r="A344" t="inlineStr" s="265">
        <is>
          <t>pH-grid crossings — urea at the end</t>
        </is>
      </c>
      <c r="B344" t="inlineStr" s="266">
        <is>
          <t>n_cross_U</t>
        </is>
      </c>
      <c r="C344" t="inlineStr" s="265">
        <is>
          <t>-</t>
        </is>
      </c>
      <c r="D344" s="277">
        <f>SUMPRODUCT((H50:H99&gt;=0)*(H51:H100&lt;0))</f>
        <v>1.0</v>
      </c>
      <c r="E344" t="inlineStr" s="310">
        <is>
          <t>As D105, for grid column H.</t>
        </is>
      </c>
    </row>
    <row r="345">
      <c r="A345" t="inlineStr" s="265">
        <is>
          <t>End-of-run pH (probe) — ammonium</t>
        </is>
      </c>
      <c r="B345" t="inlineStr" s="266">
        <is>
          <t>pH_end_A</t>
        </is>
      </c>
      <c r="C345" t="inlineStr" s="265">
        <is>
          <t>pH</t>
        </is>
      </c>
      <c r="D345" s="198">
        <f>IF(n_cross_A=1,SUM(E50:E100),NA())-LOG10(gamma_1)</f>
        <v>6.430267240427</v>
      </c>
      <c r="E345" t="inlineStr" s="314">
        <is>
          <t>Root of grid column D, to the activity scale as D220. Holds today’s dissolved CO₂ and γ (Summary row 157).</t>
        </is>
      </c>
    </row>
    <row r="346">
      <c r="A346" t="inlineStr" s="265">
        <is>
          <t>End-of-run pH (probe) — nitrate</t>
        </is>
      </c>
      <c r="B346" t="inlineStr" s="266">
        <is>
          <t>pH_end_N</t>
        </is>
      </c>
      <c r="C346" t="inlineStr" s="265">
        <is>
          <t>pH</t>
        </is>
      </c>
      <c r="D346" s="198">
        <f>IF(n_cross_N=1,SUM(G50:G100),NA())-LOG10(gamma_1)</f>
        <v>6.541338292124</v>
      </c>
      <c r="E346" t="inlineStr" s="314">
        <is>
          <t>As D345, grid column F.</t>
        </is>
      </c>
    </row>
    <row r="347">
      <c r="A347" t="inlineStr" s="265">
        <is>
          <t>End-of-run pH (probe) — urea</t>
        </is>
      </c>
      <c r="B347" t="inlineStr" s="266">
        <is>
          <t>pH_end_U</t>
        </is>
      </c>
      <c r="C347" t="inlineStr" s="265">
        <is>
          <t>pH</t>
        </is>
      </c>
      <c r="D347" s="198">
        <f>IF(n_cross_U=1,SUM(I50:I100),NA())-LOG10(gamma_1)</f>
        <v>6.487343546648</v>
      </c>
      <c r="E347" t="inlineStr" s="314">
        <is>
          <t>As D345, grid column H.</t>
        </is>
      </c>
    </row>
    <row r="348">
      <c r="A348" t="inlineStr" s="265">
        <is>
          <t>End-of-run pH (probe), nitrogen source in use</t>
        </is>
      </c>
      <c r="B348" t="inlineStr" s="266">
        <is>
          <t>pH_end</t>
        </is>
      </c>
      <c r="C348" t="inlineStr" s="265">
        <is>
          <t>pH</t>
        </is>
      </c>
      <c r="D348" s="198">
        <f>CHOOSE(N_src_idx,pH_end_A,pH_end_N,pH_end_U)</f>
        <v>6.430267240427</v>
      </c>
      <c r="E348" t="inlineStr" s="310">
        <is>
          <t>Summary row 28.</t>
        </is>
      </c>
    </row>
    <row r="349">
      <c r="A349" t="inlineStr" s="265">
        <is>
          <t>Minimum pH over the run — ammonium</t>
        </is>
      </c>
      <c r="B349" t="inlineStr" s="266">
        <is>
          <t>pH_min_A</t>
        </is>
      </c>
      <c r="C349" t="inlineStr" s="265">
        <is>
          <t>pH</t>
        </is>
      </c>
      <c r="D349" s="198">
        <f>MIN(pH_meas,pH_end_A)</f>
        <v>6.430267240427</v>
      </c>
      <c r="E349" t="inlineStr" s="314">
        <is>
          <t>The lower of the start (D220) and the end of the run. The nitrogen swap is charge-neutral at the start (NH₄⁺ and K⁺ are both fully charged near pH 6.5), so every option starts at D220.</t>
        </is>
      </c>
    </row>
    <row r="350">
      <c r="A350" t="inlineStr" s="265">
        <is>
          <t>Minimum pH over the run — nitrate</t>
        </is>
      </c>
      <c r="B350" t="inlineStr" s="266">
        <is>
          <t>pH_min_N</t>
        </is>
      </c>
      <c r="C350" t="inlineStr" s="265">
        <is>
          <t>pH</t>
        </is>
      </c>
      <c r="D350" s="198">
        <f>MIN(pH_meas,pH_end_N)</f>
        <v>6.487161438894</v>
      </c>
      <c r="E350" t="inlineStr" s="314">
        <is>
          <t>As D349.</t>
        </is>
      </c>
    </row>
    <row r="351">
      <c r="A351" t="inlineStr" s="265">
        <is>
          <t>Minimum pH over the run — urea</t>
        </is>
      </c>
      <c r="B351" t="inlineStr" s="266">
        <is>
          <t>pH_min_U</t>
        </is>
      </c>
      <c r="C351" t="inlineStr" s="265">
        <is>
          <t>pH</t>
        </is>
      </c>
      <c r="D351" s="198">
        <f>MIN(pH_meas,pH_end_U)</f>
        <v>6.487161438894</v>
      </c>
      <c r="E351" t="inlineStr" s="314">
        <is>
          <t>As D349.</t>
        </is>
      </c>
    </row>
    <row r="352">
      <c r="A352" t="inlineStr" s="265">
        <is>
          <t>Minimum pH over the run, nitrogen source in use</t>
        </is>
      </c>
      <c r="B352" t="inlineStr" s="266">
        <is>
          <t>pH_min</t>
        </is>
      </c>
      <c r="C352" t="inlineStr" s="265">
        <is>
          <t>pH</t>
        </is>
      </c>
      <c r="D352" s="198">
        <f>CHOOSE(N_src_idx,pH_min_A,pH_min_N,pH_min_U)</f>
        <v>6.430267240427</v>
      </c>
      <c r="E352" t="inlineStr" s="310">
        <is>
          <t>Summary row 64.</t>
        </is>
      </c>
    </row>
    <row r="353">
      <c r="A353" t="inlineStr" s="265">
        <is>
          <t>End-of-run strong-ion difference, nitrogen source in use</t>
        </is>
      </c>
      <c r="B353" t="inlineStr" s="266">
        <is>
          <t>SID_end</t>
        </is>
      </c>
      <c r="C353" t="inlineStr" s="265">
        <is>
          <t>mol/L</t>
        </is>
      </c>
      <c r="D353" s="199">
        <f>CHOOSE(N_src_idx,SID_end_A,SID_end_N,SID_end_U)</f>
        <v>0.115446909129</v>
      </c>
      <c r="E353" t="inlineStr" s="310">
        <is>
          <t>D338, D340 or D341.</t>
        </is>
      </c>
    </row>
    <row r="354">
      <c r="A354" t="inlineStr" s="265">
        <is>
          <t>End-of-run total ammonium, nitrogen source in use</t>
        </is>
      </c>
      <c r="B354" t="inlineStr" s="266">
        <is>
          <t>NT_end</t>
        </is>
      </c>
      <c r="C354" t="inlineStr" s="265">
        <is>
          <t>mol/L</t>
        </is>
      </c>
      <c r="D354" s="209">
        <f>CHOOSE(N_src_idx,NT_end_A,0,0)</f>
        <v>0.006133953283</v>
      </c>
      <c r="E354" t="inlineStr" s="310">
        <is>
          <t>D339, or 0 without ammonium.</t>
        </is>
      </c>
    </row>
    <row r="355">
      <c r="A355" t="inlineStr" s="265">
        <is>
          <t>Charge-balance residual at the target pH, end of the run</t>
        </is>
      </c>
      <c r="B355" t="inlineStr" s="266">
        <is>
          <t>alk_resid_end</t>
        </is>
      </c>
      <c r="C355" t="inlineStr" s="265">
        <is>
          <t>mol/L</t>
        </is>
      </c>
      <c r="D355" s="209">
        <f>SID_end + NT_end*(10^-alk_pH_target_c)/((10^-alk_pH_target_c)+KaN_c)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-0.009668144446</v>
      </c>
      <c r="E355" t="inlineStr" s="314">
        <is>
          <t>D305 on the end-of-run composition. The residual is linear in the strong-ion difference, so the base that zeroes it is exact (dissolved CO₂ and γ held at the schedule in use).</t>
        </is>
      </c>
    </row>
    <row r="356">
      <c r="A356" t="inlineStr" s="265">
        <is>
          <t>Extra alkalinity for the target pH at the end of the run</t>
        </is>
      </c>
      <c r="B356" t="inlineStr" s="266">
        <is>
          <t>alk_end</t>
        </is>
      </c>
      <c r="C356" t="inlineStr" s="265">
        <is>
          <t>mol/L</t>
        </is>
      </c>
      <c r="D356" s="209">
        <f>MAX(0,-alk_resid_end)</f>
        <v>0.009668144446</v>
      </c>
      <c r="E356" t="inlineStr" s="310">
        <is>
          <t>As D306, at the end of the run.</t>
        </is>
      </c>
    </row>
    <row r="357">
      <c r="A357" t="inlineStr" s="265">
        <is>
          <t>NaHCO₃ that holds the target pH through the whole run</t>
        </is>
      </c>
      <c r="B357" t="inlineStr" s="266">
        <is>
          <t>alk_run_gL</t>
        </is>
      </c>
      <c r="C357" t="inlineStr" s="265">
        <is>
          <t>g/L</t>
        </is>
      </c>
      <c r="D357" s="199">
        <f>MAX(alk_needed,alk_end)*M_NaHCO3</f>
        <v>0.812191810457</v>
      </c>
      <c r="E357" t="inlineStr" s="310">
        <is>
          <t>The larger of the start (D306) and end-of-run (D356) needs, as NaHCO₃ on top of Summary D13: the binding end then sits at the target.</t>
        </is>
      </c>
    </row>
    <row r="358">
      <c r="A358" t="inlineStr" s="265">
        <is>
          <t>Minimum pH over the run with that NaHCO₃</t>
        </is>
      </c>
      <c r="B358" t="inlineStr" s="266">
        <is>
          <t>pH_min_alk</t>
        </is>
      </c>
      <c r="C358" t="inlineStr" s="265">
        <is>
          <t>pH</t>
        </is>
      </c>
      <c r="D358" s="198">
        <f>IF(alk_run_gL&gt;0,alk_pH_target,pH_min)</f>
        <v>6.5</v>
      </c>
      <c r="E358" t="inlineStr" s="310">
        <is>
          <t>The target once the binding end is lifted to it; unchanged when none is needed.</t>
        </is>
      </c>
    </row>
    <row r="359">
      <c r="A359" t="inlineStr" s="265">
        <is>
          <t>Recipe (NH₄)₂SO₄</t>
        </is>
      </c>
      <c r="B359" t="inlineStr" s="266">
        <is>
          <t>NH42SO4_rec_gL</t>
        </is>
      </c>
      <c r="C359" t="inlineStr" s="265">
        <is>
          <t>g/L</t>
        </is>
      </c>
      <c r="D359" s="199">
        <f>pH_NT_rec/2*MW_NH42SO4</f>
        <v>0.943</v>
      </c>
      <c r="E359" t="inlineStr" s="310">
        <is>
          <t>Two N per (NH₄)₂SO₄.</t>
        </is>
      </c>
    </row>
    <row r="360">
      <c r="A360" t="inlineStr" s="265">
        <is>
          <t>K₂SO₄ that replaces it (same sulfate)</t>
        </is>
      </c>
      <c r="B360" t="inlineStr" s="266">
        <is>
          <t>K2SO4_swap_gL</t>
        </is>
      </c>
      <c r="C360" t="inlineStr" s="265">
        <is>
          <t>g/L</t>
        </is>
      </c>
      <c r="D360" s="198">
        <f>pH_NT_rec/2*MW_K2SO4</f>
        <v>1.243583926139</v>
      </c>
      <c r="E360" t="inlineStr" s="310">
        <is>
          <t>Keeps the sulfate (a sulfur source) and the charge.</t>
        </is>
      </c>
    </row>
    <row r="361">
      <c r="A361" t="inlineStr" s="265">
        <is>
          <t>Molar mass of KNO₃</t>
        </is>
      </c>
      <c r="B361" t="inlineStr" s="266">
        <is>
          <t>M_KNO3</t>
        </is>
      </c>
      <c r="C361" t="inlineStr" s="265">
        <is>
          <t>g/mol</t>
        </is>
      </c>
      <c r="D361" s="268">
        <v>101.103</v>
      </c>
      <c r="E361" t="inlineStr" s="310">
        <is>
          <t>IUPAC standard atomic weights (K 39.098, N 14.007, O 15.999).</t>
        </is>
      </c>
    </row>
    <row r="362">
      <c r="A362" t="inlineStr" s="265">
        <is>
          <t>KNO₃ for the same nitrogen</t>
        </is>
      </c>
      <c r="B362" t="inlineStr" s="266">
        <is>
          <t>KNO3_gL</t>
        </is>
      </c>
      <c r="C362" t="inlineStr" s="265">
        <is>
          <t>g/L</t>
        </is>
      </c>
      <c r="D362" s="198">
        <f>pH_NT_rec*M_KNO3</f>
        <v>1.443016936582</v>
      </c>
      <c r="E362" t="inlineStr" s="310">
        <is>
          <t>One N per KNO₃.</t>
        </is>
      </c>
    </row>
    <row r="363">
      <c r="A363" t="inlineStr" s="265">
        <is>
          <t>Molar mass of urea</t>
        </is>
      </c>
      <c r="B363" t="inlineStr" s="266">
        <is>
          <t>M_urea</t>
        </is>
      </c>
      <c r="C363" t="inlineStr" s="265">
        <is>
          <t>g/mol</t>
        </is>
      </c>
      <c r="D363" s="268">
        <v>60.056</v>
      </c>
      <c r="E363" t="inlineStr" s="310">
        <is>
          <t>IUPAC standard atomic weights: CO(NH₂)₂.</t>
        </is>
      </c>
    </row>
    <row r="364">
      <c r="A364" t="inlineStr" s="265">
        <is>
          <t>Urea for the same nitrogen</t>
        </is>
      </c>
      <c r="B364" t="inlineStr" s="266">
        <is>
          <t>urea_gL</t>
        </is>
      </c>
      <c r="C364" t="inlineStr" s="265">
        <is>
          <t>g/L</t>
        </is>
      </c>
      <c r="D364" s="199">
        <f>pH_NT_rec/2*M_urea</f>
        <v>0.428581867716</v>
      </c>
      <c r="E364" t="inlineStr" s="310">
        <is>
          <t>Two N per urea.</t>
        </is>
      </c>
    </row>
  </sheetData>
  <conditionalFormatting sqref="D146 D147 D150 D151 D159 D162 D214 D222 D223 D225 D234 D251 D277 D307 D314 D361 D363">
    <cfRule type="expression" dxfId="48" priority="1" stopIfTrue="1">
      <formula>OR(ISBLANK(D146),NOT(ISNUMBER(D146)),D146&lt;=0)</formula>
    </cfRule>
  </conditionalFormatting>
  <conditionalFormatting sqref="D128 D136 D141 D144 D152 D153 D160 D166 D167 D168 D169 D170 D171 D172 D173 D174 D175 D178 D179 D201 D202 D203 D204 D205 D224 D230 D231 D232 D233 D235 D236 D237 D238 D257 D291 D299 D300 D309 D335">
    <cfRule type="expression" dxfId="48" priority="2" stopIfTrue="1">
      <formula>OR(ISBLANK(D128),NOT(ISNUMBER(D128)))</formula>
    </cfRule>
  </conditionalFormatting>
  <conditionalFormatting sqref="D109:D110 D163">
    <cfRule type="expression" dxfId="48" priority="3" stopIfTrue="1">
      <formula>OR(ISNUMBER(SEARCH("SEVERE",D109)),ISNUMBER(SEARCH("BELOW",D109)),ISNUMBER(SEARCH("DATA GAP",D109)))</formula>
    </cfRule>
    <cfRule type="expression" dxfId="47" priority="4" stopIfTrue="1">
      <formula>OR(ISNUMBER(SEARCH("sub-lethal",D109)),ISNUMBER(SEARCH("above optimum",D109)),ISNUMBER(SEARCH("watch",D109)))</formula>
    </cfRule>
    <cfRule type="expression" dxfId="46" priority="5"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30"/>
  <sheetViews>
    <sheetView workbookViewId="0">
      <pane xSplit="1" ySplit="2" topLeftCell="B3" activePane="bottomRight" state="frozen"/>
      <selection pane="bottomRight" activeCell="B3" sqref="B3"/>
    </sheetView>
  </sheetViews>
  <sheetFormatPr baseColWidth="10" defaultColWidth="8.83203125" defaultRowHeight="15" x14ac:dyDescent="0.2"/>
  <cols>
    <col min="1" max="1" width="52" customWidth="1"/>
    <col min="2" max="2" width="15" customWidth="1"/>
    <col min="4" max="4" width="18" customWidth="1"/>
    <col min="5" max="5" width="60" customWidth="1"/>
    <col min="6" max="6" width="65" customWidth="1"/>
  </cols>
  <sheetData>
    <row r="1" ht="16" customHeight="1" x14ac:dyDescent="0.2">
      <c r="A1" t="s" s="263">
        <v>345</v>
      </c>
      <c r="B1" s="263"/>
      <c r="C1" s="263"/>
      <c r="D1" s="263"/>
      <c r="E1" s="263"/>
      <c r="F1" s="271"/>
    </row>
    <row r="2" x14ac:dyDescent="0.2">
      <c r="A2" t="s" s="263">
        <v>20</v>
      </c>
      <c r="B2" t="s" s="263">
        <v>21</v>
      </c>
      <c r="C2" t="s" s="263">
        <v>22</v>
      </c>
      <c r="D2" t="s" s="263">
        <v>23</v>
      </c>
      <c r="E2" t="s" s="263">
        <v>104</v>
      </c>
      <c r="F2" s="271"/>
    </row>
    <row r="3" ht="16" customHeight="1" x14ac:dyDescent="0.2">
      <c r="A3" t="s" s="278">
        <v>105</v>
      </c>
      <c r="B3" s="278"/>
      <c r="C3" s="278"/>
      <c r="D3" s="278"/>
      <c r="E3" s="278"/>
      <c r="F3" s="271"/>
    </row>
    <row r="4" x14ac:dyDescent="0.2">
      <c r="A4" t="s" s="265">
        <v>346</v>
      </c>
      <c r="B4" t="s" s="266">
        <v>301</v>
      </c>
      <c r="C4" t="s" s="265">
        <v>302</v>
      </c>
      <c r="D4" s="209">
        <f>Electrochemistry!rH2_gen</f>
        <v>0.0001023341229799</v>
      </c>
      <c r="E4" s="299" t="str">
        <f>HYPERLINK("#Electrochemistry!D21","→ Electrochemistry")</f>
        <v>→ Electrochemistry</v>
      </c>
      <c r="F4" s="271"/>
    </row>
    <row r="5" x14ac:dyDescent="0.2">
      <c r="A5" t="s" s="265">
        <v>347</v>
      </c>
      <c r="B5" t="s" s="266">
        <v>323</v>
      </c>
      <c r="C5" t="s" s="265">
        <v>302</v>
      </c>
      <c r="D5" s="209">
        <f>Electrochemistry!O2_net_gen</f>
        <v>5.116706148996e-05</v>
      </c>
      <c r="E5" s="299" t="str">
        <f>HYPERLINK("#Electrochemistry!D29","→ Electrochemistry")</f>
        <v>→ Electrochemistry</v>
      </c>
      <c r="F5" s="271"/>
    </row>
    <row r="6" x14ac:dyDescent="0.2">
      <c r="A6" t="s" s="265">
        <v>348</v>
      </c>
      <c r="B6" t="s" s="266">
        <v>180</v>
      </c>
      <c r="C6" t="s" s="265">
        <v>52</v>
      </c>
      <c r="D6" s="277">
        <f>Geometry!V_charge</f>
        <v>15.0</v>
      </c>
      <c r="E6" s="299" t="str">
        <f>HYPERLINK("#Geometry!D41","→ Geometry")</f>
        <v>→ Geometry</v>
      </c>
      <c r="F6" s="271"/>
    </row>
    <row r="7" x14ac:dyDescent="0.2">
      <c r="A7" t="s" s="265">
        <v>349</v>
      </c>
      <c r="B7" t="s" s="266">
        <v>33</v>
      </c>
      <c r="C7" s="265"/>
      <c r="D7" s="277" t="str">
        <f>Summary!organism_sel</f>
        <v>Xanthobacter tagetidis</v>
      </c>
      <c r="E7" s="299" t="str">
        <f>HYPERLINK("#Summary!D4","→ Summary")</f>
        <v>→ Summary</v>
      </c>
      <c r="F7" s="271"/>
    </row>
    <row r="8" s="271" customFormat="1" x14ac:dyDescent="0.2">
      <c r="A8" s="271"/>
      <c r="B8" s="290"/>
      <c r="C8" s="271"/>
      <c r="D8" s="321"/>
      <c r="E8" s="288"/>
      <c r="F8" s="271"/>
    </row>
    <row r="9" x14ac:dyDescent="0.2" hidden="1">
      <c r="A9" s="281"/>
      <c r="B9" s="290"/>
      <c r="C9" s="267"/>
      <c r="D9" s="322"/>
      <c r="E9" s="271"/>
      <c r="F9" s="271"/>
    </row>
    <row r="10" x14ac:dyDescent="0.2" ht="52" customHeight="1">
      <c r="A10" t="s" s="265">
        <v>350</v>
      </c>
      <c r="B10" t="s" s="266">
        <v>351</v>
      </c>
      <c r="C10" t="s" s="265">
        <v>108</v>
      </c>
      <c r="D10" s="277">
        <f>IF(ISNUMBER(cal_knall_H2),cal_knall_H2,knall_H2_default)</f>
        <v>6.0</v>
      </c>
      <c r="E10" t="s" s="305">
        <v>352</v>
      </c>
      <c r="F10" s="271"/>
    </row>
    <row r="11" x14ac:dyDescent="0.2" ht="27" customHeight="1">
      <c r="A11" t="s" s="265">
        <v>353</v>
      </c>
      <c r="B11" t="s" s="266">
        <v>354</v>
      </c>
      <c r="C11" t="s" s="265">
        <v>108</v>
      </c>
      <c r="D11" s="277">
        <f>IF(ISNUMBER(cal_knall_O2),cal_knall_O2,knall_O2_default)</f>
        <v>2.0</v>
      </c>
      <c r="E11" t="s" s="305">
        <v>355</v>
      </c>
      <c r="F11" s="271"/>
    </row>
    <row r="12" x14ac:dyDescent="0.2" ht="27" customHeight="1">
      <c r="A12" t="s" s="265">
        <v>356</v>
      </c>
      <c r="B12" t="s" s="266">
        <v>357</v>
      </c>
      <c r="C12" t="s" s="265">
        <v>108</v>
      </c>
      <c r="D12" s="277">
        <f>IF(ISNUMBER(cal_knall_CO2),cal_knall_CO2,knall_CO2_default)</f>
        <v>1.0</v>
      </c>
      <c r="E12" t="s" s="305">
        <v>358</v>
      </c>
      <c r="F12" s="271"/>
    </row>
    <row r="13" x14ac:dyDescent="0.2" ht="39.5" customHeight="1">
      <c r="A13" t="s" s="265">
        <v>359</v>
      </c>
      <c r="B13" t="s" s="266">
        <v>360</v>
      </c>
      <c r="C13" t="s" s="265">
        <v>302</v>
      </c>
      <c r="D13" s="209">
        <f>MAX(0,rH2_gen-H2_HOR_b)*H2_util</f>
        <v>0.0001023341229799</v>
      </c>
      <c r="E13" s="305" t="inlineStr">
        <is>
          <t xml:space="preserve">Steady growth: (electrolytic H₂ minus anodic H₂ oxidation) × H2_util. D128 accepts the measured fraction; blank retains the provisional 100% upper bound. Lag uptake remains zero.</t>
        </is>
      </c>
      <c r="F13" s="271"/>
    </row>
    <row r="14" ht="26" customHeight="1" x14ac:dyDescent="0.2">
      <c r="A14" t="s" s="265">
        <v>361</v>
      </c>
      <c r="B14" t="s" s="266">
        <v>362</v>
      </c>
      <c r="C14" t="s" s="265">
        <v>302</v>
      </c>
      <c r="D14" s="209">
        <f>H2_cons*bio_O2/bio_H2</f>
        <v>3.411137432664e-05</v>
      </c>
      <c r="E14" s="305" t="inlineStr">
        <is>
          <t xml:space="preserve">Biological H₂ uptake × measured O₂:H₂ uptake ratio. H2_util accounts for H₂ vented unconsumed; zero-growth conditions require the Lag model.</t>
        </is>
      </c>
      <c r="F14" s="271"/>
    </row>
    <row r="15" x14ac:dyDescent="0.2">
      <c r="A15" t="s" s="265">
        <v>364</v>
      </c>
      <c r="B15" t="s" s="266">
        <v>365</v>
      </c>
      <c r="C15" t="s" s="265">
        <v>302</v>
      </c>
      <c r="D15" s="209">
        <f>H2_cons*bio_CO2/bio_H2</f>
        <v>1.705568716332e-05</v>
      </c>
      <c r="E15" t="s" s="305">
        <v>366</v>
      </c>
      <c r="F15" s="271"/>
    </row>
    <row r="16" x14ac:dyDescent="0.2" ht="89.5" customHeight="1">
      <c r="A16" t="s" s="265">
        <v>367</v>
      </c>
      <c r="B16" t="s" s="266">
        <v>368</v>
      </c>
      <c r="C16" t="s" s="265">
        <v>302</v>
      </c>
      <c r="D16" s="209">
        <f>MAX(0,O2_net_gen-O2_cons)</f>
        <v>1.705568716332e-05</v>
      </c>
      <c r="E16" s="303" t="inlineStr">
        <is>
          <t xml:space="preserve">MAX(0, net electrolytic O₂ − biological O₂ uptake). At H2_util=1 this is a lower bound on surplus; measured incomplete H₂ uptake increases it. Sensitivity to the uptake ratio is local, not symmetric after clipping at zero.</t>
        </is>
      </c>
      <c r="F16" s="271"/>
    </row>
    <row r="17" x14ac:dyDescent="0.2">
      <c r="A17" t="s" s="265">
        <v>369</v>
      </c>
      <c r="B17" t="s" s="266">
        <v>370</v>
      </c>
      <c r="C17" t="s" s="265">
        <v>48</v>
      </c>
      <c r="D17" s="262">
        <f>Summary!temp_C</f>
        <v>30.0</v>
      </c>
      <c r="E17" t="s" s="305">
        <v>371</v>
      </c>
      <c r="F17" s="271"/>
    </row>
    <row r="18" ht="24" customHeight="1" x14ac:dyDescent="0.2">
      <c r="A18" t="s" s="265">
        <v>372</v>
      </c>
      <c r="B18" t="s" s="266">
        <v>258</v>
      </c>
      <c r="C18" t="s" s="265">
        <v>259</v>
      </c>
      <c r="D18" s="196">
        <f>T_C+T_zero_C</f>
        <v>303.15</v>
      </c>
      <c r="E18" t="s" s="303">
        <v>373</v>
      </c>
      <c r="F18" s="271"/>
    </row>
    <row r="19" x14ac:dyDescent="0.2">
      <c r="A19" t="s" s="265">
        <v>374</v>
      </c>
      <c r="B19" t="s" s="266">
        <v>261</v>
      </c>
      <c r="C19" t="s" s="265">
        <v>57</v>
      </c>
      <c r="D19" s="277">
        <f>IF(P_atm_set&gt;0,P_atm_set,Pa_per_atm)</f>
        <v>101325.0</v>
      </c>
      <c r="E19" t="s" s="305">
        <v>375</v>
      </c>
      <c r="F19" s="271"/>
    </row>
    <row r="20" x14ac:dyDescent="0.2">
      <c r="A20" t="s" s="265">
        <v>376</v>
      </c>
      <c r="B20" t="s" s="266">
        <v>377</v>
      </c>
      <c r="C20" t="s" s="265">
        <v>378</v>
      </c>
      <c r="D20" s="268">
        <v>101325</v>
      </c>
      <c r="E20" t="s" s="303">
        <v>379</v>
      </c>
      <c r="F20" s="271"/>
    </row>
    <row r="21" x14ac:dyDescent="0.2" ht="27" customHeight="1">
      <c r="A21" t="s" s="265">
        <v>380</v>
      </c>
      <c r="B21" t="s" s="266">
        <v>381</v>
      </c>
      <c r="C21" t="s" s="265">
        <v>382</v>
      </c>
      <c r="D21" s="268">
        <v>1.2E-5</v>
      </c>
      <c r="E21" t="s" s="306">
        <v>383</v>
      </c>
      <c r="F21" s="271"/>
    </row>
    <row r="22" x14ac:dyDescent="0.2">
      <c r="A22" t="s" s="265">
        <v>384</v>
      </c>
      <c r="B22" t="s" s="266">
        <v>385</v>
      </c>
      <c r="C22" t="s" s="265">
        <v>259</v>
      </c>
      <c r="D22" s="268">
        <v>1500</v>
      </c>
      <c r="E22" t="s" s="306">
        <v>386</v>
      </c>
      <c r="F22" s="271"/>
    </row>
    <row r="23" x14ac:dyDescent="0.2">
      <c r="A23" t="s" s="265">
        <v>387</v>
      </c>
      <c r="B23" t="s" s="266">
        <v>388</v>
      </c>
      <c r="C23" t="s" s="265">
        <v>259</v>
      </c>
      <c r="D23" s="268">
        <v>298.14999999999998</v>
      </c>
      <c r="E23" t="s" s="303">
        <v>389</v>
      </c>
      <c r="F23" s="271"/>
    </row>
    <row r="24" x14ac:dyDescent="0.2" ht="39.5" customHeight="1">
      <c r="A24" t="s" s="265">
        <v>390</v>
      </c>
      <c r="B24" t="s" s="266">
        <v>391</v>
      </c>
      <c r="C24" t="s" s="265">
        <v>382</v>
      </c>
      <c r="D24" s="209">
        <f>H_O2ref*EXP(H_O2T*(1/T_K-1/T_ref))*f_salt_O2</f>
        <v>1.035423649307e-05</v>
      </c>
      <c r="E24" t="s" s="303">
        <v>2021</v>
      </c>
      <c r="F24" s="271"/>
    </row>
    <row r="25" x14ac:dyDescent="0.2" ht="27" customHeight="1">
      <c r="A25" t="s" s="265">
        <v>392</v>
      </c>
      <c r="B25" t="s" s="266">
        <v>393</v>
      </c>
      <c r="C25" t="s" s="265">
        <v>394</v>
      </c>
      <c r="D25" s="268">
        <v>0.3</v>
      </c>
      <c r="E25" t="s" s="306">
        <v>395</v>
      </c>
      <c r="F25" s="271"/>
    </row>
    <row r="26" x14ac:dyDescent="0.2">
      <c r="A26" t="s" s="265">
        <v>396</v>
      </c>
      <c r="B26" t="s" s="266">
        <v>397</v>
      </c>
      <c r="C26" t="s" s="265">
        <v>57</v>
      </c>
      <c r="D26" s="222">
        <f>O2_ceil_atm*Pa_per_atm</f>
        <v>30397.5</v>
      </c>
      <c r="E26" t="s" s="303">
        <v>398</v>
      </c>
      <c r="F26" s="271"/>
    </row>
    <row r="27" x14ac:dyDescent="0.2">
      <c r="A27" t="s" s="265">
        <v>399</v>
      </c>
      <c r="B27" t="s" s="266">
        <v>400</v>
      </c>
      <c r="C27" t="s" s="265">
        <v>401</v>
      </c>
      <c r="D27" s="199">
        <f>H_O2_T*O2_ceil_Pa</f>
        <v>0.314742903798</v>
      </c>
      <c r="E27" t="s" s="303">
        <v>402</v>
      </c>
      <c r="F27" s="271"/>
    </row>
    <row r="28" x14ac:dyDescent="0.2" ht="27" customHeight="1">
      <c r="A28" t="s" s="265">
        <v>399</v>
      </c>
      <c r="B28" t="s" s="266">
        <v>403</v>
      </c>
      <c r="C28" t="s" s="265">
        <v>404</v>
      </c>
      <c r="D28" s="196">
        <f>O2_ceil_C*1000</f>
        <v>314.742903798027</v>
      </c>
      <c r="E28" t="s" s="306">
        <v>405</v>
      </c>
      <c r="F28" s="271"/>
    </row>
    <row r="29" x14ac:dyDescent="0.2" ht="27" customHeight="1">
      <c r="A29" t="s" s="265">
        <v>406</v>
      </c>
      <c r="B29" t="s" s="266">
        <v>407</v>
      </c>
      <c r="C29" t="s" s="265">
        <v>382</v>
      </c>
      <c r="D29" s="309">
        <v>3.3E-4</v>
      </c>
      <c r="E29" t="s" s="306">
        <v>939</v>
      </c>
      <c r="F29" s="271"/>
    </row>
    <row r="30" ht="24" customHeight="1" x14ac:dyDescent="0.2">
      <c r="A30" t="s" s="265">
        <v>408</v>
      </c>
      <c r="B30" t="s" s="266">
        <v>409</v>
      </c>
      <c r="C30" t="s" s="265">
        <v>259</v>
      </c>
      <c r="D30" s="309">
        <v>2400</v>
      </c>
      <c r="E30" t="s" s="306">
        <v>410</v>
      </c>
      <c r="F30" s="271"/>
    </row>
    <row r="31" x14ac:dyDescent="0.2">
      <c r="A31" t="s" s="265">
        <v>411</v>
      </c>
      <c r="B31" t="s" s="266">
        <v>412</v>
      </c>
      <c r="C31" t="s" s="265">
        <v>382</v>
      </c>
      <c r="D31" s="209">
        <f>H_CO2ref*EXP(H_CO2T*(1/T_K-1/T_ref))</f>
        <v>0.0002889709160252</v>
      </c>
      <c r="E31" t="s" s="303">
        <v>413</v>
      </c>
      <c r="F31" s="271"/>
    </row>
    <row r="32" x14ac:dyDescent="0.2">
      <c r="A32" t="s" s="265">
        <v>2022</v>
      </c>
      <c r="B32" t="s" s="266">
        <v>414</v>
      </c>
      <c r="C32" t="s" s="265">
        <v>57</v>
      </c>
      <c r="D32" s="222">
        <f>'Mass Transfer'!P_dry</f>
        <v>97088.3497487</v>
      </c>
      <c r="E32" t="s" s="310">
        <v>2023</v>
      </c>
      <c r="F32" s="271"/>
    </row>
    <row r="33" x14ac:dyDescent="0.2" ht="39.5" customHeight="1">
      <c r="A33" t="s" s="265">
        <v>415</v>
      </c>
      <c r="B33" t="s" s="266">
        <v>416</v>
      </c>
      <c r="C33" t="s" s="265">
        <v>401</v>
      </c>
      <c r="D33" s="212">
        <f>H_CO2_T*p_CO2_sparge</f>
        <v>28.055709362261</v>
      </c>
      <c r="E33" t="s" s="303">
        <v>2024</v>
      </c>
      <c r="F33" s="271"/>
    </row>
    <row r="34" x14ac:dyDescent="0.2">
      <c r="A34" t="s" s="265">
        <v>417</v>
      </c>
      <c r="B34" t="s" s="266">
        <v>418</v>
      </c>
      <c r="C34" t="s" s="265">
        <v>404</v>
      </c>
      <c r="D34" s="268">
        <v>50</v>
      </c>
      <c r="E34" t="s" s="313">
        <v>419</v>
      </c>
      <c r="F34" s="271"/>
    </row>
    <row r="35" x14ac:dyDescent="0.2" ht="27" customHeight="1">
      <c r="A35" t="s" s="265">
        <v>420</v>
      </c>
      <c r="B35" t="s" s="266">
        <v>421</v>
      </c>
      <c r="C35" t="s" s="265">
        <v>87</v>
      </c>
      <c r="D35" s="196">
        <f>CO2_diss*1000/Km_CO2</f>
        <v>561.114187245225</v>
      </c>
      <c r="E35" t="inlineStr" s="303">
        <is>
          <t>Dissolved CO₂ at full dry-basis saturation : RuBisCO Km. Legacy upper bound, superseded by the cycle-trough margin D98 (Summary D87).</t>
        </is>
      </c>
      <c r="F35" s="271"/>
    </row>
    <row r="36" x14ac:dyDescent="0.2">
      <c r="A36" t="s" s="265">
        <v>422</v>
      </c>
      <c r="B36" t="s" s="266">
        <v>423</v>
      </c>
      <c r="C36" t="s" s="265">
        <v>424</v>
      </c>
      <c r="D36" s="309">
        <v>4.4499999999999997E-7</v>
      </c>
      <c r="E36" t="s" s="306">
        <v>425</v>
      </c>
      <c r="F36" s="271"/>
    </row>
    <row r="37" x14ac:dyDescent="0.2" ht="27" customHeight="1">
      <c r="A37" t="s" s="265">
        <v>426</v>
      </c>
      <c r="B37" t="s" s="266">
        <v>427</v>
      </c>
      <c r="C37" t="s" s="265">
        <v>108</v>
      </c>
      <c r="D37" s="198">
        <f>-LOG10(SQRT(Ka1_carb*(CO2_diss/1000)))</f>
        <v>3.951809367556</v>
      </c>
      <c r="E37" t="s" s="313">
        <v>428</v>
      </c>
      <c r="F37" s="271"/>
    </row>
    <row r="38" x14ac:dyDescent="0.2">
      <c r="A38" t="s" s="265">
        <v>429</v>
      </c>
      <c r="B38" t="s" s="266">
        <v>430</v>
      </c>
      <c r="C38" t="s" s="265">
        <v>382</v>
      </c>
      <c r="D38" s="309">
        <v>7.7999999999999999E-6</v>
      </c>
      <c r="E38" t="s" s="306">
        <v>940</v>
      </c>
      <c r="F38" s="271"/>
    </row>
    <row r="39" x14ac:dyDescent="0.2">
      <c r="A39" t="s" s="265">
        <v>431</v>
      </c>
      <c r="B39" t="s" s="266">
        <v>432</v>
      </c>
      <c r="C39" t="s" s="265">
        <v>259</v>
      </c>
      <c r="D39" s="309">
        <v>500</v>
      </c>
      <c r="E39" t="s" s="306">
        <v>433</v>
      </c>
      <c r="F39" s="271"/>
    </row>
    <row r="40" x14ac:dyDescent="0.2">
      <c r="A40" t="s" s="265">
        <v>434</v>
      </c>
      <c r="B40" t="s" s="266">
        <v>435</v>
      </c>
      <c r="C40" t="s" s="265">
        <v>382</v>
      </c>
      <c r="D40" s="209">
        <f>H_H2ref*EXP(H_H2T*(1/T_K-1/T_ref))</f>
        <v>7.587210673725e-06</v>
      </c>
      <c r="E40" t="s" s="303">
        <v>413</v>
      </c>
      <c r="F40" s="271"/>
    </row>
    <row r="41" x14ac:dyDescent="0.2">
      <c r="A41" t="s" s="265">
        <v>436</v>
      </c>
      <c r="B41" t="s" s="266">
        <v>437</v>
      </c>
      <c r="C41" t="s" s="265">
        <v>401</v>
      </c>
      <c r="D41" s="199">
        <f>H_H2_T*P_atm</f>
        <v>0.768774121515</v>
      </c>
      <c r="E41" t="s" s="303">
        <v>438</v>
      </c>
      <c r="F41" s="271"/>
    </row>
    <row r="42" x14ac:dyDescent="0.2" ht="27" customHeight="1">
      <c r="A42" t="s" s="265">
        <v>439</v>
      </c>
      <c r="B42" t="s" s="266">
        <v>440</v>
      </c>
      <c r="C42" t="s" s="265">
        <v>61</v>
      </c>
      <c r="D42" s="198">
        <f>C_H2_sat*(V_charge/1000000)/rH2_gen*60</f>
        <v>6.761153457087</v>
      </c>
      <c r="E42" t="s" s="303">
        <v>441</v>
      </c>
      <c r="F42" s="271"/>
    </row>
    <row r="43" x14ac:dyDescent="0.2" ht="27" customHeight="1">
      <c r="A43" t="s" s="265">
        <v>442</v>
      </c>
      <c r="B43" t="s" s="266">
        <v>443</v>
      </c>
      <c r="C43" t="s" s="265">
        <v>444</v>
      </c>
      <c r="D43" s="198">
        <f>rH2_gen/(V_charge/1000000)/C_H2_sat</f>
        <v>8.874225438133</v>
      </c>
      <c r="E43" t="s" s="313">
        <v>445</v>
      </c>
      <c r="F43" s="271"/>
    </row>
    <row r="44" x14ac:dyDescent="0.2" ht="52" customHeight="1">
      <c r="A44" t="s" s="265">
        <v>2025</v>
      </c>
      <c r="B44" t="s" s="266">
        <v>446</v>
      </c>
      <c r="C44" t="s" s="265">
        <v>108</v>
      </c>
      <c r="D44" s="277"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14% before each pulse; O₂ 5% mean, 8% before each pulse – until uptake starts, sparge every ≤2.3 min or sweep ≥1.0 mL/min N₂; vent to a hood; no ignition sources</v>
      </c>
      <c r="E44" t="s" s="313">
        <v>2913</v>
      </c>
      <c r="F44" t="s" s="269">
        <v>2026</v>
      </c>
    </row>
    <row r="45" x14ac:dyDescent="0.2" ht="39.5" customHeight="1">
      <c r="A45" t="s" s="265">
        <v>447</v>
      </c>
      <c r="B45" t="s" s="266">
        <v>448</v>
      </c>
      <c r="C45" t="s" s="265">
        <v>83</v>
      </c>
      <c r="D45" s="277" t="e">
        <f>IF(ISNUMBER(cal_DO_min),cal_DO_min,IF(ISNUMBER(VLOOKUP(organism_sel,tbl_organism,MATCH("minimum DO (mg/L)",tbl_organism_hdr,0),FALSE)),VLOOKUP(organism_sel,tbl_organism,MATCH("minimum DO (mg/L)",tbl_organism_hdr,0),FALSE),NA()))</f>
        <v>#N/A</v>
      </c>
      <c r="E45" s="313" t="inlineStr">
        <is>
          <t xml:space="preserve">The Cal DO log if a value is included for this organism, otherwise the Organisms table (column "minimum DO (mg/L)"); #N/A = a data gap, to be measured (Summary row 144).</t>
        </is>
      </c>
      <c r="F45" s="271"/>
    </row>
    <row r="46" x14ac:dyDescent="0.2" ht="39.5" customHeight="1">
      <c r="A46" t="s" s="265">
        <v>449</v>
      </c>
      <c r="B46" t="s" s="266">
        <v>450</v>
      </c>
      <c r="C46" t="s" s="265">
        <v>83</v>
      </c>
      <c r="D46" s="277" t="e">
        <f>IF(ISNUMBER(cal_DO_opt),cal_DO_opt,IF(ISNUMBER(VLOOKUP(organism_sel,tbl_organism,MATCH("optimum DO (mg/L)",tbl_organism_hdr,0),FALSE)),VLOOKUP(organism_sel,tbl_organism,MATCH("optimum DO (mg/L)",tbl_organism_hdr,0),FALSE),NA()))</f>
        <v>#N/A</v>
      </c>
      <c r="E46" s="313" t="inlineStr">
        <is>
          <t xml:space="preserve">The Cal DO log if a value is included for this organism, otherwise the Organisms table (column "optimum DO (mg/L)"); #N/A = a data gap, to be measured (Summary row 144).</t>
        </is>
      </c>
      <c r="F46" s="271"/>
    </row>
    <row r="47" x14ac:dyDescent="0.2" ht="39.5" customHeight="1">
      <c r="A47" t="s" s="265">
        <v>451</v>
      </c>
      <c r="B47" t="s" s="266">
        <v>452</v>
      </c>
      <c r="C47" t="s" s="265">
        <v>83</v>
      </c>
      <c r="D47" s="277" t="e">
        <f>IF(ISNUMBER(cal_DO_impair),cal_DO_impair,IF(ISNUMBER(VLOOKUP(organism_sel,tbl_organism,MATCH("impairment DO (mg/L)",tbl_organism_hdr,0),FALSE)),VLOOKUP(organism_sel,tbl_organism,MATCH("impairment DO (mg/L)",tbl_organism_hdr,0),FALSE),NA()))</f>
        <v>#N/A</v>
      </c>
      <c r="E47" s="313" t="inlineStr">
        <is>
          <t xml:space="preserve">The Cal DO log if a value is included for this organism, otherwise the Organisms table (column "impairment DO (mg/L)"); #N/A = a data gap, to be measured (Summary row 144).</t>
        </is>
      </c>
      <c r="F47" s="271"/>
    </row>
    <row r="48" x14ac:dyDescent="0.2" ht="39.5" customHeight="1">
      <c r="A48" t="s" s="265">
        <v>453</v>
      </c>
      <c r="B48" t="s" s="266">
        <v>454</v>
      </c>
      <c r="C48" t="s" s="265">
        <v>83</v>
      </c>
      <c r="D48" s="277" t="e">
        <f>IF(ISNUMBER(cal_DO_toxic),cal_DO_toxic,IF(ISNUMBER(VLOOKUP(organism_sel,tbl_organism,MATCH("toxic DO (mg/L)",tbl_organism_hdr,0),FALSE)),VLOOKUP(organism_sel,tbl_organism,MATCH("toxic DO (mg/L)",tbl_organism_hdr,0),FALSE),NA()))</f>
        <v>#N/A</v>
      </c>
      <c r="E48" s="313" t="inlineStr">
        <is>
          <t xml:space="preserve">The Cal DO log if a value is included for this organism, otherwise the Organisms table (column "toxic DO (mg/L)"); #N/A = a data gap, to be measured (Summary row 144).</t>
        </is>
      </c>
      <c r="F48" s="271"/>
    </row>
    <row r="49" x14ac:dyDescent="0.2">
      <c r="A49" s="271"/>
      <c r="B49" s="311"/>
      <c r="C49" s="311"/>
      <c r="D49" s="311"/>
      <c r="E49" s="311"/>
      <c r="F49" s="271"/>
    </row>
    <row r="50" x14ac:dyDescent="0.2">
      <c r="A50" s="278" t="inlineStr">
        <is>
          <t xml:space="preserve">ORGANISM DISSOLVED-O₂ THRESHOLDS are in the Organisms table (Organisms sheet)</t>
        </is>
      </c>
      <c r="B50" s="278"/>
      <c r="C50" s="278"/>
      <c r="D50" s="278"/>
      <c r="E50" s="278"/>
      <c r="F50" s="271"/>
    </row>
    <row r="51" x14ac:dyDescent="0.2"/>
    <row r="52" x14ac:dyDescent="0.2" hidden="1"/>
    <row r="53" x14ac:dyDescent="0.2" hidden="1"/>
    <row r="54" x14ac:dyDescent="0.2" hidden="1"/>
    <row r="55" x14ac:dyDescent="0.2" hidden="1"/>
    <row r="56" x14ac:dyDescent="0.2" hidden="1"/>
    <row r="57" x14ac:dyDescent="0.2" hidden="1"/>
    <row r="58" x14ac:dyDescent="0.2" hidden="1">
      <c r="A58" s="271"/>
      <c r="B58" s="271"/>
      <c r="C58" s="271"/>
      <c r="D58" s="277"/>
      <c r="E58" s="271"/>
      <c r="F58" s="271"/>
    </row>
    <row r="59" x14ac:dyDescent="0.2">
      <c r="A59" t="s" s="278">
        <v>2027</v>
      </c>
      <c r="B59" s="278"/>
      <c r="C59" s="278"/>
      <c r="D59" s="278"/>
      <c r="E59" s="278"/>
    </row>
    <row r="60" x14ac:dyDescent="0.2" ht="39.5" customHeight="1">
      <c r="A60" t="s" s="265">
        <v>1297</v>
      </c>
      <c r="B60" t="s" s="266">
        <v>1298</v>
      </c>
      <c r="C60" t="s" s="265">
        <v>1116</v>
      </c>
      <c r="D60" s="199">
        <f>IF(ISNA(MATCH(organism_sel,OrganismList,0)),NA(),IF(AND(ISNUMBER(DO_opt),ISNUMBER(DO_toxic)),DO_opt/DO_toxic,DO_frac_fallback))</f>
        <v>0.226086956522</v>
      </c>
      <c r="E60" t="s" s="306">
        <v>1299</v>
      </c>
    </row>
    <row r="61" x14ac:dyDescent="0.2" ht="52" customHeight="1">
      <c r="A61" t="s" s="265">
        <v>1300</v>
      </c>
      <c r="B61" t="s" s="266">
        <v>1301</v>
      </c>
      <c r="C61" t="s" s="265">
        <v>1116</v>
      </c>
      <c r="D61" s="268">
        <v>0.22608695652173899</v>
      </c>
      <c r="E61" t="inlineStr" s="313">
        <is>
          <t>Provisional: C. necator optimum 2.6 ÷ inhibition 11.5 mg/L (row 52); the optimum is a working value, not a sourced measurement, so this stand-in for every unmeasured organism is a weak estimate until the DO-band experiment (Summary row 144).</t>
        </is>
      </c>
    </row>
    <row r="62" x14ac:dyDescent="0.2">
      <c r="A62" t="s" s="278">
        <v>2028</v>
      </c>
      <c r="B62" s="278"/>
      <c r="C62" s="278"/>
      <c r="D62" s="278"/>
      <c r="E62" s="278"/>
    </row>
    <row r="63" x14ac:dyDescent="0.2" ht="27" customHeight="1">
      <c r="A63" t="s" s="265">
        <v>2029</v>
      </c>
      <c r="B63" t="s" s="266">
        <v>2030</v>
      </c>
      <c r="C63" t="s" s="265">
        <v>108</v>
      </c>
      <c r="D63" s="268">
        <v>6</v>
      </c>
      <c r="E63" t="s" s="305">
        <v>2031</v>
      </c>
    </row>
    <row r="64" x14ac:dyDescent="0.2">
      <c r="A64" t="s" s="265">
        <v>2032</v>
      </c>
      <c r="B64" t="s" s="266">
        <v>2033</v>
      </c>
      <c r="C64" t="s" s="265">
        <v>108</v>
      </c>
      <c r="D64" s="268">
        <v>2</v>
      </c>
      <c r="E64" t="s" s="305">
        <v>2034</v>
      </c>
    </row>
    <row r="65" x14ac:dyDescent="0.2">
      <c r="A65" t="s" s="265">
        <v>2035</v>
      </c>
      <c r="B65" t="s" s="266">
        <v>2036</v>
      </c>
      <c r="C65" t="s" s="265">
        <v>108</v>
      </c>
      <c r="D65" s="268">
        <v>1</v>
      </c>
      <c r="E65" t="s" s="305">
        <v>2037</v>
      </c>
    </row>
    <row r="66" x14ac:dyDescent="0.2">
      <c r="A66" t="s" s="265">
        <v>2038</v>
      </c>
      <c r="B66" t="s" s="266">
        <v>2039</v>
      </c>
      <c r="C66" t="s" s="265">
        <v>259</v>
      </c>
      <c r="D66" s="268">
        <v>273.14999999999998</v>
      </c>
      <c r="E66" t="s" s="303">
        <v>2040</v>
      </c>
    </row>
    <row r="67" x14ac:dyDescent="0.2">
      <c r="A67" t="s" s="265">
        <v>2041</v>
      </c>
      <c r="B67" t="s" s="266">
        <v>56</v>
      </c>
      <c r="C67" t="s" s="265">
        <v>57</v>
      </c>
      <c r="D67" s="277">
        <f>Summary!P_atm_set</f>
        <v>0.0</v>
      </c>
      <c r="E67" t="s" s="310">
        <v>2042</v>
      </c>
    </row>
    <row r="69" hidden="1"/>
    <row r="70" hidden="1"/>
    <row r="71" hidden="1"/>
    <row r="72" hidden="1"/>
    <row r="73" hidden="1"/>
    <row r="74" hidden="1"/>
    <row r="75" x14ac:dyDescent="0.2">
      <c r="A75" t="s" s="278">
        <v>2043</v>
      </c>
      <c r="B75" s="278"/>
      <c r="C75" s="278"/>
      <c r="D75" s="278"/>
      <c r="E75" s="278"/>
    </row>
    <row r="76" x14ac:dyDescent="0.2">
      <c r="A76" t="s" s="265">
        <v>2044</v>
      </c>
      <c r="B76" t="s" s="266">
        <v>2045</v>
      </c>
      <c r="C76" t="s" s="265">
        <v>302</v>
      </c>
      <c r="D76" s="209">
        <f>'Mass Transfer'!CO2_supply</f>
        <v>0.0008639935959385</v>
      </c>
      <c r="E76" t="s" s="310">
        <v>2046</v>
      </c>
    </row>
    <row r="77" x14ac:dyDescent="0.2">
      <c r="A77" t="s" s="265">
        <v>2047</v>
      </c>
      <c r="B77" t="s" s="266">
        <v>2048</v>
      </c>
      <c r="C77" t="s" s="265">
        <v>302</v>
      </c>
      <c r="D77" s="199">
        <f>'Mass Transfer'!CO2_rate_full</f>
        <v>0.481916270304</v>
      </c>
      <c r="E77" t="s" s="310">
        <v>2049</v>
      </c>
    </row>
    <row r="78" x14ac:dyDescent="0.2">
      <c r="A78" t="s" s="265">
        <v>2050</v>
      </c>
      <c r="B78" t="s" s="266">
        <v>2051</v>
      </c>
      <c r="C78" t="s" s="265">
        <v>12</v>
      </c>
      <c r="D78" s="199">
        <f>'Mass Transfer'!spg_dur_eq_opt</f>
        <v>0.784513049825</v>
      </c>
      <c r="E78" t="s" s="310">
        <v>2052</v>
      </c>
    </row>
    <row r="79" x14ac:dyDescent="0.2">
      <c r="A79" t="s" s="265">
        <v>2053</v>
      </c>
      <c r="B79" t="s" s="266">
        <v>2054</v>
      </c>
      <c r="C79" t="s" s="265">
        <v>2055</v>
      </c>
      <c r="D79" s="198">
        <f>'Mass Transfer'!R_gas</f>
        <v>8.314462618</v>
      </c>
      <c r="E79" t="s" s="310">
        <v>2056</v>
      </c>
    </row>
    <row r="80" x14ac:dyDescent="0.2" ht="27" customHeight="1">
      <c r="A80" t="s" s="265">
        <v>2057</v>
      </c>
      <c r="B80" t="s" s="266">
        <v>2058</v>
      </c>
      <c r="C80" t="s" s="265">
        <v>108</v>
      </c>
      <c r="D80" s="268">
        <v>0.04</v>
      </c>
      <c r="E80" t="s" s="303">
        <v>2059</v>
      </c>
    </row>
    <row r="81" x14ac:dyDescent="0.2" ht="27" customHeight="1">
      <c r="A81" t="s" s="265">
        <v>2060</v>
      </c>
      <c r="B81" t="s" s="266">
        <v>2061</v>
      </c>
      <c r="C81" t="s" s="265">
        <v>108</v>
      </c>
      <c r="D81" s="268">
        <v>5.1999999999999998E-2</v>
      </c>
      <c r="E81" t="s" s="303">
        <v>2062</v>
      </c>
    </row>
    <row r="82" x14ac:dyDescent="0.2" ht="27" customHeight="1">
      <c r="A82" t="s" s="265">
        <v>2063</v>
      </c>
      <c r="B82" t="s" s="266">
        <v>2064</v>
      </c>
      <c r="C82" t="s" s="265">
        <v>108</v>
      </c>
      <c r="D82" s="268">
        <v>0.6</v>
      </c>
      <c r="E82" t="s" s="303">
        <v>2065</v>
      </c>
    </row>
    <row r="83" x14ac:dyDescent="0.2" ht="39.5" customHeight="1">
      <c r="A83" t="s" s="265">
        <v>2066</v>
      </c>
      <c r="B83" t="s" s="266">
        <v>2067</v>
      </c>
      <c r="C83" t="s" s="265">
        <v>302</v>
      </c>
      <c r="D83" s="209">
        <f>H2_src_l_b+O2_src_l_b</f>
        <v>0.0001451587888868</v>
      </c>
      <c r="E83" t="s" s="313">
        <v>2068</v>
      </c>
    </row>
    <row r="84" x14ac:dyDescent="0.2" ht="64.5" customHeight="1">
      <c r="A84" t="s" s="265">
        <v>2069</v>
      </c>
      <c r="B84" t="s" s="266">
        <v>2070</v>
      </c>
      <c r="C84" t="s" s="265">
        <v>108</v>
      </c>
      <c r="D84" s="210">
        <f>H2_src_l_b/(n_flamm_src+CO2_supply_b+F_dil_b)</f>
        <v>0.09257585106</v>
      </c>
      <c r="E84" t="s" s="313">
        <v>2071</v>
      </c>
    </row>
    <row r="85" x14ac:dyDescent="0.2" ht="39.5" customHeight="1">
      <c r="A85" t="s" s="265">
        <v>2072</v>
      </c>
      <c r="B85" t="s" s="266">
        <v>2073</v>
      </c>
      <c r="C85" t="s" s="265">
        <v>108</v>
      </c>
      <c r="D85" s="210">
        <f>(O2_src_l_b+y_O2_air_b*F_vent_ex_b)/(n_flamm_src+CO2_supply_b+F_dil_b)</f>
        <v>0.053538910882</v>
      </c>
      <c r="E85" t="s" s="313">
        <v>2074</v>
      </c>
    </row>
    <row r="86" x14ac:dyDescent="0.2" ht="39.5" customHeight="1">
      <c r="A86" t="s" s="265">
        <v>2075</v>
      </c>
      <c r="B86" t="s" s="266">
        <v>2076</v>
      </c>
      <c r="C86" t="s" s="265">
        <v>108</v>
      </c>
      <c r="D86" s="209">
        <f>MAX(0,MIN(H2_src_l_b/H2_LFL-n_flamm_src-F_dil_b,(O2_src_l_b+y_O2_air_b*F_vent_ex_b)/(O2_LOC_H2*LOC_margin)-n_flamm_src-F_dil_b))/CO2_rate_full_b</f>
        <v>0.003345896216</v>
      </c>
      <c r="E86" t="s" s="313">
        <v>2077</v>
      </c>
    </row>
    <row r="87" x14ac:dyDescent="0.2" ht="39.5" customHeight="1">
      <c r="A87" t="s" s="265">
        <v>2078</v>
      </c>
      <c r="B87" t="s" s="266">
        <v>2079</v>
      </c>
      <c r="C87" t="s" s="265">
        <v>61</v>
      </c>
      <c r="D87" s="198">
        <f>IF(duty_H2safe&gt;0,spg_dur_b/(60*duty_H2safe),NA())</f>
        <v>3.907837139102</v>
      </c>
      <c r="E87" t="s" s="313">
        <v>2080</v>
      </c>
    </row>
    <row r="88" x14ac:dyDescent="0.2" ht="27" customHeight="1">
      <c r="A88" t="s" s="265">
        <v>2081</v>
      </c>
      <c r="B88" t="s" s="266">
        <v>2082</v>
      </c>
      <c r="C88" t="s" s="265">
        <v>309</v>
      </c>
      <c r="D88" s="199">
        <f>MAX(0,H2_src_l_b/H2_LFL-n_flamm_src-F_vent_ex_b)/3600*R_gas_b*T_K/P_atm*1000000*60</f>
        <v>0.927852667512</v>
      </c>
      <c r="E88" t="s" s="313">
        <v>2083</v>
      </c>
    </row>
    <row r="89" x14ac:dyDescent="0.2" ht="27" customHeight="1">
      <c r="A89" t="s" s="265">
        <v>2084</v>
      </c>
      <c r="B89" t="s" s="266">
        <v>2085</v>
      </c>
      <c r="C89" t="s" s="265">
        <v>12</v>
      </c>
      <c r="D89" s="199">
        <f>'Mass Transfer'!spg_dur</f>
        <v>0.65</v>
      </c>
      <c r="E89" t="s" s="313">
        <v>2920</v>
      </c>
    </row>
    <row r="90" x14ac:dyDescent="0.2" ht="64.5" customHeight="1">
      <c r="A90" t="s" s="265">
        <v>2086</v>
      </c>
      <c r="B90" t="s" s="266">
        <v>2087</v>
      </c>
      <c r="C90" t="s" s="265">
        <v>61</v>
      </c>
      <c r="D90" s="198">
        <f>IF(H2_src_l_b&gt;H2_LFL*F_gap_l_b,n_hs_gas_b/F_gap_l_b*LN((1-H2_LFL*F_gap_l_b/(H2_src_l_b)*flush_ret_opt_b)/(1-H2_LFL*F_gap_l_b/(H2_src_l_b)))*60,"none needed")</f>
        <v>1.67411703878</v>
      </c>
      <c r="E90" t="s" s="313">
        <v>2088</v>
      </c>
    </row>
    <row r="91" x14ac:dyDescent="0.2" ht="27" customHeight="1">
      <c r="A91" t="s" s="265">
        <v>2089</v>
      </c>
      <c r="B91" t="s" s="266">
        <v>2090</v>
      </c>
      <c r="C91" t="s" s="265">
        <v>61</v>
      </c>
      <c r="D91" s="198">
        <f>IF(O2_src_l_b+y_O2_air_b*F_vent_ex_b&gt;O2_LOC_H2*LOC_margin*F_gap_l_b,n_hs_gas_b/F_gap_l_b*LN((1-O2_LOC_H2*LOC_margin*F_gap_l_b/(O2_src_l_b+y_O2_air_b*F_vent_ex_b)*flush_ret_opt_b)/(1-O2_LOC_H2*LOC_margin*F_gap_l_b/(O2_src_l_b+y_O2_air_b*F_vent_ex_b)))*60,"none needed")</f>
        <v>2.301568976741</v>
      </c>
      <c r="E91" t="s" s="313">
        <v>2091</v>
      </c>
    </row>
    <row r="92" x14ac:dyDescent="0.2" ht="39.5" customHeight="1">
      <c r="A92" t="s" s="265">
        <v>2921</v>
      </c>
      <c r="B92" t="s" s="266">
        <v>2092</v>
      </c>
      <c r="C92" t="s" s="265">
        <v>61</v>
      </c>
      <c r="D92" s="198">
        <f>IF(OR(ISTEXT(t_gap_H2_LFL),ISTEXT(t_gap_O2_LOC)),"any interval",MAX(t_gap_H2_LFL,t_gap_O2_LOC)+spg_dur_opt_b/60)</f>
        <v>2.312402310074</v>
      </c>
      <c r="E92" t="s" s="313">
        <v>2093</v>
      </c>
    </row>
    <row r="94" hidden="1"/>
    <row r="95" x14ac:dyDescent="0.2">
      <c r="A95" t="s" s="278">
        <v>2094</v>
      </c>
      <c r="B95" s="278"/>
      <c r="C95" s="278"/>
      <c r="D95" s="278"/>
      <c r="E95" s="278"/>
    </row>
    <row r="96" x14ac:dyDescent="0.2">
      <c r="A96" t="s" s="265">
        <v>2095</v>
      </c>
      <c r="B96" t="s" s="266">
        <v>2096</v>
      </c>
      <c r="C96" t="s" s="265">
        <v>302</v>
      </c>
      <c r="D96" s="262">
        <f>Electrochemistry!r_H2_HOR</f>
        <v>0.0</v>
      </c>
      <c r="E96" t="s" s="306">
        <v>2097</v>
      </c>
    </row>
    <row r="97" x14ac:dyDescent="0.2">
      <c r="A97" t="s" s="265">
        <v>2098</v>
      </c>
      <c r="B97" t="s" s="266">
        <v>2099</v>
      </c>
      <c r="C97" t="s" s="265">
        <v>401</v>
      </c>
      <c r="D97" s="212">
        <f>'Mass Transfer'!C_cycle_start</f>
        <v>25.476094895404</v>
      </c>
      <c r="E97" t="s" s="306">
        <v>2100</v>
      </c>
    </row>
    <row r="98" x14ac:dyDescent="0.2" ht="52" customHeight="1">
      <c r="A98" t="s" s="265">
        <v>2101</v>
      </c>
      <c r="B98" t="s" s="266">
        <v>2102</v>
      </c>
      <c r="C98" t="s" s="265">
        <v>87</v>
      </c>
      <c r="D98" s="196">
        <f>C_cycle_start_b*1000/Km_CO2</f>
        <v>509.521897908088</v>
      </c>
      <c r="E98" t="s" s="313">
        <v>2103</v>
      </c>
    </row>
    <row r="100" hidden="1"/>
    <row r="101" hidden="1"/>
    <row r="102" hidden="1"/>
    <row r="103" hidden="1"/>
    <row r="104" hidden="1"/>
    <row r="105" hidden="1"/>
    <row r="106" hidden="1"/>
    <row r="107" hidden="1"/>
    <row r="108" hidden="1"/>
    <row r="109" hidden="1"/>
    <row r="110" x14ac:dyDescent="0.2">
      <c r="A110" t="s" s="278">
        <v>2104</v>
      </c>
      <c r="B110" s="278"/>
      <c r="C110" s="278"/>
      <c r="D110" s="278"/>
      <c r="E110" s="278"/>
    </row>
    <row r="111" x14ac:dyDescent="0.2">
      <c r="A111" t="s" s="265">
        <v>2105</v>
      </c>
      <c r="B111" t="s" s="266">
        <v>2106</v>
      </c>
      <c r="C111" t="s" s="265">
        <v>302</v>
      </c>
      <c r="D111" s="209">
        <f>'Mass Transfer'!F_vent_ex</f>
        <v>3.617990017297e-05</v>
      </c>
      <c r="E111" t="s" s="310">
        <v>2107</v>
      </c>
    </row>
    <row r="112" x14ac:dyDescent="0.2">
      <c r="A112" t="s" s="265">
        <v>2108</v>
      </c>
      <c r="B112" t="s" s="266">
        <v>2109</v>
      </c>
      <c r="C112" t="s" s="265">
        <v>108</v>
      </c>
      <c r="D112" s="199">
        <f>'Mass Transfer'!y_O2_air</f>
        <v>0.2095</v>
      </c>
      <c r="E112" t="s" s="310">
        <v>2110</v>
      </c>
    </row>
    <row r="113" x14ac:dyDescent="0.2">
      <c r="A113" t="s" s="265">
        <v>2111</v>
      </c>
      <c r="B113" t="s" s="266">
        <v>2112</v>
      </c>
      <c r="C113" t="s" s="265">
        <v>302</v>
      </c>
      <c r="D113" s="209">
        <f>'Mass Transfer'!H2_src_l</f>
        <v>9.67725259245e-05</v>
      </c>
      <c r="E113" t="s" s="310">
        <v>2113</v>
      </c>
    </row>
    <row r="114" x14ac:dyDescent="0.2">
      <c r="A114" t="s" s="265">
        <v>2114</v>
      </c>
      <c r="B114" t="s" s="266">
        <v>2115</v>
      </c>
      <c r="C114" t="s" s="265">
        <v>108</v>
      </c>
      <c r="D114" s="199">
        <f>'Mass Transfer'!y_H2_end_l</f>
        <v>0.14443867964</v>
      </c>
      <c r="E114" t="s" s="310">
        <v>2116</v>
      </c>
    </row>
    <row r="115" x14ac:dyDescent="0.2">
      <c r="A115" t="s" s="265">
        <v>2117</v>
      </c>
      <c r="B115" t="s" s="266">
        <v>2118</v>
      </c>
      <c r="C115" t="s" s="265">
        <v>302</v>
      </c>
      <c r="D115" s="209">
        <f>'Mass Transfer'!O2_src_l</f>
        <v>4.838626296225e-05</v>
      </c>
      <c r="E115" t="s" s="310">
        <v>2119</v>
      </c>
    </row>
    <row r="116" x14ac:dyDescent="0.2">
      <c r="A116" t="s" s="265">
        <v>2120</v>
      </c>
      <c r="B116" t="s" s="266">
        <v>2121</v>
      </c>
      <c r="C116" t="s" s="265">
        <v>302</v>
      </c>
      <c r="D116" s="209">
        <f>'Mass Transfer'!F_gap_l</f>
        <v>0.0001813386890597</v>
      </c>
      <c r="E116" t="s" s="310">
        <v>2122</v>
      </c>
    </row>
    <row r="117" x14ac:dyDescent="0.2">
      <c r="A117" t="s" s="265">
        <v>2123</v>
      </c>
      <c r="B117" t="s" s="266">
        <v>2124</v>
      </c>
      <c r="C117" t="s" s="265">
        <v>722</v>
      </c>
      <c r="D117" s="209">
        <f>'Mass Transfer'!n_hs_gas</f>
        <v>0.0001006282146096</v>
      </c>
      <c r="E117" t="s" s="310">
        <v>2125</v>
      </c>
    </row>
    <row r="118" x14ac:dyDescent="0.2">
      <c r="A118" t="s" s="265">
        <v>2126</v>
      </c>
      <c r="B118" t="s" s="266">
        <v>2127</v>
      </c>
      <c r="C118" t="s" s="265">
        <v>108</v>
      </c>
      <c r="D118" s="199">
        <f>'Mass Transfer'!flush_ret</f>
        <v>0.363594260592</v>
      </c>
      <c r="E118" t="s" s="313">
        <v>2922</v>
      </c>
    </row>
    <row r="119" x14ac:dyDescent="0.2">
      <c r="A119" t="s" s="265">
        <v>2128</v>
      </c>
      <c r="B119" t="s" s="266">
        <v>2129</v>
      </c>
      <c r="C119" t="s" s="265">
        <v>108</v>
      </c>
      <c r="D119" s="210">
        <f>'Mass Transfer'!y_O2_end_l</f>
        <v>0.083532471034</v>
      </c>
      <c r="E119" t="s" s="310">
        <v>2130</v>
      </c>
    </row>
    <row r="120" x14ac:dyDescent="0.2" ht="27" customHeight="1">
      <c r="A120" t="s" s="265">
        <v>2923</v>
      </c>
      <c r="B120" t="s" s="266">
        <v>2924</v>
      </c>
      <c r="C120" t="s" s="265">
        <v>108</v>
      </c>
      <c r="D120" s="268">
        <v>0.1</v>
      </c>
      <c r="E120" t="s" s="313">
        <v>2925</v>
      </c>
    </row>
    <row r="121" x14ac:dyDescent="0.2">
      <c r="A121" t="s" s="265">
        <v>2131</v>
      </c>
      <c r="B121" t="s" s="266">
        <v>2132</v>
      </c>
      <c r="C121" t="s" s="265">
        <v>424</v>
      </c>
      <c r="D121" s="199">
        <f>Chemistry!I_ionic</f>
        <v>0.200184197377</v>
      </c>
      <c r="E121" t="s" s="310">
        <v>2133</v>
      </c>
    </row>
    <row r="122" x14ac:dyDescent="0.2" ht="64.5" customHeight="1">
      <c r="A122" t="s" s="265">
        <v>2134</v>
      </c>
      <c r="B122" t="s" s="266">
        <v>2135</v>
      </c>
      <c r="C122" t="s" s="265">
        <v>2136</v>
      </c>
      <c r="D122" s="268">
        <v>0.14000000000000001</v>
      </c>
      <c r="E122" t="s" s="305">
        <v>2137</v>
      </c>
    </row>
    <row r="123" x14ac:dyDescent="0.2">
      <c r="A123" t="s" s="265">
        <v>2138</v>
      </c>
      <c r="B123" t="s" s="266">
        <v>2139</v>
      </c>
      <c r="C123" t="s" s="265">
        <v>108</v>
      </c>
      <c r="D123" s="199">
        <f>10^(-ks_O2*I_ionic_b)</f>
        <v>0.937506337817</v>
      </c>
      <c r="E123" t="s" s="306">
        <v>2140</v>
      </c>
    </row>
    <row r="125" x14ac:dyDescent="0.2">
      <c r="A125" t="s" s="265">
        <v>2926</v>
      </c>
      <c r="B125" t="s" s="266">
        <v>2927</v>
      </c>
      <c r="C125" t="s" s="265">
        <v>302</v>
      </c>
      <c r="D125" s="209">
        <f>'Mass Transfer'!F_dil</f>
        <v>3.617990017297e-05</v>
      </c>
      <c r="E125" t="s" s="310">
        <v>2928</v>
      </c>
    </row>
    <row r="127">
      <c r="A127" s="278" t="inlineStr">
        <is>
          <t xml:space="preserve">MEASURED H₂ UTILISATION (steady growth)</t>
        </is>
      </c>
    </row>
    <row r="128" ht="60" customHeight="1">
      <c r="A128" s="265" t="inlineStr">
        <is>
          <t xml:space="preserve">Measured H₂ uptake fraction, steady growth</t>
        </is>
      </c>
      <c r="B128" s="266" t="inlineStr">
        <is>
          <t xml:space="preserve">H2_util_meas</t>
        </is>
      </c>
      <c r="C128" s="267" t="inlineStr">
        <is>
          <t xml:space="preserve">-</t>
        </is>
      </c>
      <c r="D128" s="268"/>
      <c r="E128" s="295" t="inlineStr">
        <is>
          <t xml:space="preserve">DATA GAP: measured biological H₂ uptake / (H₂ generated minus anodic re-oxidation), 0 &lt; fraction ≤ 1. Blank uses the upper bound; record the accepted run and matching conditions in F128.</t>
        </is>
      </c>
      <c r="F128" s="323" t="inlineStr">
        <is>
          <t xml:space="preserve"/>
        </is>
      </c>
    </row>
    <row r="129" ht="60" customHeight="1">
      <c r="A129" s="265" t="inlineStr">
        <is>
          <t xml:space="preserve">Legacy H₂ uptake upper bound</t>
        </is>
      </c>
      <c r="B129" s="266" t="inlineStr">
        <is>
          <t xml:space="preserve">H2_util_default</t>
        </is>
      </c>
      <c r="C129" s="267" t="inlineStr">
        <is>
          <t xml:space="preserve">-</t>
        </is>
      </c>
      <c r="D129" s="268">
        <v>1</v>
      </c>
      <c r="E129" s="324" t="inlineStr">
        <is>
          <t xml:space="preserve">Existing upper-bound assumption, not measured: all available H₂ consumed. Incomplete uptake increases residual O₂ and H₂; use the measured fraction above.</t>
        </is>
      </c>
    </row>
    <row r="130" ht="60" customHeight="1">
      <c r="A130" s="265" t="inlineStr">
        <is>
          <t xml:space="preserve">H₂ uptake fraction in use</t>
        </is>
      </c>
      <c r="B130" s="266" t="inlineStr">
        <is>
          <t xml:space="preserve">H2_util</t>
        </is>
      </c>
      <c r="C130" s="267" t="inlineStr">
        <is>
          <t xml:space="preserve">-</t>
        </is>
      </c>
      <c r="D130" s="198">
        <f>IF(ISBLANK(H2_util_meas),H2_util_default,IF(AND(ISNUMBER(H2_util_meas),H2_util_meas&gt;0,H2_util_meas&lt;=1),H2_util_meas,NA()))</f>
        <v>1.0</v>
      </c>
      <c r="E130" s="303" t="inlineStr">
        <is>
          <t xml:space="preserve">Blank measurement uses the explicitly provisional legacy upper bound. Reject text, zero (no steady growth), negative values and fractions above one.</t>
        </is>
      </c>
    </row>
  </sheetData>
  <conditionalFormatting sqref="D22 D23 D30 D34 D36 D39 D66">
    <cfRule type="expression" dxfId="48" priority="1" stopIfTrue="1">
      <formula>OR(ISBLANK(D22),NOT(ISNUMBER(D22)),D22&lt;=0)</formula>
    </cfRule>
  </conditionalFormatting>
  <conditionalFormatting sqref="D20 D21 D25 D29 D38 D61 D63 D64 D65 D80 D81 D82 D120 D122">
    <cfRule type="expression" dxfId="48" priority="2" stopIfTrue="1">
      <formula>OR(ISBLANK(D20),NOT(ISNUMBER(D20)))</formula>
    </cfRule>
  </conditionalFormatting>
  <conditionalFormatting sqref="D44">
    <cfRule type="cellIs" dxfId="48" priority="3" operator="equal">
      <formula>"EXPLOSIVE"</formula>
    </cfRule>
    <cfRule type="expression" dxfId="48" priority="4" stopIfTrue="1">
      <formula>ISNUMBER(SEARCH("EXPLOSIVE",D44))</formula>
    </cfRule>
  </conditionalFormatting>
  <dataValidations count="1">
    <dataValidation type="custom" allowBlank="1" showErrorMessage="1" errorStyle="stop" error="Enter an accepted fraction greater than zero and no greater than one; blank uses the provisional upper bound." sqref="D128">
      <formula1>AND(ISNUMBER(D128),D128&gt;0,D128&lt;=1)</formula1>
    </dataValidation>
  </dataValidations>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S596"/>
  <sheetViews>
    <sheetView workbookViewId="0">
      <pane xSplit="1" ySplit="2" topLeftCell="B3" activePane="bottomRight" state="frozen"/>
      <selection pane="bottomRight" activeCell="B3" sqref="B3"/>
    </sheetView>
  </sheetViews>
  <sheetFormatPr baseColWidth="10" defaultColWidth="8.83203125" defaultRowHeight="15" x14ac:dyDescent="0.2"/>
  <cols>
    <col min="1" max="1" width="52" customWidth="1"/>
    <col min="2" max="2" width="15" customWidth="1"/>
    <col min="4" max="4" width="18" customWidth="1"/>
    <col min="5" max="5" width="60" customWidth="1"/>
  </cols>
  <sheetData>
    <row r="1" ht="16" customHeight="1" x14ac:dyDescent="0.2">
      <c r="A1" t="s" s="263">
        <v>470</v>
      </c>
      <c r="B1" s="263"/>
      <c r="C1" s="263"/>
      <c r="D1" s="263"/>
      <c r="E1" s="263"/>
      <c r="F1" s="271"/>
    </row>
    <row r="2" x14ac:dyDescent="0.2">
      <c r="A2" t="s" s="263">
        <v>20</v>
      </c>
      <c r="B2" t="s" s="263">
        <v>21</v>
      </c>
      <c r="C2" t="s" s="263">
        <v>22</v>
      </c>
      <c r="D2" t="s" s="263">
        <v>23</v>
      </c>
      <c r="E2" t="s" s="263">
        <v>104</v>
      </c>
      <c r="F2" s="271"/>
    </row>
    <row r="3" x14ac:dyDescent="0.2">
      <c r="A3" s="281"/>
      <c r="B3" s="290"/>
      <c r="C3" s="267"/>
      <c r="D3" s="297"/>
      <c r="E3" s="276"/>
      <c r="F3" s="271"/>
    </row>
    <row r="4" ht="16" customHeight="1" x14ac:dyDescent="0.2">
      <c r="A4" t="s" s="278">
        <v>105</v>
      </c>
      <c r="B4" s="278"/>
      <c r="C4" s="278"/>
      <c r="D4" s="278"/>
      <c r="E4" s="298"/>
      <c r="F4" s="271"/>
    </row>
    <row r="5" x14ac:dyDescent="0.2">
      <c r="A5" t="s" s="265">
        <v>471</v>
      </c>
      <c r="B5" t="s" s="266">
        <v>472</v>
      </c>
      <c r="C5" t="s" s="265">
        <v>112</v>
      </c>
      <c r="D5" s="262">
        <f>Geometry!stir_bar_L</f>
        <v>12.0</v>
      </c>
      <c r="E5" s="221" t="str">
        <f>HYPERLINK("#Geometry!D52","→ Geometry")</f>
        <v>→ Geometry</v>
      </c>
      <c r="F5" t="s" s="269">
        <v>2141</v>
      </c>
    </row>
    <row r="6" x14ac:dyDescent="0.2">
      <c r="A6" t="s" s="265">
        <v>473</v>
      </c>
      <c r="B6" t="s" s="266">
        <v>400</v>
      </c>
      <c r="C6" t="s" s="265">
        <v>401</v>
      </c>
      <c r="D6" s="199">
        <f>Biology!O2_ceil_C</f>
        <v>0.314742903798</v>
      </c>
      <c r="E6" s="299" t="str">
        <f>HYPERLINK("#Biology!D27","→ Biology")</f>
        <v>→ Biology</v>
      </c>
      <c r="F6" s="271"/>
    </row>
    <row r="7" x14ac:dyDescent="0.2">
      <c r="A7" t="s" s="265">
        <v>474</v>
      </c>
      <c r="B7" t="s" s="266">
        <v>397</v>
      </c>
      <c r="C7" t="s" s="265">
        <v>57</v>
      </c>
      <c r="D7" s="222">
        <f>Biology!O2_ceil_Pa</f>
        <v>30397.5</v>
      </c>
      <c r="E7" s="299" t="str">
        <f>HYPERLINK("#Biology!D26","→ Biology")</f>
        <v>→ Biology</v>
      </c>
      <c r="F7" s="271"/>
    </row>
    <row r="8" ht="24" customHeight="1" x14ac:dyDescent="0.2">
      <c r="A8" t="s" s="265">
        <v>257</v>
      </c>
      <c r="B8" t="s" s="266">
        <v>258</v>
      </c>
      <c r="C8" t="s" s="265">
        <v>259</v>
      </c>
      <c r="D8" s="196">
        <f>Biology!T_K</f>
        <v>303.15</v>
      </c>
      <c r="E8" s="299" t="str">
        <f>HYPERLINK("#Biology!D18","→ Biology")</f>
        <v>→ Biology</v>
      </c>
      <c r="F8" s="271"/>
    </row>
    <row r="9" x14ac:dyDescent="0.2">
      <c r="A9" t="s" s="265">
        <v>260</v>
      </c>
      <c r="B9" t="s" s="266">
        <v>261</v>
      </c>
      <c r="C9" t="s" s="265">
        <v>57</v>
      </c>
      <c r="D9" s="277">
        <f>Biology!P_atm</f>
        <v>101325.0</v>
      </c>
      <c r="E9" s="299" t="str">
        <f>HYPERLINK("#Biology!D19","→ Biology")</f>
        <v>→ Biology</v>
      </c>
      <c r="F9" s="271"/>
    </row>
    <row r="10" x14ac:dyDescent="0.2">
      <c r="A10" t="s" s="265">
        <v>475</v>
      </c>
      <c r="B10" t="s" s="266">
        <v>365</v>
      </c>
      <c r="C10" t="s" s="265">
        <v>302</v>
      </c>
      <c r="D10" s="209">
        <f>Biology!CO2_cons</f>
        <v>1.705568716332e-05</v>
      </c>
      <c r="E10" s="299" t="str">
        <f>HYPERLINK("#Biology!D15","→ Biology")</f>
        <v>→ Biology</v>
      </c>
      <c r="F10" s="271"/>
    </row>
    <row r="11" x14ac:dyDescent="0.2">
      <c r="A11" t="s" s="265">
        <v>476</v>
      </c>
      <c r="B11" t="s" s="266">
        <v>368</v>
      </c>
      <c r="C11" t="s" s="265">
        <v>302</v>
      </c>
      <c r="D11" s="209">
        <f>Biology!O2_excess</f>
        <v>1.705568716332e-05</v>
      </c>
      <c r="E11" s="299" t="str">
        <f>HYPERLINK("#Biology!D16","→ Biology")</f>
        <v>→ Biology</v>
      </c>
      <c r="F11" s="271"/>
    </row>
    <row r="12" x14ac:dyDescent="0.2">
      <c r="A12" t="s" s="265">
        <v>477</v>
      </c>
      <c r="B12" t="s" s="266">
        <v>391</v>
      </c>
      <c r="C12" t="s" s="265">
        <v>382</v>
      </c>
      <c r="D12" s="209">
        <f>Biology!H_O2_T</f>
        <v>1.035423649307e-05</v>
      </c>
      <c r="E12" s="299" t="str">
        <f>HYPERLINK("#Biology!D24","→ Biology")</f>
        <v>→ Biology</v>
      </c>
      <c r="F12" s="271"/>
    </row>
    <row r="13" x14ac:dyDescent="0.2">
      <c r="A13" t="s" s="265">
        <v>347</v>
      </c>
      <c r="B13" t="s" s="266">
        <v>323</v>
      </c>
      <c r="C13" t="s" s="265">
        <v>302</v>
      </c>
      <c r="D13" s="209">
        <f>Electrochemistry!O2_net_gen</f>
        <v>5.116706148996e-05</v>
      </c>
      <c r="E13" s="299" t="str">
        <f>HYPERLINK("#Electrochemistry!D29","→ Electrochemistry")</f>
        <v>→ Electrochemistry</v>
      </c>
      <c r="F13" s="271"/>
    </row>
    <row r="14" x14ac:dyDescent="0.2">
      <c r="A14" t="s" s="265">
        <v>478</v>
      </c>
      <c r="B14" t="s" s="266">
        <v>189</v>
      </c>
      <c r="C14" t="s" s="265">
        <v>124</v>
      </c>
      <c r="D14" s="196">
        <f>Geometry!interface_A</f>
        <v>429.547725140567</v>
      </c>
      <c r="E14" s="299" t="str">
        <f>HYPERLINK("#Geometry!D44","→ Geometry")</f>
        <v>→ Geometry</v>
      </c>
      <c r="F14" s="271"/>
    </row>
    <row r="15" x14ac:dyDescent="0.2">
      <c r="A15" t="s" s="265">
        <v>479</v>
      </c>
      <c r="B15" t="s" s="266">
        <v>120</v>
      </c>
      <c r="C15" t="s" s="265">
        <v>112</v>
      </c>
      <c r="D15" s="212">
        <f>Geometry!vial_ID</f>
        <v>25.28</v>
      </c>
      <c r="E15" s="299" t="str">
        <f>HYPERLINK("#Geometry!D20","→ Geometry")</f>
        <v>→ Geometry</v>
      </c>
      <c r="F15" s="271"/>
    </row>
    <row r="16" x14ac:dyDescent="0.2">
      <c r="A16" t="s" s="265">
        <v>348</v>
      </c>
      <c r="B16" t="s" s="266">
        <v>180</v>
      </c>
      <c r="C16" t="s" s="265">
        <v>52</v>
      </c>
      <c r="D16" s="277">
        <f>Geometry!V_charge</f>
        <v>15.0</v>
      </c>
      <c r="E16" s="299" t="str">
        <f>HYPERLINK("#Geometry!D41","→ Geometry")</f>
        <v>→ Geometry</v>
      </c>
      <c r="F16" s="271"/>
    </row>
    <row r="17" x14ac:dyDescent="0.2">
      <c r="A17" t="s" s="265">
        <v>480</v>
      </c>
      <c r="B17" t="s" s="266">
        <v>123</v>
      </c>
      <c r="C17" t="s" s="265">
        <v>124</v>
      </c>
      <c r="D17" s="196">
        <f>Geometry!A_x</f>
        <v>501.93100162698</v>
      </c>
      <c r="E17" s="299" t="str">
        <f>HYPERLINK("#Geometry!D21","→ Geometry")</f>
        <v>→ Geometry</v>
      </c>
      <c r="F17" s="271"/>
    </row>
    <row r="18" ht="24" customHeight="1" x14ac:dyDescent="0.2">
      <c r="A18" t="s" s="265">
        <v>481</v>
      </c>
      <c r="B18" t="s" s="266">
        <v>152</v>
      </c>
      <c r="C18" t="s" s="265">
        <v>112</v>
      </c>
      <c r="D18" s="198">
        <f>Geometry!spg_ID</f>
        <v>1.5875</v>
      </c>
      <c r="E18" s="299" t="str">
        <f>HYPERLINK("#Geometry!D31","→ Geometry")</f>
        <v>→ Geometry</v>
      </c>
      <c r="F18" s="271"/>
    </row>
    <row r="19" x14ac:dyDescent="0.2">
      <c r="A19" t="s" s="265">
        <v>482</v>
      </c>
      <c r="B19" t="s" s="266">
        <v>204</v>
      </c>
      <c r="C19" t="s" s="265">
        <v>52</v>
      </c>
      <c r="D19" s="198">
        <f>Geometry!headspace_V</f>
        <v>2.612428455917</v>
      </c>
      <c r="E19" s="299" t="str">
        <f>HYPERLINK("#Geometry!D49","→ Geometry")</f>
        <v>→ Geometry</v>
      </c>
      <c r="F19" s="271"/>
    </row>
    <row r="20" x14ac:dyDescent="0.2">
      <c r="A20" t="s" s="265">
        <v>483</v>
      </c>
      <c r="B20" t="s" s="266">
        <v>484</v>
      </c>
      <c r="C20" t="s" s="265">
        <v>485</v>
      </c>
      <c r="D20" s="277">
        <f>Electrochemistry!por_grade_e</f>
        <v>0.0</v>
      </c>
      <c r="E20" s="299" t="str">
        <f>HYPERLINK("#Electrochemistry!D32","→ Electrochemistry")</f>
        <v>→ Electrochemistry</v>
      </c>
      <c r="F20" s="271"/>
    </row>
    <row r="21" x14ac:dyDescent="0.2">
      <c r="A21" t="s" s="265">
        <v>486</v>
      </c>
      <c r="B21" t="s" s="266">
        <v>332</v>
      </c>
      <c r="C21" t="s" s="265">
        <v>108</v>
      </c>
      <c r="D21" s="277" t="str">
        <f>Electrochemistry!sparger_e</f>
        <v>Sintered</v>
      </c>
      <c r="E21" s="299" t="str">
        <f>HYPERLINK("#Electrochemistry!D31","→ Electrochemistry")</f>
        <v>→ Electrochemistry</v>
      </c>
      <c r="F21" s="271"/>
    </row>
    <row r="22" ht="36" customHeight="1" x14ac:dyDescent="0.2">
      <c r="A22" t="s" s="265">
        <v>487</v>
      </c>
      <c r="B22" t="s" s="266">
        <v>450</v>
      </c>
      <c r="C22" s="265"/>
      <c r="D22" s="277" t="e">
        <f>Biology!DO_opt</f>
        <v>#N/A</v>
      </c>
      <c r="E22" s="299" t="str">
        <f>HYPERLINK("#Biology!D46","→ Biology")</f>
        <v>→ Biology</v>
      </c>
      <c r="F22" s="271"/>
    </row>
    <row r="23" x14ac:dyDescent="0.2">
      <c r="A23" t="s" s="265">
        <v>488</v>
      </c>
      <c r="B23" t="s" s="266">
        <v>452</v>
      </c>
      <c r="C23" s="265"/>
      <c r="D23" s="277" t="e">
        <f>Biology!DO_impair</f>
        <v>#N/A</v>
      </c>
      <c r="E23" s="299" t="str">
        <f>HYPERLINK("#Biology!D47","→ Biology")</f>
        <v>→ Biology</v>
      </c>
      <c r="F23" s="271"/>
    </row>
    <row r="24" x14ac:dyDescent="0.2">
      <c r="A24" t="s" s="265">
        <v>489</v>
      </c>
      <c r="B24" t="s" s="266">
        <v>454</v>
      </c>
      <c r="C24" s="265"/>
      <c r="D24" s="277" t="e">
        <f>Biology!DO_toxic</f>
        <v>#N/A</v>
      </c>
      <c r="E24" s="299" t="str">
        <f>HYPERLINK("#Biology!D48","→ Biology")</f>
        <v>→ Biology</v>
      </c>
      <c r="F24" s="271"/>
    </row>
    <row r="25" x14ac:dyDescent="0.2">
      <c r="A25" t="s" s="265">
        <v>490</v>
      </c>
      <c r="B25" t="s" s="266">
        <v>448</v>
      </c>
      <c r="C25" s="265"/>
      <c r="D25" s="277" t="e">
        <f>Biology!DO_min</f>
        <v>#N/A</v>
      </c>
      <c r="E25" s="299" t="str">
        <f>HYPERLINK("#Biology!D45","→ Biology")</f>
        <v>→ Biology</v>
      </c>
      <c r="F25" s="271"/>
    </row>
    <row r="26" x14ac:dyDescent="0.2">
      <c r="A26" s="281"/>
      <c r="B26" s="290"/>
      <c r="C26" s="267"/>
      <c r="D26" s="325"/>
      <c r="E26" s="276"/>
      <c r="F26" s="271"/>
    </row>
    <row r="27" x14ac:dyDescent="0.2">
      <c r="A27" t="s" s="265">
        <v>491</v>
      </c>
      <c r="B27" t="s" s="266">
        <v>492</v>
      </c>
      <c r="C27" t="s" s="265">
        <v>108</v>
      </c>
      <c r="D27" t="s" s="268">
        <v>338</v>
      </c>
      <c r="E27" t="s" s="305">
        <v>493</v>
      </c>
      <c r="F27" s="271"/>
    </row>
    <row r="28" x14ac:dyDescent="0.2">
      <c r="A28" t="s" s="265">
        <v>494</v>
      </c>
      <c r="B28" t="s" s="266">
        <v>495</v>
      </c>
      <c r="C28" t="s" s="265">
        <v>108</v>
      </c>
      <c r="D28" t="s" s="268">
        <v>344</v>
      </c>
      <c r="E28" t="s" s="305">
        <v>496</v>
      </c>
      <c r="F28" s="271"/>
    </row>
    <row r="29" x14ac:dyDescent="0.2" ht="27" customHeight="1">
      <c r="A29" t="s" s="265">
        <v>497</v>
      </c>
      <c r="B29" t="s" s="266">
        <v>498</v>
      </c>
      <c r="C29" t="s" s="265">
        <v>499</v>
      </c>
      <c r="D29" s="210">
        <f>sigma_0+sigma_k*(T_K-T_zero_C)</f>
        <v>0.07118</v>
      </c>
      <c r="E29" t="s" s="306">
        <v>2142</v>
      </c>
      <c r="F29" s="271"/>
    </row>
    <row r="30" ht="24" customHeight="1" x14ac:dyDescent="0.2">
      <c r="A30" t="s" s="265">
        <v>500</v>
      </c>
      <c r="B30" t="s" s="266">
        <v>501</v>
      </c>
      <c r="C30" t="s" s="265">
        <v>502</v>
      </c>
      <c r="D30" s="196">
        <f>rho_0+rho_k*(T_K-T_zero_C)</f>
        <v>995.662</v>
      </c>
      <c r="E30" t="s" s="306">
        <v>1573</v>
      </c>
      <c r="F30" s="271"/>
    </row>
    <row r="31" x14ac:dyDescent="0.2">
      <c r="A31" t="s" s="265">
        <v>503</v>
      </c>
      <c r="B31" t="s" s="266">
        <v>504</v>
      </c>
      <c r="C31" t="s" s="265">
        <v>505</v>
      </c>
      <c r="D31" s="309">
        <v>9.8066499999999994</v>
      </c>
      <c r="E31" t="s" s="303">
        <v>506</v>
      </c>
      <c r="F31" s="271"/>
    </row>
    <row r="32" x14ac:dyDescent="0.2" ht="27" customHeight="1">
      <c r="A32" t="s" s="265">
        <v>507</v>
      </c>
      <c r="B32" t="s" s="266">
        <v>508</v>
      </c>
      <c r="C32" t="s" s="265">
        <v>509</v>
      </c>
      <c r="D32" s="209">
        <f>10^(HB_a+HB_b/T_K-(HB_c/T_K)^2)/10000</f>
        <v>2.249544435762e-09</v>
      </c>
      <c r="E32" t="s" s="305">
        <v>2143</v>
      </c>
      <c r="F32" s="271"/>
    </row>
    <row r="33" x14ac:dyDescent="0.2" ht="27" customHeight="1">
      <c r="A33" t="s" s="265">
        <v>510</v>
      </c>
      <c r="B33" t="s" s="266">
        <v>511</v>
      </c>
      <c r="C33" t="s" s="265">
        <v>512</v>
      </c>
      <c r="D33" s="268">
        <v>205</v>
      </c>
      <c r="E33" t="s" s="306">
        <v>513</v>
      </c>
      <c r="F33" s="271"/>
    </row>
    <row r="34" ht="24" customHeight="1" x14ac:dyDescent="0.2">
      <c r="A34" t="s" s="265">
        <v>514</v>
      </c>
      <c r="B34" t="s" s="266">
        <v>515</v>
      </c>
      <c r="C34" t="s" s="265">
        <v>512</v>
      </c>
      <c r="D34" s="268">
        <v>130</v>
      </c>
      <c r="E34" t="s" s="306">
        <v>516</v>
      </c>
      <c r="F34" s="271"/>
    </row>
    <row r="35" x14ac:dyDescent="0.2">
      <c r="A35" t="s" s="265">
        <v>517</v>
      </c>
      <c r="B35" t="s" s="266">
        <v>518</v>
      </c>
      <c r="C35" t="s" s="265">
        <v>512</v>
      </c>
      <c r="D35" s="268">
        <v>70</v>
      </c>
      <c r="E35" t="s" s="306">
        <v>519</v>
      </c>
      <c r="F35" s="271"/>
    </row>
    <row r="36" x14ac:dyDescent="0.2">
      <c r="A36" t="s" s="265">
        <v>520</v>
      </c>
      <c r="B36" t="s" s="266">
        <v>521</v>
      </c>
      <c r="C36" t="s" s="265">
        <v>512</v>
      </c>
      <c r="D36" s="268">
        <v>28</v>
      </c>
      <c r="E36" t="s" s="306">
        <v>522</v>
      </c>
      <c r="F36" s="271"/>
    </row>
    <row r="37" x14ac:dyDescent="0.2">
      <c r="A37" t="s" s="265">
        <v>523</v>
      </c>
      <c r="B37" t="s" s="266">
        <v>524</v>
      </c>
      <c r="C37" t="s" s="265">
        <v>512</v>
      </c>
      <c r="D37" s="268">
        <v>13</v>
      </c>
      <c r="E37" t="s" s="306">
        <v>525</v>
      </c>
      <c r="F37" s="271"/>
    </row>
    <row r="38" x14ac:dyDescent="0.2">
      <c r="A38" t="s" s="265">
        <v>526</v>
      </c>
      <c r="B38" t="s" s="266">
        <v>527</v>
      </c>
      <c r="C38" t="s" s="265">
        <v>512</v>
      </c>
      <c r="D38" s="309">
        <v>1.3</v>
      </c>
      <c r="E38" t="s" s="306">
        <v>528</v>
      </c>
      <c r="F38" s="271"/>
    </row>
    <row r="39" x14ac:dyDescent="0.2">
      <c r="A39" t="s" s="265">
        <v>529</v>
      </c>
      <c r="B39" t="s" s="266">
        <v>530</v>
      </c>
      <c r="C39" t="s" s="265">
        <v>531</v>
      </c>
      <c r="D39" s="209">
        <f>CHOOSE(por_grade+1,por0_um,por1_um,por2_um,por3_um,por4_um,por5_um)/1000000</f>
        <v>0.000205</v>
      </c>
      <c r="E39" t="s" s="303">
        <v>532</v>
      </c>
      <c r="F39" s="271"/>
    </row>
    <row r="40" ht="24" customHeight="1" x14ac:dyDescent="0.2">
      <c r="A40" t="s" s="265">
        <v>533</v>
      </c>
      <c r="B40" t="s" s="266">
        <v>534</v>
      </c>
      <c r="C40" t="s" s="265">
        <v>531</v>
      </c>
      <c r="D40" s="209">
        <f>spg_ID/1000</f>
        <v>0.0015875</v>
      </c>
      <c r="E40" t="s" s="303">
        <v>535</v>
      </c>
      <c r="F40" s="271"/>
    </row>
    <row r="41" x14ac:dyDescent="0.2">
      <c r="A41" t="s" s="265">
        <v>536</v>
      </c>
      <c r="B41" t="s" s="266">
        <v>537</v>
      </c>
      <c r="C41" t="s" s="265">
        <v>531</v>
      </c>
      <c r="D41" s="209">
        <f>IF(sparger=spg_name_1,tube_d_m,IF(sparger=spg_name_2,por_pore,NA()))</f>
        <v>0.000205</v>
      </c>
      <c r="E41" t="s" s="303">
        <v>538</v>
      </c>
      <c r="F41" s="271"/>
    </row>
    <row r="42" x14ac:dyDescent="0.2" ht="27" customHeight="1">
      <c r="A42" t="s" s="265">
        <v>539</v>
      </c>
      <c r="B42" t="s" s="266">
        <v>540</v>
      </c>
      <c r="C42" t="s" s="265">
        <v>531</v>
      </c>
      <c r="D42" s="209">
        <f>(6*d_orifice*sigma/(rho_L*g_const))^(1/3)</f>
        <v>0.002077511783</v>
      </c>
      <c r="E42" t="s" s="313">
        <v>541</v>
      </c>
      <c r="F42" s="271"/>
    </row>
    <row r="43" x14ac:dyDescent="0.2">
      <c r="A43" t="s" s="265">
        <v>542</v>
      </c>
      <c r="B43" t="s" s="266">
        <v>543</v>
      </c>
      <c r="C43" t="s" s="265">
        <v>112</v>
      </c>
      <c r="D43" s="198">
        <f>d_bubble*1000</f>
        <v>2.077511783382</v>
      </c>
      <c r="E43" t="s" s="306">
        <v>2929</v>
      </c>
      <c r="F43" s="271"/>
    </row>
    <row r="44" x14ac:dyDescent="0.2">
      <c r="A44" t="s" s="265">
        <v>544</v>
      </c>
      <c r="B44" t="s" s="266">
        <v>545</v>
      </c>
      <c r="C44" t="s" s="265">
        <v>108</v>
      </c>
      <c r="D44" s="309">
        <v>2.14</v>
      </c>
      <c r="E44" t="s" s="313">
        <v>546</v>
      </c>
      <c r="F44" s="271"/>
    </row>
    <row r="45" x14ac:dyDescent="0.2">
      <c r="A45" t="s" s="265">
        <v>547</v>
      </c>
      <c r="B45" t="s" s="266">
        <v>548</v>
      </c>
      <c r="C45" t="s" s="265">
        <v>108</v>
      </c>
      <c r="D45" s="309">
        <v>0.505</v>
      </c>
      <c r="E45" t="s" s="313">
        <v>549</v>
      </c>
      <c r="F45" s="271"/>
    </row>
    <row r="46" x14ac:dyDescent="0.2" ht="39.5" customHeight="1">
      <c r="A46" t="s" s="265">
        <v>550</v>
      </c>
      <c r="B46" t="s" s="266">
        <v>551</v>
      </c>
      <c r="C46" t="s" s="265">
        <v>85</v>
      </c>
      <c r="D46" s="199">
        <f>SQRT(mend_a*sigma/(rho_L*d_bubble)+mend_b*g_const*d_bubble)</f>
        <v>0.28970504803</v>
      </c>
      <c r="E46" t="s" s="313">
        <v>552</v>
      </c>
      <c r="F46" s="271"/>
    </row>
    <row r="47" x14ac:dyDescent="0.2">
      <c r="A47" t="s" s="265">
        <v>553</v>
      </c>
      <c r="B47" t="s" s="266">
        <v>554</v>
      </c>
      <c r="C47" t="s" s="265">
        <v>85</v>
      </c>
      <c r="D47" s="209">
        <f>(Q_CO2/1000000/60)/(A_x/1000000)</f>
        <v>0.006634378011</v>
      </c>
      <c r="E47" t="s" s="303">
        <v>555</v>
      </c>
      <c r="F47" s="271"/>
    </row>
    <row r="48" x14ac:dyDescent="0.2">
      <c r="A48" t="s" s="265">
        <v>556</v>
      </c>
      <c r="B48" t="s" s="266">
        <v>557</v>
      </c>
      <c r="C48" t="s" s="265">
        <v>108</v>
      </c>
      <c r="D48" s="210">
        <f>u_sg/u_rise</f>
        <v>0.022900457053</v>
      </c>
      <c r="E48" t="s" s="313">
        <v>558</v>
      </c>
      <c r="F48" s="271"/>
    </row>
    <row r="49" x14ac:dyDescent="0.2">
      <c r="A49" t="s" s="265">
        <v>559</v>
      </c>
      <c r="B49" t="s" s="266">
        <v>560</v>
      </c>
      <c r="C49" t="s" s="265">
        <v>561</v>
      </c>
      <c r="D49" s="212">
        <f>6*holdup/d_bubble</f>
        <v>66.13812899596</v>
      </c>
      <c r="E49" t="s" s="313">
        <v>562</v>
      </c>
      <c r="F49" s="271"/>
    </row>
    <row r="50" x14ac:dyDescent="0.2">
      <c r="A50" t="s" s="265">
        <v>563</v>
      </c>
      <c r="B50" t="s" s="266">
        <v>564</v>
      </c>
      <c r="C50" t="s" s="265">
        <v>12</v>
      </c>
      <c r="D50" s="209">
        <f>d_bubble/u_rise</f>
        <v>0.007171127316</v>
      </c>
      <c r="E50" t="s" s="313">
        <v>565</v>
      </c>
      <c r="F50" s="271"/>
    </row>
    <row r="51" x14ac:dyDescent="0.2">
      <c r="A51" t="s" s="265">
        <v>566</v>
      </c>
      <c r="B51" t="s" s="266">
        <v>567</v>
      </c>
      <c r="C51" t="s" s="265">
        <v>85</v>
      </c>
      <c r="D51" s="209">
        <f>2*SQRT(D_O2/(PI()*t_contact))</f>
        <v>0.0006319877073063</v>
      </c>
      <c r="E51" t="s" s="313">
        <v>568</v>
      </c>
      <c r="F51" s="271"/>
    </row>
    <row r="52" x14ac:dyDescent="0.2">
      <c r="A52" t="s" s="265">
        <v>569</v>
      </c>
      <c r="B52" t="s" s="266">
        <v>570</v>
      </c>
      <c r="C52" t="s" s="265">
        <v>571</v>
      </c>
      <c r="D52" s="210">
        <f>kL*a_int</f>
        <v>0.04179848451</v>
      </c>
      <c r="E52" t="s" s="313">
        <v>572</v>
      </c>
      <c r="F52" s="271"/>
    </row>
    <row r="53" x14ac:dyDescent="0.2" ht="27" customHeight="1">
      <c r="A53" t="s" s="265">
        <v>573</v>
      </c>
      <c r="B53" t="s" s="266">
        <v>574</v>
      </c>
      <c r="C53" t="s" s="265">
        <v>571</v>
      </c>
      <c r="D53" s="209">
        <f>kLa_sparge*duty</f>
        <v>6.404765424633e-05</v>
      </c>
      <c r="E53" t="s" s="313">
        <v>575</v>
      </c>
      <c r="F53" s="271"/>
    </row>
    <row r="54" x14ac:dyDescent="0.2" ht="52" customHeight="1">
      <c r="A54" t="s" s="265">
        <v>576</v>
      </c>
      <c r="B54" t="s" s="266">
        <v>577</v>
      </c>
      <c r="C54" t="s" s="265">
        <v>302</v>
      </c>
      <c r="D54" s="209">
        <f>IF(d_bubble&lt;d_bubble_min_m,0,kLa_sparge*(V_charge/1000000)*O2_ceil_C*3600)</f>
        <v>0.0007104119250025</v>
      </c>
      <c r="E54" t="s" s="313">
        <v>2930</v>
      </c>
      <c r="F54" s="271"/>
    </row>
    <row r="55" ht="24" customHeight="1" x14ac:dyDescent="0.2">
      <c r="A55" t="s" s="265">
        <v>578</v>
      </c>
      <c r="B55" t="s" s="266">
        <v>579</v>
      </c>
      <c r="C55" t="s" s="265">
        <v>302</v>
      </c>
      <c r="D55" s="209">
        <f>strip_sparge*duty</f>
        <v>1.088561412663e-06</v>
      </c>
      <c r="E55" t="s" s="313">
        <v>580</v>
      </c>
      <c r="F55" s="271"/>
    </row>
    <row r="56" x14ac:dyDescent="0.2">
      <c r="A56" t="s" s="265">
        <v>581</v>
      </c>
      <c r="B56" t="s" s="266">
        <v>582</v>
      </c>
      <c r="C56" t="s" s="265">
        <v>87</v>
      </c>
      <c r="D56" s="210">
        <f>IF(O2_excess&gt;0,strip_avg/O2_excess,NA())</f>
        <v>0.063823955156</v>
      </c>
      <c r="E56" t="s" s="313">
        <v>583</v>
      </c>
      <c r="F56" s="271"/>
    </row>
    <row r="57" x14ac:dyDescent="0.2" ht="39.5" customHeight="1">
      <c r="A57" t="s" s="265">
        <v>584</v>
      </c>
      <c r="B57" t="s" s="266">
        <v>585</v>
      </c>
      <c r="C57" t="s" s="265">
        <v>571</v>
      </c>
      <c r="D57" s="209">
        <f>IF(O2_excess&gt;0,O2_excess/3600/((V_charge/1000000)*O2_ceil_C),NA())</f>
        <v>0.001003504939</v>
      </c>
      <c r="E57" t="s" s="313">
        <v>2931</v>
      </c>
      <c r="F57" s="271"/>
    </row>
    <row r="58" x14ac:dyDescent="0.2" ht="27" customHeight="1">
      <c r="A58" t="s" s="265">
        <v>586</v>
      </c>
      <c r="B58" t="s" s="266">
        <v>587</v>
      </c>
      <c r="C58" t="s" s="265">
        <v>85</v>
      </c>
      <c r="D58" s="268">
        <v>0.05</v>
      </c>
      <c r="E58" t="s" s="313">
        <v>588</v>
      </c>
      <c r="F58" s="271"/>
    </row>
    <row r="59" x14ac:dyDescent="0.2" ht="39.5" customHeight="1">
      <c r="A59" t="s" s="265">
        <v>589</v>
      </c>
      <c r="B59" t="s" s="266">
        <v>590</v>
      </c>
      <c r="C59" t="s" s="265">
        <v>108</v>
      </c>
      <c r="D59" s="277"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313" t="inlineStr">
        <is>
          <t xml:space="preserve">Pulse flow (Q_CO2) against the measured per-reactor no-carryover maximum (D413, CO2 flows column K). "not measured" until a value is entered, never a default OK. The superficial-velocity rule is the secondary line D414.</t>
        </is>
      </c>
      <c r="F59" s="271"/>
    </row>
    <row r="60" x14ac:dyDescent="0.2">
      <c r="A60" t="s" s="265">
        <v>591</v>
      </c>
      <c r="B60" t="s" s="266">
        <v>592</v>
      </c>
      <c r="C60" t="s" s="265">
        <v>502</v>
      </c>
      <c r="D60" s="198">
        <f>P_atm*(M_CO2/1000)/(R_gas*T_K)</f>
        <v>1.769177018514</v>
      </c>
      <c r="E60" t="s" s="303">
        <v>593</v>
      </c>
      <c r="F60" s="271"/>
    </row>
    <row r="61" x14ac:dyDescent="0.2">
      <c r="A61" t="s" s="265">
        <v>594</v>
      </c>
      <c r="B61" t="s" s="266">
        <v>595</v>
      </c>
      <c r="C61" t="s" s="265">
        <v>108</v>
      </c>
      <c r="D61" s="268">
        <v>1</v>
      </c>
      <c r="E61" t="s" s="307">
        <v>596</v>
      </c>
      <c r="F61" s="271"/>
    </row>
    <row r="62" x14ac:dyDescent="0.2" ht="27" customHeight="1">
      <c r="A62" t="s" s="265">
        <v>597</v>
      </c>
      <c r="B62" t="s" s="266">
        <v>598</v>
      </c>
      <c r="C62" t="s" s="265">
        <v>85</v>
      </c>
      <c r="D62" s="196">
        <f>(Q_CO2/1000000/60)/(n_pores_active*(PI()/4*d_orifice^2))</f>
        <v>100.889653396028</v>
      </c>
      <c r="E62" t="s" s="303">
        <v>575</v>
      </c>
      <c r="F62" s="271"/>
    </row>
    <row r="63" x14ac:dyDescent="0.2" ht="27" customHeight="1">
      <c r="A63" t="s" s="265">
        <v>599</v>
      </c>
      <c r="B63" t="s" s="266">
        <v>600</v>
      </c>
      <c r="C63" t="s" s="265">
        <v>108</v>
      </c>
      <c r="D63" s="212">
        <f>rho_CO2*v_orifice^2*d_orifice/sigma</f>
        <v>51.8633334102</v>
      </c>
      <c r="E63" t="s" s="303">
        <v>575</v>
      </c>
      <c r="F63" s="271"/>
    </row>
    <row r="64" x14ac:dyDescent="0.2" ht="27" customHeight="1">
      <c r="A64" t="s" s="265">
        <v>601</v>
      </c>
      <c r="B64" t="s" s="266">
        <v>602</v>
      </c>
      <c r="C64" t="s" s="265">
        <v>108</v>
      </c>
      <c r="D64" s="201" t="str">
        <f>IF(d_bubble&lt;d_bubble_min_m,"Sinter OOR – add fine-bubble model",IF(We_orifice&lt;We_static_max,"Static","Dynamic"))</f>
        <v>Dynamic</v>
      </c>
      <c r="E64" t="s" s="303">
        <v>603</v>
      </c>
      <c r="F64" s="271"/>
    </row>
    <row r="65" x14ac:dyDescent="0.2" ht="27" customHeight="1">
      <c r="A65" t="s" s="265">
        <v>604</v>
      </c>
      <c r="B65" t="s" s="266">
        <v>605</v>
      </c>
      <c r="C65" t="s" s="265">
        <v>61</v>
      </c>
      <c r="D65" s="212">
        <f>IF(O2_excess&gt;0,O2_ceil_org*(V_charge/1000000)/O2_excess*60,"never (source &lt;= 0)")</f>
        <v>16.608455039407</v>
      </c>
      <c r="E65" t="s" s="303">
        <v>2145</v>
      </c>
      <c r="F65" s="271"/>
    </row>
    <row r="66" x14ac:dyDescent="0.2" ht="52" customHeight="1">
      <c r="A66" t="s" s="265">
        <v>606</v>
      </c>
      <c r="B66" t="s" s="266">
        <v>607</v>
      </c>
      <c r="C66" t="s" s="265">
        <v>61</v>
      </c>
      <c r="D66" s="212">
        <f>IF(O2_excess-strip_avg*O2_ceil_org/O2_ceil_C&gt;0,IF(strip_avg&gt;0,-LN(1-strip_avg*O2_ceil_org/O2_ceil_C/O2_excess)*60*(V_charge/1000000)*O2_ceil_C/strip_avg,t_O2_ceiling),"never (strip ≥ source)")</f>
        <v>17.162152896755</v>
      </c>
      <c r="E66" t="s" s="303">
        <v>2932</v>
      </c>
      <c r="F66" s="271"/>
    </row>
    <row r="67" x14ac:dyDescent="0.2" ht="27" customHeight="1">
      <c r="A67" t="s" s="265">
        <v>2146</v>
      </c>
      <c r="B67" t="s" s="266">
        <v>608</v>
      </c>
      <c r="C67" t="s" s="265">
        <v>609</v>
      </c>
      <c r="D67" s="262">
        <f>Summary!stir_rpm_set</f>
        <v>1000.0</v>
      </c>
      <c r="E67" t="s" s="305">
        <v>2147</v>
      </c>
      <c r="F67" s="271"/>
    </row>
    <row r="68" ht="24" customHeight="1" x14ac:dyDescent="0.2">
      <c r="A68" t="s" s="265">
        <v>84</v>
      </c>
      <c r="B68" t="s" s="266">
        <v>610</v>
      </c>
      <c r="C68" t="s" s="265">
        <v>85</v>
      </c>
      <c r="D68" s="199">
        <f>PI()*(stir_len/1000)*stir_rpm/60</f>
        <v>0.628318530718</v>
      </c>
      <c r="E68" t="s" s="303">
        <v>611</v>
      </c>
      <c r="F68" s="271"/>
    </row>
    <row r="69" x14ac:dyDescent="0.2">
      <c r="A69" t="s" s="265">
        <v>612</v>
      </c>
      <c r="B69" t="s" s="266">
        <v>613</v>
      </c>
      <c r="C69" t="s" s="265">
        <v>571</v>
      </c>
      <c r="D69" s="212">
        <f>tip_speed/(vial_ID/1000)</f>
        <v>24.854372259413</v>
      </c>
      <c r="E69" t="s" s="313">
        <v>614</v>
      </c>
      <c r="F69" s="271"/>
    </row>
    <row r="70" x14ac:dyDescent="0.2" ht="27" customHeight="1">
      <c r="A70" t="s" s="265">
        <v>615</v>
      </c>
      <c r="B70" t="s" s="266">
        <v>616</v>
      </c>
      <c r="C70" t="s" s="265">
        <v>85</v>
      </c>
      <c r="D70" s="209">
        <f>2*SQRT(D_O2*s_renew/PI())</f>
        <v>0.0002668110099973</v>
      </c>
      <c r="E70" t="s" s="313">
        <v>941</v>
      </c>
      <c r="F70" s="271"/>
    </row>
    <row r="71" x14ac:dyDescent="0.2">
      <c r="A71" t="s" s="265">
        <v>617</v>
      </c>
      <c r="B71" t="s" s="266">
        <v>618</v>
      </c>
      <c r="C71" t="s" s="265">
        <v>561</v>
      </c>
      <c r="D71" s="212">
        <f>interface_A/V_charge</f>
        <v>28.636515009371</v>
      </c>
      <c r="E71" t="s" s="303">
        <v>619</v>
      </c>
      <c r="F71" s="271"/>
    </row>
    <row r="72" x14ac:dyDescent="0.2">
      <c r="A72" t="s" s="265">
        <v>620</v>
      </c>
      <c r="B72" t="s" s="266">
        <v>621</v>
      </c>
      <c r="C72" t="s" s="265">
        <v>571</v>
      </c>
      <c r="D72" s="209">
        <f>kL_surf*a_surf</f>
        <v>0.007640537492</v>
      </c>
      <c r="E72" t="s" s="313">
        <v>622</v>
      </c>
      <c r="F72" s="271"/>
    </row>
    <row r="73" x14ac:dyDescent="0.2" ht="77" customHeight="1">
      <c r="A73" t="s" s="265">
        <v>623</v>
      </c>
      <c r="B73" t="s" s="266">
        <v>624</v>
      </c>
      <c r="C73" t="s" s="265">
        <v>302</v>
      </c>
      <c r="D73" s="209">
        <f>kLa_surf_used*(V_charge/1000000)*O2_ceil_C*3600</f>
        <v>0.0001298594676754</v>
      </c>
      <c r="E73" t="s" s="313">
        <v>2933</v>
      </c>
      <c r="F73" s="271"/>
    </row>
    <row r="74" x14ac:dyDescent="0.2" ht="27" customHeight="1">
      <c r="A74" t="s" s="265">
        <v>625</v>
      </c>
      <c r="B74" t="s" s="266">
        <v>626</v>
      </c>
      <c r="C74" t="s" s="265">
        <v>87</v>
      </c>
      <c r="D74" s="198">
        <f>IF(O2_excess&gt;0,surf_strip/O2_excess,NA())</f>
        <v>7.613851405219</v>
      </c>
      <c r="E74" t="s" s="313">
        <v>627</v>
      </c>
      <c r="F74" s="271"/>
    </row>
    <row r="75" ht="24" customHeight="1" x14ac:dyDescent="0.2">
      <c r="A75" s="281"/>
      <c r="B75" s="290"/>
      <c r="C75" s="267"/>
      <c r="D75" s="326"/>
      <c r="E75" s="276"/>
      <c r="F75" s="271"/>
    </row>
    <row r="76" x14ac:dyDescent="0.2" hidden="1">
      <c r="A76" s="281"/>
      <c r="B76" s="290"/>
      <c r="C76" s="267"/>
      <c r="D76" s="326"/>
      <c r="E76" s="276"/>
      <c r="F76" s="271"/>
    </row>
    <row r="77" x14ac:dyDescent="0.2" ht="27" customHeight="1">
      <c r="A77" t="s" s="265">
        <v>628</v>
      </c>
      <c r="B77" t="s" s="266">
        <v>629</v>
      </c>
      <c r="C77" t="s" s="265">
        <v>61</v>
      </c>
      <c r="D77" s="198">
        <f>headspace_V*spg_int/V_pulse</f>
        <v>7.29306337365</v>
      </c>
      <c r="E77" t="s" s="303">
        <v>2148</v>
      </c>
      <c r="F77" s="271"/>
    </row>
    <row r="78" ht="26" customHeight="1" x14ac:dyDescent="0.2">
      <c r="A78" t="s" s="265">
        <v>630</v>
      </c>
      <c r="B78" t="s" s="266">
        <v>631</v>
      </c>
      <c r="C78" t="s" s="265">
        <v>87</v>
      </c>
      <c r="D78" s="198">
        <f>IF(O2_excess&gt;0,(strip_avg+surf_strip)/O2_excess,NA())</f>
        <v>7.677675360374</v>
      </c>
      <c r="E78" t="s" s="313">
        <v>632</v>
      </c>
      <c r="F78" s="271"/>
    </row>
    <row r="79" x14ac:dyDescent="0.2" ht="27" customHeight="1">
      <c r="A79" t="s" s="265">
        <v>633</v>
      </c>
      <c r="B79" t="s" s="266">
        <v>634</v>
      </c>
      <c r="C79" t="s" s="265">
        <v>61</v>
      </c>
      <c r="D79" s="198">
        <f>O2_ceil_org*(V_charge/1000000)/O2_net_lag_mt*60</f>
        <v>5.854318892931</v>
      </c>
      <c r="E79" t="s" s="303">
        <v>2934</v>
      </c>
      <c r="F79" s="271"/>
    </row>
    <row r="80" x14ac:dyDescent="0.2" ht="52" customHeight="1">
      <c r="A80" t="s" s="265">
        <v>2935</v>
      </c>
      <c r="B80" t="s" s="266">
        <v>635</v>
      </c>
      <c r="C80" t="s" s="265">
        <v>61</v>
      </c>
      <c r="D80" s="201" t="str">
        <f>IF(O2_net_lag_mt-(strip_avg+surf_strip)*O2_ceil_org/O2_ceil_C&gt;0,IF(strip_avg+surf_strip&gt;0,-LN(1-(strip_avg+surf_strip)*O2_ceil_org/O2_ceil_C/O2_net_lag_mt)*60*(V_charge/1000000)*O2_ceil_C/(strip_avg+surf_strip),t_O2_ceiling_lag),"not reached if the headspace held no O₂ — not a pass; see D363")</f>
        <v>not reached if the headspace held no O₂ — not a pass; see D363</v>
      </c>
      <c r="E80" t="inlineStr" s="313">
        <is>
          <t>CAPACITY DIAGNOSTIC ONLY: the lag rise (D79) with both removal paths acting first order against an O₂-free headspace (zero back-pressure). The real headspace holds O₂ and pushes back, so the lag ceiling verdict is the lag peak (D363, Summary row 47); a non-crossing here is never a pass.</t>
        </is>
      </c>
      <c r="F80" s="271"/>
    </row>
    <row r="81" x14ac:dyDescent="0.2" ht="39.5" customHeight="1">
      <c r="A81" t="s" s="265">
        <v>636</v>
      </c>
      <c r="B81" t="s" s="266">
        <v>637</v>
      </c>
      <c r="C81" t="s" s="265">
        <v>108</v>
      </c>
      <c r="D81" t="s" s="268">
        <v>638</v>
      </c>
      <c r="E81" t="s" s="305">
        <v>2937</v>
      </c>
      <c r="F81" s="271"/>
    </row>
    <row r="82" x14ac:dyDescent="0.2" ht="27" customHeight="1">
      <c r="A82" t="s" s="265">
        <v>639</v>
      </c>
      <c r="B82" t="s" s="266">
        <v>640</v>
      </c>
      <c r="C82" t="s" s="265">
        <v>12</v>
      </c>
      <c r="D82" s="268">
        <v>1</v>
      </c>
      <c r="E82" t="s" s="305">
        <v>2938</v>
      </c>
      <c r="F82" s="271"/>
    </row>
    <row r="83" x14ac:dyDescent="0.2" ht="27" customHeight="1">
      <c r="A83" t="s" s="265">
        <v>641</v>
      </c>
      <c r="B83" t="s" s="266">
        <v>642</v>
      </c>
      <c r="C83" t="s" s="265">
        <v>61</v>
      </c>
      <c r="D83" s="268">
        <v>1</v>
      </c>
      <c r="E83" t="s" s="305">
        <v>2939</v>
      </c>
      <c r="F83" s="271"/>
    </row>
    <row r="84" x14ac:dyDescent="0.2" ht="39.5" customHeight="1">
      <c r="A84" t="s" s="265">
        <v>643</v>
      </c>
      <c r="B84" t="s" s="266">
        <v>644</v>
      </c>
      <c r="C84" t="s" s="265">
        <v>108</v>
      </c>
      <c r="D84" s="199">
        <f>Biology!DO_frac_target</f>
        <v>0.226086956522</v>
      </c>
      <c r="E84" t="s" s="305">
        <v>2149</v>
      </c>
      <c r="F84" s="271"/>
    </row>
    <row r="85" x14ac:dyDescent="0.2">
      <c r="A85" t="s" s="265">
        <v>645</v>
      </c>
      <c r="B85" t="s" s="266">
        <v>646</v>
      </c>
      <c r="C85" t="s" s="265">
        <v>108</v>
      </c>
      <c r="D85" s="268">
        <v>2</v>
      </c>
      <c r="E85" t="s" s="305">
        <v>647</v>
      </c>
      <c r="F85" s="271"/>
    </row>
    <row r="86" x14ac:dyDescent="0.2">
      <c r="A86" t="s" s="265">
        <v>648</v>
      </c>
      <c r="B86" t="s" s="266">
        <v>649</v>
      </c>
      <c r="C86" t="s" s="265">
        <v>108</v>
      </c>
      <c r="D86" s="209">
        <f>carbon_margin_min*CO2_cons/(nCO2_rate*3600)</f>
        <v>7.078278204869e-05</v>
      </c>
      <c r="E86" t="s" s="303">
        <v>650</v>
      </c>
      <c r="F86" s="271"/>
    </row>
    <row r="87" x14ac:dyDescent="0.2" ht="39.5" customHeight="1">
      <c r="A87" t="s" s="265">
        <v>651</v>
      </c>
      <c r="B87" t="s" s="266">
        <v>652</v>
      </c>
      <c r="C87" t="s" s="265">
        <v>108</v>
      </c>
      <c r="D87" s="209">
        <f>O2_src_guard/(target_DO_frac*(O2_ceil_Pa/P_atm))/(nCO2_rate*3600)</f>
        <v>0.001565388449</v>
      </c>
      <c r="E87" t="s" s="303">
        <v>946</v>
      </c>
      <c r="F87" s="271"/>
    </row>
    <row r="88" x14ac:dyDescent="0.2" ht="39.5" customHeight="1">
      <c r="A88" t="s" s="265">
        <v>653</v>
      </c>
      <c r="B88" t="s" s="266">
        <v>654</v>
      </c>
      <c r="C88" t="s" s="265">
        <v>108</v>
      </c>
      <c r="D88" s="209">
        <f>MAX(duty_carbon,duty_O2vent)</f>
        <v>0.001565388449</v>
      </c>
      <c r="E88" t="s" s="313">
        <v>2150</v>
      </c>
      <c r="F88" s="271"/>
    </row>
    <row r="89" x14ac:dyDescent="0.2" ht="89.5" customHeight="1">
      <c r="A89" t="s" s="265">
        <v>2151</v>
      </c>
      <c r="B89" t="s" s="266">
        <v>655</v>
      </c>
      <c r="C89" t="s" s="265">
        <v>61</v>
      </c>
      <c r="D89" s="198">
        <f>target_DO_frac*O2_ceil_org*(V_charge/1000000)/O2_src_guard*60</f>
        <v>1.251651684129</v>
      </c>
      <c r="E89" t="s" s="303">
        <v>2152</v>
      </c>
      <c r="F89" s="271"/>
    </row>
    <row r="90" x14ac:dyDescent="0.2" ht="39.5" customHeight="1">
      <c r="A90" t="s" s="265">
        <v>656</v>
      </c>
      <c r="B90" t="s" s="266">
        <v>657</v>
      </c>
      <c r="C90" t="s" s="265">
        <v>12</v>
      </c>
      <c r="D90" s="199">
        <f>IF(pulse_rule_idx=2,pulse_floor,MAX(pulse_floor,(flush_factor*headspace_V-pulse_V0)/Q_CO2_fit))</f>
        <v>0.674076519917</v>
      </c>
      <c r="E90" t="inlineStr" s="303">
        <is>
          <t>ANSWER. Pulse rule (Summary D18): "Headspace flush" = the time at which V₀ + Q_fit·t delivers flush_factor headspace volumes (R2-M3), never below the solenoid floor (pulse_floor); "Shortest reliable pulse" = the floor itself.</t>
        </is>
      </c>
      <c r="F90" s="271"/>
    </row>
    <row r="91" x14ac:dyDescent="0.2" ht="89.5" customHeight="1">
      <c r="A91" t="s" s="265">
        <v>658</v>
      </c>
      <c r="B91" t="s" s="266">
        <v>659</v>
      </c>
      <c r="C91" t="s" s="265">
        <v>61</v>
      </c>
      <c r="D91" s="198">
        <f>IF(ISNA(F_vent_ex+O2_src_sched),NA(),IF(OR(ph_unreach,trough_unreach),NA(),MIN(spg_int_carbon,IF(ISNUMBER(spg_int_trough_opt),spg_int_trough_opt,spg_int_carbon),IF(ISNUMBER(spg_int_DO),spg_int_DO,spg_int_max),IF(ISNUMBER(spg_int_pH_opt),spg_int_pH_opt,spg_int_carbon),IF(O2_sizing_phase=phase_name_2,IF(ISNUMBER(spg_int_H2safe_opt),spg_int_H2safe_opt,spg_int_carbon),spg_int_carbon))))</f>
        <v>7.293500622657</v>
      </c>
      <c r="E91" t="inlineStr" s="303">
        <is>
          <t>ANSWER. The shortest of the upper bounds on the interval: carbon supply (D112), headspace-O₂ dilution (spg_int_DO), the pH ceiling (D433), the carbon trough (D595) and, when the schedule is sized on Lag, the H₂ flammability screen (D563). #N/A for an invalid vent or phase selector or when no interval keeps pH under the band ceiling (D434) or the carbon trough under its margin (D596). If the DO target is unreachable the legacy O₂ flush guard (D89) stands in for the O₂ bound and D134 says so.</t>
        </is>
      </c>
      <c r="F91" s="271"/>
    </row>
    <row r="92" x14ac:dyDescent="0.2">
      <c r="A92" t="s" s="265">
        <v>660</v>
      </c>
      <c r="B92" t="s" s="266">
        <v>661</v>
      </c>
      <c r="C92" t="s" s="265">
        <v>12</v>
      </c>
      <c r="D92" s="196">
        <f>spg_int_opt*60</f>
        <v>437.610037359391</v>
      </c>
      <c r="E92" t="s" s="303">
        <v>662</v>
      </c>
      <c r="F92" s="271"/>
    </row>
    <row r="93" x14ac:dyDescent="0.2" ht="39.5" customHeight="1">
      <c r="A93" t="s" s="265">
        <v>2154</v>
      </c>
      <c r="B93" t="s" s="266">
        <v>663</v>
      </c>
      <c r="C93" t="s" s="265">
        <v>108</v>
      </c>
      <c r="D93" s="209">
        <f>spg_dur_eq_opt/(spg_int_opt*60)</f>
        <v>0.001792721791</v>
      </c>
      <c r="E93" t="s" s="303">
        <v>2155</v>
      </c>
      <c r="F93" s="271"/>
    </row>
    <row r="94" x14ac:dyDescent="0.2" ht="52" customHeight="1">
      <c r="A94" t="s" s="265">
        <v>664</v>
      </c>
      <c r="B94" t="s" s="266">
        <v>665</v>
      </c>
      <c r="C94" t="s" s="265">
        <v>108</v>
      </c>
      <c r="D94" s="201" t="str">
        <f>IF(ISNA(F_vent_ex+O2_src_sched),"INVALID SELECTOR (check Summary D2–D5, D11, D12)",IF(ph_unreach,"pH CEILING UNREACHABLE – reduce the N₂ or the added alkalinity",IF(trough_unreach,"CARBON TROUGH UNREACHABLE – the pool runs under the margin at any interval",IF(AND(O2_sizing_phase=phase_name_2,ISNUMBER(spg_int_H2safe_opt),spg_int_opt=spg_int_H2safe_opt),"H₂ FLAMMABILITY SCREEN (lag sizing; Biology D92 sets the interval)",IF(AND(ISNUMBER(spg_int_trough_opt),spg_int_opt=spg_int_trough_opt),"CARBON TROUGH (the margin over RuBisCO Km at the pulse start sets the interval)",IF(AND(ISNUMBER(spg_int_pH_opt),spg_int_opt=spg_int_pH_opt),"pH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t="s" s="303">
        <v>1602</v>
      </c>
      <c r="F94" s="271"/>
    </row>
    <row r="95" x14ac:dyDescent="0.2" ht="27" customHeight="1">
      <c r="A95" t="s" s="265">
        <v>666</v>
      </c>
      <c r="B95" t="s" s="266">
        <v>667</v>
      </c>
      <c r="C95" t="s" s="265">
        <v>108</v>
      </c>
      <c r="D95" s="201" t="str">
        <f>IF(spg_int*60-spg_dur&gt;=od_gap_min_s,"OK","TIGHT")</f>
        <v>OK</v>
      </c>
      <c r="E95" t="s" s="303">
        <v>1010</v>
      </c>
      <c r="F95" s="271"/>
    </row>
    <row r="96" x14ac:dyDescent="0.2" ht="52" customHeight="1">
      <c r="A96" t="s" s="265">
        <v>668</v>
      </c>
      <c r="B96" t="s" s="266">
        <v>669</v>
      </c>
      <c r="C96" t="s" s="265">
        <v>108</v>
      </c>
      <c r="D96" s="201" t="str">
        <f>"see note →"</f>
        <v>see note →</v>
      </c>
      <c r="E96" t="s" s="313">
        <v>670</v>
      </c>
      <c r="F96" s="271"/>
    </row>
    <row r="97" x14ac:dyDescent="0.2" ht="27" customHeight="1">
      <c r="A97" t="s" s="265">
        <v>671</v>
      </c>
      <c r="B97" t="s" s="266">
        <v>672</v>
      </c>
      <c r="C97" t="s" s="265">
        <v>444</v>
      </c>
      <c r="D97" s="262">
        <f>IF(ISNUMBER(cal_kLa),cal_kLa,0)</f>
        <v>0.0</v>
      </c>
      <c r="E97" t="s" s="313">
        <v>673</v>
      </c>
      <c r="F97" s="271"/>
    </row>
    <row r="98" x14ac:dyDescent="0.2" ht="64.5" customHeight="1">
      <c r="A98" t="s" s="265">
        <v>674</v>
      </c>
      <c r="B98" t="s" s="266">
        <v>675</v>
      </c>
      <c r="C98" t="s" s="265">
        <v>571</v>
      </c>
      <c r="D98" s="209">
        <f>IF(AND(ISNUMBER(kLa_meas),kLa_meas&gt;0),kLa_meas/3600,kLa_surf)</f>
        <v>0.007640537492</v>
      </c>
      <c r="E98" s="303" t="inlineStr">
        <is>
          <t xml:space="preserve">What §11 actually uses: the measured surface kLa if one has been entered in its calibration log (in 1/h), otherwise the penetration-theory estimate. The ISNUMBER test matters — an empty calibration returns a message, and in Excel text sorts above every number, so a bare "&gt;0" test would have accepted it.</t>
        </is>
      </c>
      <c r="F98" s="271"/>
    </row>
    <row r="99" x14ac:dyDescent="0.2">
      <c r="A99" t="s" s="265">
        <v>676</v>
      </c>
      <c r="B99" t="s" s="266">
        <v>677</v>
      </c>
      <c r="C99" t="s" s="265">
        <v>12</v>
      </c>
      <c r="D99" s="199">
        <f>min_sparge_cal</f>
        <v>0.25</v>
      </c>
      <c r="E99" s="310" t="inlineStr">
        <is>
          <t xml:space="preserve">Solenoid floor in use = min_sparge_cal (D118): calibration log Min pulse, else CO2 flows column I, else pulse_floor_default (D396).</t>
        </is>
      </c>
      <c r="F99" s="271"/>
    </row>
    <row r="100" x14ac:dyDescent="0.2">
      <c r="A100" t="s" s="265">
        <v>679</v>
      </c>
      <c r="B100" t="s" s="266">
        <v>680</v>
      </c>
      <c r="C100" t="s" s="265">
        <v>302</v>
      </c>
      <c r="D100" s="209">
        <f>CO2_pulse*pulses_h</f>
        <v>0.0008639935959385</v>
      </c>
      <c r="E100" t="s" s="310">
        <v>678</v>
      </c>
      <c r="F100" s="271"/>
    </row>
    <row r="101" x14ac:dyDescent="0.2">
      <c r="A101" t="s" s="265">
        <v>681</v>
      </c>
      <c r="B101" t="s" s="266">
        <v>263</v>
      </c>
      <c r="C101" t="s" s="265">
        <v>264</v>
      </c>
      <c r="D101" s="268">
        <v>8.3144626180000003</v>
      </c>
      <c r="E101" t="s" s="310">
        <v>678</v>
      </c>
      <c r="F101" s="271"/>
    </row>
    <row r="102" x14ac:dyDescent="0.2">
      <c r="A102" t="s" s="265">
        <v>682</v>
      </c>
      <c r="B102" t="s" s="266">
        <v>683</v>
      </c>
      <c r="C102" t="s" s="265">
        <v>309</v>
      </c>
      <c r="D102" s="196">
        <f>IF(has_cal&gt;0,flowrate_cal*60,NA())</f>
        <v>199.8</v>
      </c>
      <c r="E102" t="s" s="310">
        <v>678</v>
      </c>
      <c r="F102" s="271"/>
    </row>
    <row r="103" x14ac:dyDescent="0.2">
      <c r="A103" t="s" s="265">
        <v>684</v>
      </c>
      <c r="B103" t="s" s="266">
        <v>685</v>
      </c>
      <c r="C103" t="s" s="265">
        <v>686</v>
      </c>
      <c r="D103" s="268">
        <v>44.009500000000003</v>
      </c>
      <c r="E103" t="s" s="310">
        <v>678</v>
      </c>
      <c r="F103" s="271"/>
    </row>
    <row r="104" x14ac:dyDescent="0.2" ht="39.5" customHeight="1">
      <c r="A104" t="s" s="265">
        <v>687</v>
      </c>
      <c r="B104" t="s" s="266">
        <v>688</v>
      </c>
      <c r="C104" t="s" s="265">
        <v>689</v>
      </c>
      <c r="D104" s="209">
        <f>P_atm*(Q_CO2/1000000/60)/(R_gas*T_K)</f>
        <v>0.00013386563064</v>
      </c>
      <c r="E104" t="s" s="313">
        <v>2941</v>
      </c>
      <c r="F104" s="271"/>
    </row>
    <row r="105" x14ac:dyDescent="0.2">
      <c r="A105" t="s" s="265">
        <v>690</v>
      </c>
      <c r="B105" t="s" s="266">
        <v>691</v>
      </c>
      <c r="C105" t="s" s="265">
        <v>108</v>
      </c>
      <c r="D105" s="209">
        <f>spg_dur/(spg_int*60)</f>
        <v>0.001532296087</v>
      </c>
      <c r="E105" t="s" s="310">
        <v>678</v>
      </c>
      <c r="F105" s="271"/>
    </row>
    <row r="106" x14ac:dyDescent="0.2">
      <c r="A106" t="s" s="265">
        <v>692</v>
      </c>
      <c r="B106" t="s" s="266">
        <v>693</v>
      </c>
      <c r="C106" t="s" s="265">
        <v>108</v>
      </c>
      <c r="D106" s="268">
        <v>1</v>
      </c>
      <c r="E106" t="s" s="314">
        <v>678</v>
      </c>
      <c r="F106" s="271"/>
    </row>
    <row r="107" x14ac:dyDescent="0.2">
      <c r="A107" t="s" s="278">
        <v>694</v>
      </c>
      <c r="B107" s="278"/>
      <c r="C107" s="278"/>
      <c r="D107" s="278"/>
      <c r="E107" s="278"/>
      <c r="F107" s="271"/>
    </row>
    <row r="108" x14ac:dyDescent="0.2">
      <c r="A108" t="s" s="265">
        <v>2157</v>
      </c>
      <c r="B108" t="s" s="266">
        <v>695</v>
      </c>
      <c r="C108" t="s" s="265">
        <v>83</v>
      </c>
      <c r="D108" s="198">
        <f>DO_avg_sched*M_O2</f>
        <v>2.275287892306</v>
      </c>
      <c r="E108" t="inlineStr" s="310">
        <is>
          <t>Time-mean dissolved O₂ of the sawtooth model (§300) on the sizing phase: the surface excess plus equilibrium with the time-mean headspace O₂. Sits near DO_target when the DO constraint binds, because the sizing applies the same sawtooth factor; the peak (D374 / Summary D96) is the non-tautological check.</t>
        </is>
      </c>
      <c r="F108" s="271"/>
    </row>
    <row r="109" x14ac:dyDescent="0.2">
      <c r="A109" s="271"/>
      <c r="B109" s="271"/>
      <c r="C109" s="271"/>
      <c r="D109" s="281"/>
      <c r="E109" s="271"/>
      <c r="F109" s="271"/>
    </row>
    <row r="110" x14ac:dyDescent="0.2" ht="27" customHeight="1">
      <c r="A110" t="s" s="265">
        <v>696</v>
      </c>
      <c r="B110" t="s" s="266">
        <v>697</v>
      </c>
      <c r="C110" s="265"/>
      <c r="D110" s="277" t="str">
        <f>IF(ISNUMBER(DO_min),IF(DO_ss&gt;=DO_min,"above minimum","BELOW MINIMUM"),"minimum DO unknown - measure")</f>
        <v>minimum DO unknown - measure</v>
      </c>
      <c r="E110" t="s" s="306">
        <v>2943</v>
      </c>
      <c r="F110" s="271"/>
    </row>
    <row r="111" x14ac:dyDescent="0.2">
      <c r="A111" s="265" t="str">
        <f>"Tip-speed shear flag (&lt;"&amp;TEXT(tip_speed_max,"0.0")&amp;" m/s)"</f>
        <v>Tip-speed shear flag (&lt;1.5 m/s)</v>
      </c>
      <c r="B111" t="s" s="266">
        <v>698</v>
      </c>
      <c r="C111" s="265"/>
      <c r="D111" s="277" t="str">
        <f>IF(tip_speed&gt;tip_speed_max,"TIP SPEED &gt; "&amp;TEXT(tip_speed_max,"0.0")&amp;" m/s","OK")</f>
        <v>OK</v>
      </c>
      <c r="E111" t="s" s="314">
        <v>699</v>
      </c>
      <c r="F111" s="271"/>
    </row>
    <row r="112" x14ac:dyDescent="0.2" ht="39.5" customHeight="1">
      <c r="A112" t="s" s="265">
        <v>700</v>
      </c>
      <c r="B112" t="s" s="266">
        <v>701</v>
      </c>
      <c r="C112" t="s" s="265">
        <v>61</v>
      </c>
      <c r="D112" s="196">
        <f>spg_dur_eq_opt/(60*duty_carbon)</f>
        <v>184.723136314261</v>
      </c>
      <c r="E112" t="s" s="306">
        <v>2944</v>
      </c>
      <c r="F112" s="271"/>
    </row>
    <row r="113" x14ac:dyDescent="0.2">
      <c r="A113" t="s" s="265">
        <v>702</v>
      </c>
      <c r="B113" t="s" s="266">
        <v>703</v>
      </c>
      <c r="C113" s="265"/>
      <c r="D113" s="277" t="str">
        <f>IF(DO_at_carbon&lt;=DO_target,"Carbon supply alone holds the DO target – the interval may relax to "&amp;TEXT(MIN(spg_int_carbon,IF(ISNUMBER(spg_int_pH_opt),spg_int_pH_opt,spg_int_carbon),IF(ISNUMBER(spg_int_trough_opt),spg_int_trough_opt,spg_int_carbon)),"0")&amp;" min","Do NOT relax: at the carbon-limited interval ("&amp;TEXT(spg_int_carbon,"0")&amp;" min) the cycle-mean DO would be ≈"&amp;TEXT(DO_at_carbon*M_O2,"0")&amp;" mg/L, "&amp;IF(DO_at_carbon&gt;O2_ceil_org,"above the "&amp;TEXT(O2_ceil_org*M_O2,"0.0")&amp;" mg/L inhibition ceiling","against a "&amp;TEXT(DO_target*M_O2,"0.0")&amp;" mg/L target")&amp;" (peaks higher)")</f>
        <v>Do NOT relax: at the carbon-limited interval (185 min) the cycle-mean DO would be ≈14 mg/L, above the 10.1 mg/L inhibition ceiling (peaks higher)</v>
      </c>
      <c r="E113" t="s" s="314">
        <v>2158</v>
      </c>
      <c r="F113" s="271"/>
    </row>
    <row r="114" x14ac:dyDescent="0.2">
      <c r="A114" t="s" s="278">
        <v>2159</v>
      </c>
      <c r="B114" s="278"/>
      <c r="C114" s="278"/>
      <c r="D114" s="278"/>
      <c r="E114" s="278"/>
      <c r="F114" s="271"/>
    </row>
    <row r="115" x14ac:dyDescent="0.2">
      <c r="A115" t="s" s="265">
        <v>704</v>
      </c>
      <c r="B115" t="s" s="266">
        <v>1</v>
      </c>
      <c r="C115" s="265"/>
      <c r="D115" s="277" t="str">
        <f>Summary!Reactor_sel</f>
        <v>ed04</v>
      </c>
      <c r="E115" t="s" s="306">
        <v>2945</v>
      </c>
      <c r="F115" s="271"/>
    </row>
    <row r="116" x14ac:dyDescent="0.2" ht="27" customHeight="1">
      <c r="A116" t="s" s="265">
        <v>705</v>
      </c>
      <c r="B116" t="s" s="266">
        <v>706</v>
      </c>
      <c r="C116" s="265"/>
      <c r="D116" s="277">
        <f>SUMPRODUCT(MAX((co2f_reactor=Reactor)*(co2f_nominal&gt;0)*co2f_date))</f>
        <v>46190.0</v>
      </c>
      <c r="E116" t="s" s="306">
        <v>2946</v>
      </c>
      <c r="F116" s="271"/>
    </row>
    <row r="117" x14ac:dyDescent="0.2">
      <c r="A117" t="s" s="265">
        <v>707</v>
      </c>
      <c r="B117" t="s" s="266">
        <v>708</v>
      </c>
      <c r="C117" t="s" s="265">
        <v>1260</v>
      </c>
      <c r="D117" s="198">
        <f>IF(ISNUMBER(cal_flow),cal_flow,SUMPRODUCT((co2f_reactor=Reactor)*(co2f_date=latest_date)*co2f_nominal)/MAX(1,SUMPRODUCT((co2f_reactor=Reactor)*(co2f_date=latest_date)*(co2f_nominal&gt;0)*1)))</f>
        <v>3.33</v>
      </c>
      <c r="E117" s="310" t="inlineStr">
        <is>
          <t xml:space="preserve">Prefers the CO₂-flow calibration recorded in its calibration log (cal_flow); falls back to the per-reactor table on the CO2 flows sheet when no calibration run is included. Either route switches the reactor on (has_cal, D119).</t>
        </is>
      </c>
      <c r="F117" s="271"/>
    </row>
    <row r="118" x14ac:dyDescent="0.2">
      <c r="A118" t="s" s="265">
        <v>709</v>
      </c>
      <c r="B118" t="s" s="266">
        <v>710</v>
      </c>
      <c r="C118" t="s" s="265">
        <v>12</v>
      </c>
      <c r="D118" s="199">
        <f>IF(ISNUMBER(cal_pulse_floor),cal_pulse_floor,IF(SUMPRODUCT((co2f_reactor=Reactor)*(co2f_nominal&gt;0)*1)&gt;0,SUMPRODUCT((co2f_reactor=Reactor)*(co2f_date=latest_date)*co2f_minpulse)/MAX(1,SUMPRODUCT((co2f_reactor=Reactor)*(co2f_date=latest_date)*(co2f_nominal&gt;0)*1)),pulse_floor_default))</f>
        <v>0.25</v>
      </c>
      <c r="E118" s="310" t="inlineStr">
        <is>
          <t xml:space="preserve">Solenoid floor for the selected reactor, same precedence as the flow (D117): the latest included Min pulse in its calibration log (cal_pulse_floor, CO₂-flow column J); otherwise the CO2 flows column I average on the latest date; otherwise pulse_floor_default (D396).</t>
        </is>
      </c>
      <c r="F118" s="271"/>
    </row>
    <row r="119" x14ac:dyDescent="0.2">
      <c r="A119" t="s" s="265">
        <v>711</v>
      </c>
      <c r="B119" t="s" s="266">
        <v>712</v>
      </c>
      <c r="C119" t="s" s="265">
        <v>713</v>
      </c>
      <c r="D119" s="277">
        <f>SUMPRODUCT((co2f_reactor=Reactor)*(co2f_nominal&gt;0)*1)+IF(ISNUMBER(cal_flow),1,0)</f>
        <v>1.0</v>
      </c>
      <c r="E119" s="310" t="inlineStr">
        <is>
          <t xml:space="preserve">Calibration count for the selected reactor: CO2 flows rows with a nominal flowrate (column J), plus 1 when the Cal CO2 flow log has an included run (cal_flow). 0 = uncalibrated: Q_CO2 and every schedule result read "calibrate this reactor first".</t>
        </is>
      </c>
      <c r="F119" s="271"/>
    </row>
    <row r="120" x14ac:dyDescent="0.2">
      <c r="A120" t="s" s="265">
        <v>714</v>
      </c>
      <c r="B120" t="s" s="266">
        <v>715</v>
      </c>
      <c r="C120" s="265"/>
      <c r="D120" s="277"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t="s" s="306">
        <v>2947</v>
      </c>
      <c r="F120" s="271"/>
    </row>
    <row r="121" x14ac:dyDescent="0.2" ht="27" customHeight="1">
      <c r="A121" t="s" s="265">
        <v>716</v>
      </c>
      <c r="B121" t="s" s="266">
        <v>717</v>
      </c>
      <c r="C121" t="s" s="265">
        <v>12</v>
      </c>
      <c r="D121" s="199">
        <f>IF(AND(ISNUMBER(override_spg_dur_s),override_spg_dur_s&gt;0),override_spg_dur_s,IF(sched_mode="Manual",spg_dur_man,IF(sched_mode="Optimal",spg_dur_run,NA())))</f>
        <v>0.65</v>
      </c>
      <c r="E121" t="s" s="306">
        <v>2948</v>
      </c>
      <c r="F121" s="271"/>
    </row>
    <row r="122" x14ac:dyDescent="0.2" ht="39.5" customHeight="1">
      <c r="A122" t="s" s="265">
        <v>718</v>
      </c>
      <c r="B122" t="s" s="266">
        <v>719</v>
      </c>
      <c r="C122" t="s" s="265">
        <v>61</v>
      </c>
      <c r="D122" s="198">
        <f>IF(AND(ISNUMBER(override_spg_int_min),override_spg_int_min&gt;0),IF(override_spg_int_min*60&gt;spg_dur,override_spg_int_min,NA()),IF(sched_mode="Manual",IF(spg_int_man*60&gt;spg_dur,spg_int_man,NA()),IF(sched_mode="Optimal",spg_int_run,NA())))</f>
        <v>7.07</v>
      </c>
      <c r="E122" t="s" s="306">
        <v>2949</v>
      </c>
      <c r="F122" s="271"/>
    </row>
    <row r="123" x14ac:dyDescent="0.2">
      <c r="A123" t="s" s="265">
        <v>720</v>
      </c>
      <c r="B123" t="s" s="266">
        <v>721</v>
      </c>
      <c r="C123" t="s" s="265">
        <v>722</v>
      </c>
      <c r="D123" s="209">
        <f>P_atm*(V_pulse/1000000)/(R_gas*T_K)</f>
        <v>0.0001018072453881</v>
      </c>
      <c r="E123" t="s" s="310">
        <v>2163</v>
      </c>
      <c r="F123" s="271"/>
    </row>
    <row r="124" x14ac:dyDescent="0.2">
      <c r="A124" t="s" s="265">
        <v>723</v>
      </c>
      <c r="B124" t="s" s="266">
        <v>724</v>
      </c>
      <c r="C124" t="s" s="265">
        <v>725</v>
      </c>
      <c r="D124" s="198">
        <f>60/spg_int</f>
        <v>8.486562942008</v>
      </c>
      <c r="E124" t="s" s="306">
        <v>2950</v>
      </c>
      <c r="F124" s="271"/>
    </row>
    <row r="125" x14ac:dyDescent="0.2">
      <c r="A125" t="s" s="265">
        <v>726</v>
      </c>
      <c r="B125" t="s" s="266">
        <v>727</v>
      </c>
      <c r="C125" t="s" s="265">
        <v>728</v>
      </c>
      <c r="D125" s="196">
        <f>pulses_h*24</f>
        <v>203.677510608204</v>
      </c>
      <c r="E125" t="s" s="306">
        <v>2951</v>
      </c>
      <c r="F125" s="271"/>
    </row>
    <row r="126" x14ac:dyDescent="0.2" ht="27" customHeight="1">
      <c r="A126" t="s" s="265">
        <v>729</v>
      </c>
      <c r="B126" t="s" s="266">
        <v>730</v>
      </c>
      <c r="C126" t="s" s="265">
        <v>87</v>
      </c>
      <c r="D126" s="212">
        <f>IF(CO2_cons&gt;0,CO2_supply/CO2_cons,NA())</f>
        <v>50.657214081442</v>
      </c>
      <c r="E126" t="s" s="306">
        <v>2952</v>
      </c>
      <c r="F126" s="271"/>
    </row>
    <row r="127" x14ac:dyDescent="0.2">
      <c r="A127" t="s" s="265">
        <v>731</v>
      </c>
      <c r="B127" t="s" s="266">
        <v>732</v>
      </c>
      <c r="C127" t="s" s="265">
        <v>722</v>
      </c>
      <c r="D127" s="209">
        <f>O2_excess/60*spg_int</f>
        <v>2.009728470745e-06</v>
      </c>
      <c r="E127" t="s" s="306">
        <v>2953</v>
      </c>
      <c r="F127" s="271"/>
    </row>
    <row r="128" x14ac:dyDescent="0.2" ht="27" customHeight="1">
      <c r="A128" t="s" s="265">
        <v>733</v>
      </c>
      <c r="B128" t="s" s="266">
        <v>734</v>
      </c>
      <c r="C128" t="s" s="265">
        <v>722</v>
      </c>
      <c r="D128" s="209">
        <f>strip_sparge/3600*spg_dur</f>
        <v>1.282688197921e-07</v>
      </c>
      <c r="E128" t="s" s="306">
        <v>2954</v>
      </c>
      <c r="F128" s="271"/>
    </row>
    <row r="129" x14ac:dyDescent="0.2" ht="27" customHeight="1">
      <c r="A129" t="s" s="265">
        <v>735</v>
      </c>
      <c r="B129" t="s" s="266">
        <v>736</v>
      </c>
      <c r="C129" t="s" s="265">
        <v>87</v>
      </c>
      <c r="D129" s="210">
        <f>IF(O2_accum&gt;0,O2_strip_pulse/O2_accum,NA())</f>
        <v>0.063823955156</v>
      </c>
      <c r="E129" t="s" s="306">
        <v>2955</v>
      </c>
      <c r="F129" s="271"/>
    </row>
    <row r="130" x14ac:dyDescent="0.2" ht="27" customHeight="1">
      <c r="A130" t="s" s="265">
        <v>737</v>
      </c>
      <c r="B130" t="s" s="266">
        <v>738</v>
      </c>
      <c r="C130" s="265"/>
      <c r="D130" s="277" t="str">
        <f>IF(spg_dur&gt;=pulse_floor,"OK","LOW")</f>
        <v>OK</v>
      </c>
      <c r="E130" t="s" s="306">
        <v>2956</v>
      </c>
      <c r="F130" s="271"/>
    </row>
    <row r="131" x14ac:dyDescent="0.2">
      <c r="A131" t="s" s="265">
        <v>2164</v>
      </c>
      <c r="B131" t="s" s="266">
        <v>739</v>
      </c>
      <c r="C131" t="s" s="265">
        <v>85</v>
      </c>
      <c r="D131" s="209">
        <f>kLa_surf_req/a_surf</f>
        <v>0.0001549971963378</v>
      </c>
      <c r="E131" t="s" s="310">
        <v>1601</v>
      </c>
      <c r="F131" s="271"/>
    </row>
    <row r="132" x14ac:dyDescent="0.2" ht="39.5" customHeight="1">
      <c r="A132" t="s" s="265">
        <v>886</v>
      </c>
      <c r="B132" t="s" s="266">
        <v>887</v>
      </c>
      <c r="C132" t="s" s="265">
        <v>888</v>
      </c>
      <c r="D132" s="209">
        <f>O2_net_gen</f>
        <v>5.116706148996e-05</v>
      </c>
      <c r="E132" t="s" s="313">
        <v>889</v>
      </c>
      <c r="F132" s="271"/>
    </row>
    <row r="133" x14ac:dyDescent="0.2" ht="52" customHeight="1">
      <c r="A133" t="s" s="265">
        <v>1701</v>
      </c>
      <c r="B133" t="s" s="266">
        <v>890</v>
      </c>
      <c r="C133" t="s" s="265">
        <v>891</v>
      </c>
      <c r="D133" s="210">
        <f>DO_avg_sched</f>
        <v>0.071107190834</v>
      </c>
      <c r="E133" t="s" s="313">
        <v>2165</v>
      </c>
      <c r="F133" s="271"/>
    </row>
    <row r="134" x14ac:dyDescent="0.2" ht="39.5" customHeight="1">
      <c r="A134" t="s" s="265">
        <v>892</v>
      </c>
      <c r="B134" t="s" s="266">
        <v>893</v>
      </c>
      <c r="C134" t="s" s="265">
        <v>894</v>
      </c>
      <c r="D134" s="277" t="str">
        <f>IF(ISNA(F_vent_ex+O2_src_sched),"INVALID SELECTOR (check Summary D2–D5, D11, D12)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7.3 min; confirm by measuring kL_surf</v>
      </c>
      <c r="E134" t="s" s="313">
        <v>2166</v>
      </c>
      <c r="F134" s="271"/>
    </row>
    <row r="135" x14ac:dyDescent="0.2" ht="64.5" customHeight="1">
      <c r="A135" t="s" s="265">
        <v>2167</v>
      </c>
      <c r="B135" t="s" s="266">
        <v>895</v>
      </c>
      <c r="C135" t="s" s="265">
        <v>896</v>
      </c>
      <c r="D135" s="199">
        <f>DO_avg_l</f>
        <v>0.175470883498</v>
      </c>
      <c r="E135" t="s" s="313">
        <v>2168</v>
      </c>
      <c r="F135" s="271"/>
    </row>
    <row r="137" x14ac:dyDescent="0.2">
      <c r="A137" t="s" s="265">
        <v>1012</v>
      </c>
      <c r="B137" s="265"/>
      <c r="C137" s="265"/>
      <c r="D137" s="268"/>
      <c r="E137" t="s" s="310">
        <v>1013</v>
      </c>
      <c r="F137" s="271"/>
    </row>
    <row r="138" x14ac:dyDescent="0.2" ht="27" customHeight="1">
      <c r="A138" t="s" s="265">
        <v>1014</v>
      </c>
      <c r="B138" t="s" s="266">
        <v>1015</v>
      </c>
      <c r="C138" t="s" s="265">
        <v>509</v>
      </c>
      <c r="D138" s="209">
        <f>D_CO2_ref*EXP(-Ea_D_CO2/R_gas*(1/T_K-1/T_ref))</f>
        <v>2.178724747845e-09</v>
      </c>
      <c r="E138" t="s" s="306">
        <v>1574</v>
      </c>
      <c r="F138" s="271"/>
    </row>
    <row r="139" x14ac:dyDescent="0.2">
      <c r="A139" t="s" s="265">
        <v>1031</v>
      </c>
      <c r="B139" t="s" s="266">
        <v>1016</v>
      </c>
      <c r="C139" t="s" s="265">
        <v>57</v>
      </c>
      <c r="D139" s="268">
        <v>40</v>
      </c>
      <c r="E139" t="s" s="306">
        <v>1032</v>
      </c>
      <c r="F139" s="271"/>
    </row>
    <row r="140" x14ac:dyDescent="0.2">
      <c r="A140" t="s" s="265">
        <v>1033</v>
      </c>
      <c r="B140" t="s" s="266">
        <v>1034</v>
      </c>
      <c r="C140" t="s" s="265">
        <v>1035</v>
      </c>
      <c r="D140" s="209">
        <f>headspace_V/1000000</f>
        <v>2.612428455917e-06</v>
      </c>
      <c r="E140" t="s" s="306">
        <v>1036</v>
      </c>
      <c r="F140" s="271"/>
    </row>
    <row r="141" x14ac:dyDescent="0.2">
      <c r="A141" t="s" s="265">
        <v>1037</v>
      </c>
      <c r="B141" t="s" s="266">
        <v>1038</v>
      </c>
      <c r="C141" t="s" s="265">
        <v>1035</v>
      </c>
      <c r="D141" s="209">
        <f>V_charge/1000000</f>
        <v>1.5e-05</v>
      </c>
      <c r="E141" t="s" s="306">
        <v>1039</v>
      </c>
      <c r="F141" s="271"/>
    </row>
    <row r="142" x14ac:dyDescent="0.2" ht="77" customHeight="1">
      <c r="A142" t="s" s="265">
        <v>2169</v>
      </c>
      <c r="B142" t="s" s="266">
        <v>1040</v>
      </c>
      <c r="C142" t="s" s="265">
        <v>309</v>
      </c>
      <c r="D142" s="268">
        <v>0.5</v>
      </c>
      <c r="E142" t="s" s="313">
        <v>2957</v>
      </c>
      <c r="F142" s="271"/>
    </row>
    <row r="143" x14ac:dyDescent="0.2" ht="39.5" customHeight="1">
      <c r="A143" t="s" s="265">
        <v>2170</v>
      </c>
      <c r="B143" t="s" s="266">
        <v>1041</v>
      </c>
      <c r="C143" t="s" s="265">
        <v>571</v>
      </c>
      <c r="D143" s="209">
        <f>F_gap_sched/3600/n_hs_gas</f>
        <v>9.987231025874e-05</v>
      </c>
      <c r="E143" t="s" s="306">
        <v>2171</v>
      </c>
      <c r="F143" s="271"/>
    </row>
    <row r="144" x14ac:dyDescent="0.2" ht="39.5" customHeight="1">
      <c r="A144" t="s" s="265">
        <v>1042</v>
      </c>
      <c r="B144" t="s" s="266">
        <v>1043</v>
      </c>
      <c r="C144" t="s" s="265">
        <v>61</v>
      </c>
      <c r="D144" s="196">
        <f>IF(k_vent&gt;0,1/k_vent/60,"none between pulses")</f>
        <v>166.87975499403</v>
      </c>
      <c r="E144" t="s" s="306">
        <v>2172</v>
      </c>
      <c r="F144" s="271"/>
    </row>
    <row r="145" x14ac:dyDescent="0.2" ht="27" customHeight="1">
      <c r="A145" t="s" s="265">
        <v>1017</v>
      </c>
      <c r="B145" t="s" s="266">
        <v>1018</v>
      </c>
      <c r="C145" t="s" s="265">
        <v>401</v>
      </c>
      <c r="D145" s="212">
        <f>hs_H_CO2*P_dry</f>
        <v>28.055709362261</v>
      </c>
      <c r="E145" t="s" s="306">
        <v>2173</v>
      </c>
      <c r="F145" s="271"/>
    </row>
    <row r="146" x14ac:dyDescent="0.2">
      <c r="A146" t="s" s="265">
        <v>1019</v>
      </c>
      <c r="B146" t="s" s="266">
        <v>1020</v>
      </c>
      <c r="C146" t="s" s="265">
        <v>401</v>
      </c>
      <c r="D146" s="210">
        <f>hs_H_CO2*pCO2_air</f>
        <v>0.011558836641</v>
      </c>
      <c r="E146" t="s" s="306">
        <v>1044</v>
      </c>
      <c r="F146" s="271"/>
    </row>
    <row r="147" x14ac:dyDescent="0.2">
      <c r="A147" t="s" s="265">
        <v>1045</v>
      </c>
      <c r="B147" t="s" s="266">
        <v>1021</v>
      </c>
      <c r="C147" t="s" s="265">
        <v>108</v>
      </c>
      <c r="D147" s="199">
        <f>SQRT(D_CO2/D_O2)</f>
        <v>0.984133227229</v>
      </c>
      <c r="E147" t="s" s="306">
        <v>1046</v>
      </c>
      <c r="F147" s="271"/>
    </row>
    <row r="148" x14ac:dyDescent="0.2" ht="39.5" customHeight="1">
      <c r="A148" t="s" s="265">
        <v>1047</v>
      </c>
      <c r="B148" t="s" s="266">
        <v>1022</v>
      </c>
      <c r="C148" t="s" s="265">
        <v>571</v>
      </c>
      <c r="D148" s="209">
        <f>kLa_surf_used*sqrtD_CO2</f>
        <v>0.00751930682</v>
      </c>
      <c r="E148" t="s" s="306">
        <v>2174</v>
      </c>
      <c r="F148" s="271"/>
    </row>
    <row r="149" x14ac:dyDescent="0.2">
      <c r="A149" t="s" s="265">
        <v>1048</v>
      </c>
      <c r="B149" t="s" s="266">
        <v>1049</v>
      </c>
      <c r="C149" t="s" s="265">
        <v>61</v>
      </c>
      <c r="D149" s="198">
        <f>1/kLa_CO2_off/60</f>
        <v>2.216516371146</v>
      </c>
      <c r="E149" t="s" s="306">
        <v>1050</v>
      </c>
      <c r="F149" s="271"/>
    </row>
    <row r="150" x14ac:dyDescent="0.2" ht="27" customHeight="1">
      <c r="A150" t="s" s="265">
        <v>1051</v>
      </c>
      <c r="B150" t="s" s="266">
        <v>1052</v>
      </c>
      <c r="C150" t="s" s="265">
        <v>722</v>
      </c>
      <c r="D150" s="209">
        <f>P_dry*headspace_V_m3/(R_gas*T_K)</f>
        <v>0.0001006282146096</v>
      </c>
      <c r="E150" t="s" s="313">
        <v>2958</v>
      </c>
      <c r="F150" s="271"/>
    </row>
    <row r="151" x14ac:dyDescent="0.2">
      <c r="A151" t="s" s="265">
        <v>1023</v>
      </c>
      <c r="B151" t="s" s="266">
        <v>1024</v>
      </c>
      <c r="C151" t="s" s="265">
        <v>12</v>
      </c>
      <c r="D151" s="199">
        <f>spg_dur</f>
        <v>0.65</v>
      </c>
      <c r="E151" t="s" s="306">
        <v>1053</v>
      </c>
      <c r="F151" s="271"/>
    </row>
    <row r="152" x14ac:dyDescent="0.2">
      <c r="A152" t="s" s="265">
        <v>1025</v>
      </c>
      <c r="B152" t="s" s="266">
        <v>1026</v>
      </c>
      <c r="C152" t="s" s="265">
        <v>12</v>
      </c>
      <c r="D152" s="196">
        <f>MAX(0,spg_int*60-spg_dur)</f>
        <v>423.55</v>
      </c>
      <c r="E152" t="s" s="306">
        <v>1054</v>
      </c>
      <c r="F152" s="271"/>
    </row>
    <row r="153" x14ac:dyDescent="0.2">
      <c r="A153" s="281"/>
      <c r="B153" s="290"/>
      <c r="C153" s="267"/>
      <c r="D153" s="326"/>
      <c r="E153" s="276"/>
      <c r="F153" s="271"/>
    </row>
    <row r="154" x14ac:dyDescent="0.2" hidden="1">
      <c r="A154" s="281"/>
      <c r="B154" s="290"/>
      <c r="C154" s="267"/>
      <c r="D154" s="326"/>
      <c r="E154" s="276"/>
      <c r="F154" s="271"/>
    </row>
    <row r="155" x14ac:dyDescent="0.2" hidden="1">
      <c r="A155" s="281"/>
      <c r="B155" s="290"/>
      <c r="C155" s="267"/>
      <c r="D155" s="326"/>
      <c r="E155" s="276"/>
      <c r="F155" s="271"/>
    </row>
    <row r="156" x14ac:dyDescent="0.2" hidden="1">
      <c r="A156" s="281"/>
      <c r="B156" s="290"/>
      <c r="C156" s="267"/>
      <c r="D156" s="326"/>
      <c r="E156" s="276"/>
      <c r="F156" s="271"/>
    </row>
    <row r="157" x14ac:dyDescent="0.2" hidden="1">
      <c r="A157" s="281"/>
      <c r="B157" s="290"/>
      <c r="C157" s="267"/>
      <c r="D157" s="326"/>
      <c r="E157" s="276"/>
      <c r="F157" s="271"/>
    </row>
    <row r="158" x14ac:dyDescent="0.2" hidden="1">
      <c r="A158" s="281"/>
      <c r="B158" s="290"/>
      <c r="C158" s="267"/>
      <c r="D158" s="326"/>
      <c r="E158" s="276"/>
      <c r="F158" s="271"/>
    </row>
    <row r="159" x14ac:dyDescent="0.2" hidden="1">
      <c r="A159" s="281"/>
      <c r="B159" s="290"/>
      <c r="C159" s="267"/>
      <c r="D159" s="326"/>
      <c r="E159" s="276"/>
      <c r="F159" s="271"/>
    </row>
    <row r="160" x14ac:dyDescent="0.2" hidden="1">
      <c r="A160" s="281"/>
      <c r="B160" s="290"/>
      <c r="C160" s="267"/>
      <c r="D160" s="326"/>
      <c r="E160" s="276"/>
      <c r="F160" s="271"/>
    </row>
    <row r="161" x14ac:dyDescent="0.2" hidden="1">
      <c r="A161" s="281"/>
      <c r="B161" s="290"/>
      <c r="C161" s="267"/>
      <c r="D161" s="326"/>
      <c r="E161" s="276"/>
      <c r="F161" s="271"/>
    </row>
    <row r="162" x14ac:dyDescent="0.2" ht="39.5" customHeight="1">
      <c r="A162" t="s" s="265">
        <v>1027</v>
      </c>
      <c r="B162" t="s" s="266">
        <v>1028</v>
      </c>
      <c r="C162" t="s" s="265">
        <v>424</v>
      </c>
      <c r="D162" s="210">
        <f>MIN(C_sat_CO2,MAX(C_air_CO2,CO2_cyc_avg_new))/1000</f>
        <v>0.025595318383</v>
      </c>
      <c r="E162" t="s" s="306">
        <v>1625</v>
      </c>
      <c r="F162" s="271"/>
    </row>
    <row r="163" x14ac:dyDescent="0.2" ht="39.5" customHeight="1">
      <c r="A163" t="s" s="265">
        <v>1055</v>
      </c>
      <c r="B163" t="s" s="266">
        <v>1056</v>
      </c>
      <c r="C163" t="s" s="265">
        <v>108</v>
      </c>
      <c r="D163" s="201" t="str">
        <f>IF(ISTEXT(tau_hs),"no vent turnover between pulses (OK)",IF(tau_hs&gt;=tau_surf_floor,"vent turnover slower than the surface (OK)","WARNING: the vent turns the headspace over faster than the surface relaxes the liquid"))</f>
        <v>vent turnover slower than the surface (OK)</v>
      </c>
      <c r="E163" t="s" s="306">
        <v>2175</v>
      </c>
      <c r="F163" s="271"/>
    </row>
    <row r="164" x14ac:dyDescent="0.2">
      <c r="A164" t="s" s="265">
        <v>1029</v>
      </c>
      <c r="B164" t="s" s="266">
        <v>1030</v>
      </c>
      <c r="C164" t="s" s="265">
        <v>108</v>
      </c>
      <c r="D164" s="201" t="str">
        <f>IF(spg_int*60&gt;=spg_dur,"OK","INVALID: interval &lt; pulse")</f>
        <v>OK</v>
      </c>
      <c r="E164" t="s" s="306">
        <v>1057</v>
      </c>
      <c r="F164" s="271"/>
    </row>
    <row r="166" x14ac:dyDescent="0.2">
      <c r="A166" t="s" s="278">
        <v>2176</v>
      </c>
      <c r="B166" s="278"/>
      <c r="C166" s="278"/>
      <c r="D166" s="278"/>
      <c r="E166" s="278"/>
    </row>
    <row r="167" x14ac:dyDescent="0.2" ht="27" customHeight="1">
      <c r="A167" t="s" s="265">
        <v>1547</v>
      </c>
      <c r="B167" t="s" s="266">
        <v>1548</v>
      </c>
      <c r="C167" t="s" s="265">
        <v>499</v>
      </c>
      <c r="D167" s="268">
        <v>7.5889999999999999E-2</v>
      </c>
      <c r="E167" t="s" s="303">
        <v>1549</v>
      </c>
    </row>
    <row r="168" x14ac:dyDescent="0.2">
      <c r="A168" t="s" s="265">
        <v>1550</v>
      </c>
      <c r="B168" t="s" s="266">
        <v>1551</v>
      </c>
      <c r="C168" t="s" s="265">
        <v>1552</v>
      </c>
      <c r="D168" s="268">
        <v>-1.5699999999999999E-4</v>
      </c>
      <c r="E168" t="s" s="303">
        <v>1553</v>
      </c>
    </row>
    <row r="169" x14ac:dyDescent="0.2" ht="27" customHeight="1">
      <c r="A169" t="s" s="265">
        <v>1554</v>
      </c>
      <c r="B169" t="s" s="266">
        <v>1555</v>
      </c>
      <c r="C169" t="s" s="265">
        <v>502</v>
      </c>
      <c r="D169" s="268">
        <v>1003.33</v>
      </c>
      <c r="E169" t="s" s="303">
        <v>1556</v>
      </c>
    </row>
    <row r="170" x14ac:dyDescent="0.2">
      <c r="A170" t="s" s="265">
        <v>1557</v>
      </c>
      <c r="B170" t="s" s="266">
        <v>1558</v>
      </c>
      <c r="C170" t="s" s="265">
        <v>1559</v>
      </c>
      <c r="D170" s="268">
        <v>-0.25559999999999999</v>
      </c>
      <c r="E170" t="s" s="303">
        <v>1553</v>
      </c>
    </row>
    <row r="171" x14ac:dyDescent="0.2" ht="27" customHeight="1">
      <c r="A171" t="s" s="265">
        <v>1560</v>
      </c>
      <c r="B171" t="s" s="266">
        <v>1561</v>
      </c>
      <c r="C171" t="s" s="265">
        <v>1116</v>
      </c>
      <c r="D171" s="268">
        <v>-4.41</v>
      </c>
      <c r="E171" t="s" s="303">
        <v>2177</v>
      </c>
    </row>
    <row r="172" x14ac:dyDescent="0.2">
      <c r="A172" t="s" s="265">
        <v>1562</v>
      </c>
      <c r="B172" t="s" s="266">
        <v>1563</v>
      </c>
      <c r="C172" t="s" s="265">
        <v>749</v>
      </c>
      <c r="D172" s="268">
        <v>773.8</v>
      </c>
      <c r="E172" t="s" s="303">
        <v>1553</v>
      </c>
    </row>
    <row r="173" x14ac:dyDescent="0.2">
      <c r="A173" t="s" s="265">
        <v>1564</v>
      </c>
      <c r="B173" t="s" s="266">
        <v>1565</v>
      </c>
      <c r="C173" t="s" s="265">
        <v>749</v>
      </c>
      <c r="D173" s="268">
        <v>506.4</v>
      </c>
      <c r="E173" t="s" s="303">
        <v>1553</v>
      </c>
    </row>
    <row r="174" x14ac:dyDescent="0.2">
      <c r="A174" t="s" s="265">
        <v>1566</v>
      </c>
      <c r="B174" t="s" s="266">
        <v>1567</v>
      </c>
      <c r="C174" t="s" s="265">
        <v>509</v>
      </c>
      <c r="D174" s="268">
        <v>1.92E-9</v>
      </c>
      <c r="E174" t="s" s="306">
        <v>1568</v>
      </c>
    </row>
    <row r="175" x14ac:dyDescent="0.2" ht="27" customHeight="1">
      <c r="A175" t="s" s="265">
        <v>1569</v>
      </c>
      <c r="B175" t="s" s="266">
        <v>1570</v>
      </c>
      <c r="C175" t="s" s="265">
        <v>1571</v>
      </c>
      <c r="D175" s="268">
        <v>19000</v>
      </c>
      <c r="E175" t="s" s="306">
        <v>1572</v>
      </c>
    </row>
    <row r="177" x14ac:dyDescent="0.2">
      <c r="A177" t="s" s="278">
        <v>2178</v>
      </c>
      <c r="B177" s="278"/>
      <c r="C177" s="278"/>
      <c r="D177" s="278"/>
      <c r="E177" s="278"/>
    </row>
    <row r="178" x14ac:dyDescent="0.2" ht="27" customHeight="1">
      <c r="A178" t="s" s="265">
        <v>1575</v>
      </c>
      <c r="B178" t="s" s="266">
        <v>1576</v>
      </c>
      <c r="C178" t="s" s="265">
        <v>888</v>
      </c>
      <c r="D178" s="199">
        <f>nCO2_rate*3600</f>
        <v>0.481916270304</v>
      </c>
      <c r="E178" t="s" s="303">
        <v>1577</v>
      </c>
    </row>
    <row r="179" x14ac:dyDescent="0.2" ht="52" customHeight="1">
      <c r="A179" t="s" s="265">
        <v>1578</v>
      </c>
      <c r="B179" t="s" s="266">
        <v>1579</v>
      </c>
      <c r="C179" t="s" s="265">
        <v>896</v>
      </c>
      <c r="D179" s="210">
        <f>IF(ISNUMBER(DO_opt),MIN(DO_opt/M_O2,O2_ceil_org),target_DO_frac*O2_ceil_org)</f>
        <v>0.071159265207</v>
      </c>
      <c r="E179" t="s" s="303">
        <v>2179</v>
      </c>
    </row>
    <row r="180" x14ac:dyDescent="0.2" ht="77" customHeight="1">
      <c r="A180" t="s" s="265">
        <v>1580</v>
      </c>
      <c r="B180" t="s" s="266">
        <v>1581</v>
      </c>
      <c r="C180" t="s" s="265">
        <v>896</v>
      </c>
      <c r="D180" s="210">
        <f>O2_src_sched/(kLa_surf_used*3600*(V_charge/1000000))</f>
        <v>0.041338198902</v>
      </c>
      <c r="E180" t="s" s="306">
        <v>2180</v>
      </c>
    </row>
    <row r="181" x14ac:dyDescent="0.2" ht="27" customHeight="1">
      <c r="A181" t="s" s="265">
        <v>1582</v>
      </c>
      <c r="B181" t="s" s="266">
        <v>1583</v>
      </c>
      <c r="C181" t="s" s="265">
        <v>896</v>
      </c>
      <c r="D181" s="199">
        <f>O2_src_l/(kLa_surf_used*3600*(V_charge/1000000))</f>
        <v>0.117274721522</v>
      </c>
      <c r="E181" t="s" s="306">
        <v>2181</v>
      </c>
    </row>
    <row r="182" x14ac:dyDescent="0.2" ht="52" customHeight="1">
      <c r="A182" t="s" s="265">
        <v>1584</v>
      </c>
      <c r="B182" t="s" s="266">
        <v>1585</v>
      </c>
      <c r="C182" t="s" s="265">
        <v>896</v>
      </c>
      <c r="D182" s="210">
        <f>DO_target-DO_surf_excess</f>
        <v>0.029821066305</v>
      </c>
      <c r="E182" t="s" s="306">
        <v>1586</v>
      </c>
    </row>
    <row r="183" x14ac:dyDescent="0.2" ht="27" customHeight="1">
      <c r="A183" t="s" s="265">
        <v>1587</v>
      </c>
      <c r="B183" t="s" s="266">
        <v>1588</v>
      </c>
      <c r="C183" t="s" s="265">
        <v>1116</v>
      </c>
      <c r="D183" s="210">
        <f>IF(hs_O2_allow&gt;0,hs_O2_allow/(H_O2_T*P_dry),NA())</f>
        <v>0.029664563955</v>
      </c>
      <c r="E183" t="s" s="306">
        <v>1589</v>
      </c>
    </row>
    <row r="184" x14ac:dyDescent="0.2" ht="77" customHeight="1">
      <c r="A184" t="s" s="265">
        <v>1590</v>
      </c>
      <c r="B184" t="s" s="266">
        <v>1591</v>
      </c>
      <c r="C184" t="s" s="265">
        <v>1116</v>
      </c>
      <c r="D184" s="209">
        <f>IF(ISNUMBER(y_O2_star),MAX(0,((O2_src_sched+y_O2_air*F_vent_ex)*saw_factor/y_O2_star-F_dil-O2_src_sched-H2_src_sched+CO2_fix_sched)/CO2_rate_full),NA())</f>
        <v>0.001792721791</v>
      </c>
      <c r="E184" t="s" s="306">
        <v>2182</v>
      </c>
    </row>
    <row r="185" x14ac:dyDescent="0.2" ht="39.5" customHeight="1">
      <c r="A185" t="s" s="265">
        <v>1592</v>
      </c>
      <c r="B185" t="s" s="266">
        <v>1593</v>
      </c>
      <c r="C185" t="s" s="265">
        <v>860</v>
      </c>
      <c r="D185" s="198">
        <f>IF(ISNUMBER(duty_DO),IF(duty_DO&gt;0,spg_dur_eq_opt/(60*duty_DO),spg_int_carbon),NA())</f>
        <v>7.293500622657</v>
      </c>
      <c r="E185" t="s" s="306">
        <v>1594</v>
      </c>
    </row>
    <row r="186" x14ac:dyDescent="0.2" ht="64.5" customHeight="1">
      <c r="A186" t="s" s="265">
        <v>1595</v>
      </c>
      <c r="B186" t="s" s="266">
        <v>1596</v>
      </c>
      <c r="C186" t="s" s="265">
        <v>571</v>
      </c>
      <c r="D186" s="209">
        <f>O2_src_sched/(DO_target*3600*(V_charge/1000000))</f>
        <v>0.004438579539</v>
      </c>
      <c r="E186" t="inlineStr" s="306">
        <is>
          <t>The surface kLa below which the DO target is unreachable at any sparge interval, on the sizing-phase source. Both phases: kLa_surf_req_g / kLa_surf_req_l and their margins in §300 (Summary rows 100–49). The ratio to kLa_surf_used is the whole safety margin of the DO strategy, and it rests on a coefficient nobody has measured yet.</t>
        </is>
      </c>
    </row>
    <row r="187" x14ac:dyDescent="0.2" ht="52" customHeight="1">
      <c r="A187" t="s" s="265">
        <v>1597</v>
      </c>
      <c r="B187" t="s" s="266">
        <v>1598</v>
      </c>
      <c r="C187" t="s" s="265">
        <v>1116</v>
      </c>
      <c r="D187" s="210">
        <f>IF(O2_sizing_phase=phase_name_1,y_O2_mf_g,IF(O2_sizing_phase=phase_name_2,y_O2_mf_l,NA()))</f>
        <v>0.027367364576</v>
      </c>
      <c r="E187" t="s" s="306">
        <v>2183</v>
      </c>
    </row>
    <row r="188" x14ac:dyDescent="0.2" ht="52" customHeight="1">
      <c r="A188" t="s" s="265">
        <v>1599</v>
      </c>
      <c r="B188" t="s" s="266">
        <v>1600</v>
      </c>
      <c r="C188" t="s" s="265">
        <v>896</v>
      </c>
      <c r="D188" s="210">
        <f>IF(ISNUMBER(y_O2_actual),H_O2_T*y_O2_actual*P_dry,NA())</f>
        <v>0.027511747512</v>
      </c>
      <c r="E188" t="s" s="306">
        <v>2184</v>
      </c>
    </row>
    <row r="190" x14ac:dyDescent="0.2">
      <c r="A190" t="s" s="278">
        <v>2185</v>
      </c>
      <c r="B190" s="278"/>
      <c r="C190" s="278"/>
      <c r="D190" s="278"/>
      <c r="E190" s="278"/>
    </row>
    <row r="191" x14ac:dyDescent="0.2">
      <c r="A191" t="s" s="265">
        <v>1603</v>
      </c>
      <c r="B191" t="s" s="266">
        <v>1604</v>
      </c>
      <c r="C191" t="s" s="265">
        <v>382</v>
      </c>
      <c r="D191" s="209">
        <f>Biology!H_CO2_T</f>
        <v>0.0002889709160252</v>
      </c>
      <c r="E191" t="s" s="306">
        <v>1605</v>
      </c>
    </row>
    <row r="192" x14ac:dyDescent="0.2" ht="39.5" customHeight="1">
      <c r="A192" t="s" s="265">
        <v>1606</v>
      </c>
      <c r="B192" t="s" s="266">
        <v>1607</v>
      </c>
      <c r="C192" t="s" s="265">
        <v>1035</v>
      </c>
      <c r="D192" s="209">
        <f>headspace_V_m3/(hs_H_CO2*R_gas*T_K)</f>
        <v>3.586728580277e-06</v>
      </c>
      <c r="E192" t="s" s="303">
        <v>1608</v>
      </c>
    </row>
    <row r="193" x14ac:dyDescent="0.2" ht="27" customHeight="1">
      <c r="A193" t="s" s="265">
        <v>1609</v>
      </c>
      <c r="B193" t="s" s="266">
        <v>1610</v>
      </c>
      <c r="C193" t="s" s="265">
        <v>1116</v>
      </c>
      <c r="D193" s="199">
        <f>V_L_CO2/(V_L_CO2+Vg_CO2)</f>
        <v>0.854605382181</v>
      </c>
      <c r="E193" t="s" s="303">
        <v>2186</v>
      </c>
    </row>
    <row r="194" x14ac:dyDescent="0.2" ht="64.5" customHeight="1">
      <c r="A194" t="s" s="265">
        <v>2187</v>
      </c>
      <c r="B194" t="s" s="266">
        <v>1611</v>
      </c>
      <c r="C194" t="s" s="265">
        <v>896</v>
      </c>
      <c r="D194" s="198">
        <f>C_sat_CO2*(1-pool_a)*(1-flush_ret)</f>
        <v>2.595993924837</v>
      </c>
      <c r="E194" t="s" s="303">
        <v>2188</v>
      </c>
    </row>
    <row r="195" x14ac:dyDescent="0.2" ht="52" customHeight="1">
      <c r="A195" t="s" s="265">
        <v>1612</v>
      </c>
      <c r="B195" t="s" s="266">
        <v>1613</v>
      </c>
      <c r="C195" t="s" s="265">
        <v>571</v>
      </c>
      <c r="D195" s="209">
        <f>k_vent*Vg_CO2/(V_L_CO2+Vg_CO2)</f>
        <v>1.452089638081e-05</v>
      </c>
      <c r="E195" t="s" s="303">
        <v>2189</v>
      </c>
    </row>
    <row r="196" x14ac:dyDescent="0.2" ht="52" customHeight="1">
      <c r="A196" t="s" s="265">
        <v>1614</v>
      </c>
      <c r="B196" t="s" s="266">
        <v>1615</v>
      </c>
      <c r="C196" t="s" s="265">
        <v>87</v>
      </c>
      <c r="D196" s="196">
        <f>IF(k_vent&gt;0,(kLa_CO2_off*V_L_m3/Vg_CO2)/k_vent,"no turnover between pulses")</f>
        <v>314.865774372625</v>
      </c>
      <c r="E196" t="s" s="306">
        <v>2190</v>
      </c>
    </row>
    <row r="197" x14ac:dyDescent="0.2">
      <c r="A197" t="s" s="265">
        <v>1616</v>
      </c>
      <c r="B197" t="s" s="266">
        <v>1617</v>
      </c>
      <c r="C197" t="s" s="265">
        <v>1116</v>
      </c>
      <c r="D197" s="199">
        <f>EXP(-k_eff_CO2*t_off_CO2)</f>
        <v>0.993868548876</v>
      </c>
      <c r="E197" t="s" s="303">
        <v>1618</v>
      </c>
    </row>
    <row r="198" x14ac:dyDescent="0.2" ht="52" customHeight="1">
      <c r="A198" t="s" s="265">
        <v>1619</v>
      </c>
      <c r="B198" t="s" s="266">
        <v>1620</v>
      </c>
      <c r="C198" t="s" s="265">
        <v>896</v>
      </c>
      <c r="D198" s="212">
        <f>(pool_D_gap+pool_b*pool_e)/(1-pool_ret*pool_e)</f>
        <v>25.476094895404</v>
      </c>
      <c r="E198" t="s" s="303">
        <v>2191</v>
      </c>
    </row>
    <row r="199" x14ac:dyDescent="0.2" ht="27" customHeight="1">
      <c r="A199" t="s" s="265">
        <v>1621</v>
      </c>
      <c r="B199" t="s" s="266">
        <v>1622</v>
      </c>
      <c r="C199" t="s" s="265">
        <v>896</v>
      </c>
      <c r="D199" s="212">
        <f>pool_ret*C_cycle_start+pool_b</f>
        <v>25.714786542723</v>
      </c>
      <c r="E199" t="s" s="303">
        <v>2192</v>
      </c>
    </row>
    <row r="200" x14ac:dyDescent="0.2" ht="39.5" customHeight="1">
      <c r="A200" t="s" s="265">
        <v>1623</v>
      </c>
      <c r="B200" t="s" s="266">
        <v>1624</v>
      </c>
      <c r="C200" t="s" s="265">
        <v>896</v>
      </c>
      <c r="D200" s="212">
        <f>C_cycle_peak*pool_phi+pool_D_raw*pool_psi</f>
        <v>25.595318383194</v>
      </c>
      <c r="E200" t="s" s="303">
        <v>2193</v>
      </c>
    </row>
    <row r="202" x14ac:dyDescent="0.2">
      <c r="A202" t="s" s="278">
        <v>1656</v>
      </c>
      <c r="B202" s="278"/>
      <c r="C202" s="278"/>
      <c r="D202" s="278"/>
      <c r="E202" s="278"/>
    </row>
    <row r="203" x14ac:dyDescent="0.2" ht="27" customHeight="1">
      <c r="A203" t="s" s="265">
        <v>1657</v>
      </c>
      <c r="B203" t="s" s="266">
        <v>1658</v>
      </c>
      <c r="C203" t="s" s="265">
        <v>57</v>
      </c>
      <c r="D203" s="268">
        <v>610.94000000000005</v>
      </c>
      <c r="E203" t="s" s="303">
        <v>1659</v>
      </c>
    </row>
    <row r="204" x14ac:dyDescent="0.2">
      <c r="A204" t="s" s="265">
        <v>1660</v>
      </c>
      <c r="B204" t="s" s="266">
        <v>1661</v>
      </c>
      <c r="C204" t="s" s="265">
        <v>1116</v>
      </c>
      <c r="D204" s="268">
        <v>17.625</v>
      </c>
      <c r="E204" t="s" s="303">
        <v>1553</v>
      </c>
    </row>
    <row r="205" x14ac:dyDescent="0.2">
      <c r="A205" t="s" s="265">
        <v>1662</v>
      </c>
      <c r="B205" t="s" s="266">
        <v>1663</v>
      </c>
      <c r="C205" t="s" s="265">
        <v>48</v>
      </c>
      <c r="D205" s="268">
        <v>243.04</v>
      </c>
      <c r="E205" t="s" s="303">
        <v>1553</v>
      </c>
    </row>
    <row r="206" x14ac:dyDescent="0.2" ht="39.5" customHeight="1">
      <c r="A206" t="s" s="265">
        <v>1664</v>
      </c>
      <c r="B206" t="s" s="266">
        <v>1665</v>
      </c>
      <c r="C206" t="s" s="265">
        <v>57</v>
      </c>
      <c r="D206" s="222">
        <f>pw_A*EXP(pw_B*(T_K-T_zero_C)/((T_K-T_zero_C)+pw_C))</f>
        <v>4236.650251295475</v>
      </c>
      <c r="E206" t="s" s="303">
        <v>2194</v>
      </c>
    </row>
    <row r="208" x14ac:dyDescent="0.2">
      <c r="A208" t="s" s="278">
        <v>1907</v>
      </c>
      <c r="B208" s="278"/>
      <c r="C208" s="278"/>
      <c r="D208" s="278"/>
      <c r="E208" s="278"/>
    </row>
    <row r="209" x14ac:dyDescent="0.2">
      <c r="A209" t="s" s="265">
        <v>1908</v>
      </c>
      <c r="B209" t="s" s="266">
        <v>388</v>
      </c>
      <c r="C209" t="s" s="265">
        <v>259</v>
      </c>
      <c r="D209" s="196">
        <f>Biology!T_ref</f>
        <v>298.15</v>
      </c>
      <c r="E209" t="s" s="310">
        <v>1909</v>
      </c>
    </row>
    <row r="210" x14ac:dyDescent="0.2">
      <c r="A210" t="s" s="265">
        <v>2195</v>
      </c>
      <c r="B210" t="s" s="266">
        <v>2039</v>
      </c>
      <c r="C210" t="s" s="265">
        <v>259</v>
      </c>
      <c r="D210" s="196">
        <f>Biology!T_zero_C</f>
        <v>273.15</v>
      </c>
      <c r="E210" t="s" s="310">
        <v>2196</v>
      </c>
    </row>
    <row r="211" x14ac:dyDescent="0.2" ht="27" customHeight="1">
      <c r="A211" t="s" s="265">
        <v>2197</v>
      </c>
      <c r="B211" t="s" s="266">
        <v>2198</v>
      </c>
      <c r="C211" t="s" s="265">
        <v>531</v>
      </c>
      <c r="D211" s="268">
        <v>1E-3</v>
      </c>
      <c r="E211" t="s" s="306">
        <v>2199</v>
      </c>
    </row>
    <row r="212" x14ac:dyDescent="0.2">
      <c r="A212" t="s" s="265">
        <v>2200</v>
      </c>
      <c r="B212" t="s" s="266">
        <v>2201</v>
      </c>
      <c r="C212" t="s" s="265">
        <v>108</v>
      </c>
      <c r="D212" s="268">
        <v>2</v>
      </c>
      <c r="E212" t="s" s="306">
        <v>2202</v>
      </c>
    </row>
    <row r="213" x14ac:dyDescent="0.2" ht="27" customHeight="1">
      <c r="A213" t="s" s="265">
        <v>2203</v>
      </c>
      <c r="B213" t="s" s="266">
        <v>2204</v>
      </c>
      <c r="C213" t="s" s="265">
        <v>61</v>
      </c>
      <c r="D213" s="268">
        <v>9999</v>
      </c>
      <c r="E213" t="s" s="303">
        <v>2205</v>
      </c>
    </row>
    <row r="214" x14ac:dyDescent="0.2">
      <c r="A214" t="s" s="265">
        <v>2206</v>
      </c>
      <c r="B214" t="s" s="266">
        <v>2207</v>
      </c>
      <c r="C214" t="s" s="265">
        <v>12</v>
      </c>
      <c r="D214" s="268">
        <v>5</v>
      </c>
      <c r="E214" t="s" s="305">
        <v>2208</v>
      </c>
    </row>
    <row r="216" x14ac:dyDescent="0.2">
      <c r="A216" t="s" s="265">
        <v>2209</v>
      </c>
      <c r="B216" t="s" s="266">
        <v>2210</v>
      </c>
      <c r="C216" t="s" s="265">
        <v>85</v>
      </c>
      <c r="D216" s="268">
        <v>1.5</v>
      </c>
      <c r="E216" t="s" s="314">
        <v>2211</v>
      </c>
    </row>
    <row r="218" hidden="1"/>
    <row r="219" hidden="1"/>
    <row r="220" hidden="1"/>
    <row r="221" hidden="1"/>
    <row r="222" hidden="1"/>
    <row r="223" hidden="1"/>
    <row r="224" hidden="1"/>
    <row r="225" hidden="1"/>
    <row r="226" hidden="1"/>
    <row r="227" hidden="1"/>
    <row r="228" hidden="1"/>
    <row r="229" hidden="1"/>
    <row r="230" x14ac:dyDescent="0.2">
      <c r="A230" t="s" s="278">
        <v>2212</v>
      </c>
      <c r="B230" s="278"/>
      <c r="C230" s="278"/>
      <c r="D230" s="278"/>
      <c r="E230" s="278"/>
    </row>
    <row r="231" x14ac:dyDescent="0.2">
      <c r="A231" t="s" s="265">
        <v>2213</v>
      </c>
      <c r="B231" t="s" s="266">
        <v>2214</v>
      </c>
      <c r="C231" t="s" s="265">
        <v>686</v>
      </c>
      <c r="D231" s="268">
        <v>31.998000000000001</v>
      </c>
      <c r="E231" t="s" s="303">
        <v>2215</v>
      </c>
    </row>
    <row r="232" x14ac:dyDescent="0.2" ht="114.5" customHeight="1">
      <c r="A232" t="s" s="265">
        <v>2216</v>
      </c>
      <c r="B232" t="s" s="266">
        <v>2217</v>
      </c>
      <c r="C232" t="s" s="265">
        <v>401</v>
      </c>
      <c r="D232" s="199">
        <f>IF(F_dil+CO2_rate_full*duty_carbon+O2_src_sched+H2_src_sched-CO2_fix_sched&gt;0,DO_surf_excess+H_O2_T*P_dry*MIN(1,saw_factor*(O2_src_sched+y_O2_air*F_vent_ex)/(F_dil+CO2_rate_full*duty_carbon+O2_src_sched+H2_src_sched-CO2_fix_sched)),DO_surf_excess+H_O2_T*P_dry)</f>
        <v>0.423214741433</v>
      </c>
      <c r="E232" t="s" s="303">
        <v>2218</v>
      </c>
    </row>
    <row r="234" hidden="1"/>
    <row r="235" hidden="1"/>
    <row r="236" hidden="1"/>
    <row r="237" hidden="1"/>
    <row r="238" hidden="1"/>
    <row r="239" hidden="1"/>
    <row r="240" x14ac:dyDescent="0.2">
      <c r="A240" t="s" s="278">
        <v>2219</v>
      </c>
      <c r="B240" s="278"/>
      <c r="C240" s="278"/>
      <c r="D240" s="278"/>
      <c r="E240" s="278"/>
    </row>
    <row r="241" x14ac:dyDescent="0.2">
      <c r="A241" t="s" s="265">
        <v>2960</v>
      </c>
      <c r="B241" t="s" s="266">
        <v>2220</v>
      </c>
      <c r="C241" t="s" s="265">
        <v>12</v>
      </c>
      <c r="D241" s="210">
        <f>Summary!pulse_res_set</f>
        <v>0.05</v>
      </c>
      <c r="E241" t="s" s="310">
        <v>2961</v>
      </c>
    </row>
    <row r="242" x14ac:dyDescent="0.2" ht="39.5" customHeight="1">
      <c r="A242" t="s" s="265">
        <v>2221</v>
      </c>
      <c r="B242" t="s" s="266">
        <v>2222</v>
      </c>
      <c r="C242" t="s" s="265">
        <v>12</v>
      </c>
      <c r="D242" s="199">
        <f>MAX(CEILING(pulse_floor,pulse_res),MROUND(spg_dur_opt,pulse_res))</f>
        <v>0.65</v>
      </c>
      <c r="E242" t="inlineStr" s="306">
        <is>
          <t>Pulse as it can actually be commanded: the optimum rounded to the resolution, never below the solenoid floor rounded up to the resolution. Summary D21 shows it.</t>
        </is>
      </c>
    </row>
    <row r="244" hidden="1"/>
    <row r="245" hidden="1"/>
    <row r="246" hidden="1"/>
    <row r="247" hidden="1"/>
    <row r="248" hidden="1"/>
    <row r="249" hidden="1"/>
    <row r="250" hidden="1"/>
    <row r="251" hidden="1"/>
    <row r="252" hidden="1"/>
    <row r="253" hidden="1"/>
    <row r="254" hidden="1"/>
    <row r="255" hidden="1"/>
    <row r="256" hidden="1"/>
    <row r="257" hidden="1"/>
    <row r="258" hidden="1"/>
    <row r="259" hidden="1"/>
    <row r="260" hidden="1"/>
    <row r="261" hidden="1"/>
    <row r="262" hidden="1"/>
    <row r="263" hidden="1"/>
    <row r="264" hidden="1"/>
    <row r="265" hidden="1"/>
    <row r="266" hidden="1"/>
    <row r="267" hidden="1"/>
    <row r="268" hidden="1"/>
    <row r="269" hidden="1"/>
    <row r="270" hidden="1"/>
    <row r="271" hidden="1"/>
    <row r="272" hidden="1"/>
    <row r="273" hidden="1"/>
    <row r="274" hidden="1"/>
    <row r="275" hidden="1"/>
    <row r="276" hidden="1"/>
    <row r="277" hidden="1"/>
    <row r="278" hidden="1"/>
    <row r="279" hidden="1"/>
    <row r="280" hidden="1"/>
    <row r="281" hidden="1"/>
    <row r="282" hidden="1"/>
    <row r="283" hidden="1"/>
    <row r="284" hidden="1"/>
    <row r="285" hidden="1"/>
    <row r="286" hidden="1"/>
    <row r="287" hidden="1"/>
    <row r="288" hidden="1"/>
    <row r="289" hidden="1"/>
    <row r="290" hidden="1"/>
    <row r="291" hidden="1"/>
    <row r="292" hidden="1"/>
    <row r="293" hidden="1"/>
    <row r="294" hidden="1"/>
    <row r="295" hidden="1"/>
    <row r="296" hidden="1"/>
    <row r="297" hidden="1"/>
    <row r="298" hidden="1"/>
    <row r="299" hidden="1"/>
    <row r="300" x14ac:dyDescent="0.2">
      <c r="A300" t="s" s="278">
        <v>2223</v>
      </c>
      <c r="B300" s="278"/>
      <c r="C300" s="278"/>
      <c r="D300" s="278"/>
      <c r="E300" s="278"/>
    </row>
    <row r="301" x14ac:dyDescent="0.2">
      <c r="A301" t="s" s="265">
        <v>2224</v>
      </c>
      <c r="B301" t="s" s="266">
        <v>2225</v>
      </c>
      <c r="C301" t="s" s="265">
        <v>108</v>
      </c>
      <c r="D301" s="277" t="str">
        <f>Summary!vent_model_sel</f>
        <v>Open vent</v>
      </c>
      <c r="E301" t="s" s="310">
        <v>2226</v>
      </c>
    </row>
    <row r="302" x14ac:dyDescent="0.2" ht="52" customHeight="1">
      <c r="A302" t="s" s="265">
        <v>2227</v>
      </c>
      <c r="B302" t="s" s="266">
        <v>2228</v>
      </c>
      <c r="C302" t="s" s="265">
        <v>108</v>
      </c>
      <c r="D302" t="s" s="268">
        <v>2229</v>
      </c>
      <c r="E302" t="s" s="305">
        <v>2230</v>
      </c>
    </row>
    <row r="303" x14ac:dyDescent="0.2" ht="39.5" customHeight="1">
      <c r="A303" t="s" s="265">
        <v>2231</v>
      </c>
      <c r="B303" t="s" s="266">
        <v>2232</v>
      </c>
      <c r="C303" t="s" s="265">
        <v>108</v>
      </c>
      <c r="D303" t="s" s="268">
        <v>2233</v>
      </c>
      <c r="E303" t="s" s="305">
        <v>2234</v>
      </c>
    </row>
    <row r="304" x14ac:dyDescent="0.2">
      <c r="A304" t="s" s="265">
        <v>2235</v>
      </c>
      <c r="B304" t="s" s="266">
        <v>2236</v>
      </c>
      <c r="C304" t="s" s="265">
        <v>108</v>
      </c>
      <c r="D304" s="277" t="str">
        <f>Summary!O2_phase_sel</f>
        <v>Growth</v>
      </c>
      <c r="E304" t="s" s="310">
        <v>2237</v>
      </c>
    </row>
    <row r="305" x14ac:dyDescent="0.2" ht="27" customHeight="1">
      <c r="A305" t="s" s="265">
        <v>2238</v>
      </c>
      <c r="B305" t="s" s="266">
        <v>2239</v>
      </c>
      <c r="C305" t="s" s="265">
        <v>108</v>
      </c>
      <c r="D305" t="s" s="268">
        <v>1739</v>
      </c>
      <c r="E305" t="s" s="305">
        <v>2240</v>
      </c>
    </row>
    <row r="306" x14ac:dyDescent="0.2" ht="27" customHeight="1">
      <c r="A306" t="s" s="265">
        <v>2241</v>
      </c>
      <c r="B306" t="s" s="266">
        <v>2242</v>
      </c>
      <c r="C306" t="s" s="265">
        <v>108</v>
      </c>
      <c r="D306" t="s" s="268">
        <v>2243</v>
      </c>
      <c r="E306" t="s" s="305">
        <v>2244</v>
      </c>
    </row>
    <row r="307" x14ac:dyDescent="0.2">
      <c r="A307" t="s" s="265">
        <v>2245</v>
      </c>
      <c r="B307" t="s" s="266">
        <v>2246</v>
      </c>
      <c r="C307" t="s" s="265">
        <v>108</v>
      </c>
      <c r="D307" s="268">
        <v>0.20949999999999999</v>
      </c>
      <c r="E307" t="s" s="310">
        <v>2247</v>
      </c>
    </row>
    <row r="308" x14ac:dyDescent="0.2" ht="39.5" customHeight="1">
      <c r="A308" t="s" s="265">
        <v>2248</v>
      </c>
      <c r="B308" t="s" s="266">
        <v>2249</v>
      </c>
      <c r="C308" t="s" s="265">
        <v>302</v>
      </c>
      <c r="D308" s="209">
        <f>P_atm*(Q_vent_used/1000000/60)/(R_gas*T_K)*3600</f>
        <v>3.617990017297e-05</v>
      </c>
      <c r="E308" t="s" s="313">
        <v>2963</v>
      </c>
    </row>
    <row r="309" x14ac:dyDescent="0.2" ht="27" customHeight="1">
      <c r="A309" t="s" s="265">
        <v>2250</v>
      </c>
      <c r="B309" t="s" s="266">
        <v>2251</v>
      </c>
      <c r="C309" t="s" s="265">
        <v>302</v>
      </c>
      <c r="D309" s="209">
        <f>O2_excess</f>
        <v>1.705568716332e-05</v>
      </c>
      <c r="E309" t="s" s="306">
        <v>2252</v>
      </c>
    </row>
    <row r="310" x14ac:dyDescent="0.2" ht="52" customHeight="1">
      <c r="A310" t="s" s="265">
        <v>2253</v>
      </c>
      <c r="B310" t="s" s="266">
        <v>2254</v>
      </c>
      <c r="C310" t="s" s="265">
        <v>302</v>
      </c>
      <c r="D310" s="209">
        <f>O2_net_lag_mt</f>
        <v>4.838626296225e-05</v>
      </c>
      <c r="E310" t="s" s="306">
        <v>2255</v>
      </c>
    </row>
    <row r="311" x14ac:dyDescent="0.2">
      <c r="A311" t="s" s="265">
        <v>346</v>
      </c>
      <c r="B311" t="s" s="266">
        <v>301</v>
      </c>
      <c r="C311" t="s" s="265">
        <v>302</v>
      </c>
      <c r="D311" s="209">
        <f>Electrochemistry!rH2_gen</f>
        <v>0.0001023341229799</v>
      </c>
      <c r="E311" t="s" s="310">
        <v>2256</v>
      </c>
    </row>
    <row r="312" x14ac:dyDescent="0.2">
      <c r="A312" t="s" s="265">
        <v>2257</v>
      </c>
      <c r="B312" t="s" s="266">
        <v>360</v>
      </c>
      <c r="C312" t="s" s="265">
        <v>302</v>
      </c>
      <c r="D312" s="209">
        <f>Biology!H2_cons</f>
        <v>0.0001023341229799</v>
      </c>
      <c r="E312" t="s" s="310">
        <v>2258</v>
      </c>
    </row>
    <row r="313" x14ac:dyDescent="0.2" ht="52" customHeight="1">
      <c r="A313" t="s" s="265">
        <v>2259</v>
      </c>
      <c r="B313" t="s" s="266">
        <v>2260</v>
      </c>
      <c r="C313" t="s" s="265">
        <v>302</v>
      </c>
      <c r="D313" s="262">
        <f>MAX(0,rH2_gen-H2_HOR_mt-H2_cons)</f>
        <v>0.0</v>
      </c>
      <c r="E313" t="s" s="306">
        <v>2261</v>
      </c>
    </row>
    <row r="314" x14ac:dyDescent="0.2" ht="39.5" customHeight="1">
      <c r="A314" t="s" s="265">
        <v>2262</v>
      </c>
      <c r="B314" t="s" s="266">
        <v>2263</v>
      </c>
      <c r="C314" t="s" s="265">
        <v>302</v>
      </c>
      <c r="D314" s="209">
        <f>MAX(0,rH2_lag_mt-H2_HOR_mt)</f>
        <v>9.67725259245e-05</v>
      </c>
      <c r="E314" t="s" s="306">
        <v>2264</v>
      </c>
    </row>
    <row r="315" x14ac:dyDescent="0.2" ht="27" customHeight="1">
      <c r="A315" t="s" s="265">
        <v>2265</v>
      </c>
      <c r="B315" t="s" s="266">
        <v>2266</v>
      </c>
      <c r="C315" t="s" s="265">
        <v>302</v>
      </c>
      <c r="D315" s="209">
        <f>CO2_cons</f>
        <v>1.705568716332e-05</v>
      </c>
      <c r="E315" t="s" s="306">
        <v>2267</v>
      </c>
    </row>
    <row r="316" x14ac:dyDescent="0.2">
      <c r="A316" t="s" s="265">
        <v>2268</v>
      </c>
      <c r="B316" t="s" s="266">
        <v>2269</v>
      </c>
      <c r="C316" t="s" s="265">
        <v>302</v>
      </c>
      <c r="D316" s="268">
        <v>0</v>
      </c>
      <c r="E316" t="s" s="310">
        <v>2270</v>
      </c>
    </row>
    <row r="317" x14ac:dyDescent="0.2">
      <c r="A317" t="s" s="265">
        <v>2271</v>
      </c>
      <c r="B317" t="s" s="266">
        <v>2272</v>
      </c>
      <c r="C317" t="s" s="265">
        <v>302</v>
      </c>
      <c r="D317" s="209">
        <f>IF(O2_sizing_phase=phase_name_1,O2_src_g,IF(O2_sizing_phase=phase_name_2,O2_src_l,NA()))</f>
        <v>1.705568716332e-05</v>
      </c>
      <c r="E317" t="s" s="306">
        <v>2273</v>
      </c>
    </row>
    <row r="318" x14ac:dyDescent="0.2">
      <c r="A318" t="s" s="265">
        <v>2274</v>
      </c>
      <c r="B318" t="s" s="266">
        <v>2275</v>
      </c>
      <c r="C318" t="s" s="265">
        <v>302</v>
      </c>
      <c r="D318" s="262">
        <f>IF(O2_sizing_phase=phase_name_1,H2_src_g,IF(O2_sizing_phase=phase_name_2,H2_src_l,NA()))</f>
        <v>0.0</v>
      </c>
      <c r="E318" t="s" s="306">
        <v>2276</v>
      </c>
    </row>
    <row r="319" x14ac:dyDescent="0.2">
      <c r="A319" t="s" s="265">
        <v>2277</v>
      </c>
      <c r="B319" t="s" s="266">
        <v>2278</v>
      </c>
      <c r="C319" t="s" s="265">
        <v>302</v>
      </c>
      <c r="D319" s="209">
        <f>IF(O2_sizing_phase=phase_name_1,CO2_fix_g,IF(O2_sizing_phase=phase_name_2,CO2_fix_l,NA()))</f>
        <v>1.705568716332e-05</v>
      </c>
      <c r="E319" t="s" s="306">
        <v>2279</v>
      </c>
    </row>
    <row r="320" x14ac:dyDescent="0.2" ht="52" customHeight="1">
      <c r="A320" t="s" s="265">
        <v>2964</v>
      </c>
      <c r="B320" t="s" s="266">
        <v>2280</v>
      </c>
      <c r="C320" t="s" s="265">
        <v>108</v>
      </c>
      <c r="D320" s="198">
        <f>nCO2_rate*spg_dur_eq/n_hs_gas</f>
        <v>1.011716701753</v>
      </c>
      <c r="E320" t="s" s="306">
        <v>2965</v>
      </c>
    </row>
    <row r="321" x14ac:dyDescent="0.2" ht="52" customHeight="1">
      <c r="A321" t="s" s="265">
        <v>2966</v>
      </c>
      <c r="B321" t="s" s="266">
        <v>2281</v>
      </c>
      <c r="C321" t="s" s="265">
        <v>108</v>
      </c>
      <c r="D321" s="199">
        <f>EXP(-flush_vol_opt)</f>
        <v>0.363594260592</v>
      </c>
      <c r="E321" t="s" s="305">
        <v>2282</v>
      </c>
    </row>
    <row r="322" x14ac:dyDescent="0.2" ht="89.5" customHeight="1">
      <c r="A322" t="s" s="265">
        <v>2283</v>
      </c>
      <c r="B322" t="s" s="266">
        <v>2284</v>
      </c>
      <c r="C322" t="s" s="265">
        <v>108</v>
      </c>
      <c r="D322" s="198">
        <f>flush_vol_opt*(1+flush_ret_opt)/(2*(1-flush_ret_opt))</f>
        <v>1.083877000496</v>
      </c>
      <c r="E322" t="s" s="305">
        <v>2285</v>
      </c>
    </row>
    <row r="323" x14ac:dyDescent="0.2" ht="27" customHeight="1">
      <c r="A323" t="s" s="265">
        <v>2286</v>
      </c>
      <c r="B323" t="s" s="266">
        <v>2287</v>
      </c>
      <c r="C323" t="s" s="265">
        <v>108</v>
      </c>
      <c r="D323" s="198">
        <f>CO2_pulse/n_hs_gas</f>
        <v>1.011716701753</v>
      </c>
      <c r="E323" t="s" s="306">
        <v>2288</v>
      </c>
    </row>
    <row r="324" x14ac:dyDescent="0.2">
      <c r="A324" t="s" s="265">
        <v>2289</v>
      </c>
      <c r="B324" t="s" s="266">
        <v>2290</v>
      </c>
      <c r="C324" t="s" s="265">
        <v>108</v>
      </c>
      <c r="D324" s="199">
        <f>EXP(-flush_vol)</f>
        <v>0.363594260592</v>
      </c>
      <c r="E324" t="s" s="305">
        <v>2291</v>
      </c>
    </row>
    <row r="325" x14ac:dyDescent="0.2">
      <c r="A325" t="s" s="265">
        <v>2292</v>
      </c>
      <c r="B325" t="s" s="266">
        <v>2293</v>
      </c>
      <c r="C325" t="s" s="265">
        <v>994</v>
      </c>
      <c r="D325" s="199">
        <f>t_off_CO2/3600</f>
        <v>0.117652777778</v>
      </c>
      <c r="E325" t="s" s="306">
        <v>2294</v>
      </c>
    </row>
    <row r="326" x14ac:dyDescent="0.2">
      <c r="A326" t="s" s="265">
        <v>2295</v>
      </c>
      <c r="B326" t="s" s="266">
        <v>2296</v>
      </c>
      <c r="C326" t="s" s="265">
        <v>994</v>
      </c>
      <c r="D326" s="210">
        <f>1/(kLa_surf_used*3600)</f>
        <v>0.036355790159</v>
      </c>
      <c r="E326" t="s" s="306">
        <v>2297</v>
      </c>
    </row>
    <row r="327" x14ac:dyDescent="0.2" ht="27" customHeight="1">
      <c r="A327" t="s" s="265">
        <v>2298</v>
      </c>
      <c r="B327" t="s" s="266">
        <v>2299</v>
      </c>
      <c r="C327" t="s" s="265">
        <v>302</v>
      </c>
      <c r="D327" s="209">
        <f>O2_src_g+y_O2_air*F_vent_ex</f>
        <v>2.463537624956e-05</v>
      </c>
      <c r="E327" t="s" s="306">
        <v>2300</v>
      </c>
    </row>
    <row r="328" x14ac:dyDescent="0.2" ht="27" customHeight="1">
      <c r="A328" t="s" s="265">
        <v>2301</v>
      </c>
      <c r="B328" t="s" s="266">
        <v>2302</v>
      </c>
      <c r="C328" t="s" s="265">
        <v>302</v>
      </c>
      <c r="D328" s="209">
        <f>CO2_supply+O2_src_g+H2_src_g-CO2_fix_g</f>
        <v>0.0008639935959385</v>
      </c>
      <c r="E328" t="s" s="306">
        <v>2303</v>
      </c>
    </row>
    <row r="329" x14ac:dyDescent="0.2" ht="39.5" customHeight="1">
      <c r="A329" t="s" s="265">
        <v>2304</v>
      </c>
      <c r="B329" t="s" s="266">
        <v>2305</v>
      </c>
      <c r="C329" t="s" s="265">
        <v>108</v>
      </c>
      <c r="D329" s="210">
        <f>IF(F_dil+F_hs_net_g&gt;0,S_O2_g/(F_dil+F_hs_net_g),NA())</f>
        <v>0.027367364576</v>
      </c>
      <c r="E329" t="s" s="306">
        <v>2306</v>
      </c>
    </row>
    <row r="330" x14ac:dyDescent="0.2">
      <c r="A330" t="s" s="265">
        <v>2307</v>
      </c>
      <c r="B330" t="s" s="266">
        <v>2308</v>
      </c>
      <c r="C330" t="s" s="265">
        <v>108</v>
      </c>
      <c r="D330" s="262">
        <f>IF(F_dil+F_hs_net_g&gt;0,H2_src_g/(F_dil+F_hs_net_g),NA())</f>
        <v>0.0</v>
      </c>
      <c r="E330" t="s" s="306">
        <v>2309</v>
      </c>
    </row>
    <row r="331" x14ac:dyDescent="0.2" ht="39.5" customHeight="1">
      <c r="A331" t="s" s="265">
        <v>2310</v>
      </c>
      <c r="B331" t="s" s="266">
        <v>2311</v>
      </c>
      <c r="C331" t="s" s="265">
        <v>302</v>
      </c>
      <c r="D331" s="209">
        <f>F_dil+MAX(0,O2_src_g+H2_src_g-CO2_fix_g)</f>
        <v>3.617990017297e-05</v>
      </c>
      <c r="E331" t="s" s="306">
        <v>2312</v>
      </c>
    </row>
    <row r="332" x14ac:dyDescent="0.2">
      <c r="A332" t="s" s="265">
        <v>2313</v>
      </c>
      <c r="B332" t="s" s="266">
        <v>2314</v>
      </c>
      <c r="C332" t="s" s="265">
        <v>108</v>
      </c>
      <c r="D332" s="210">
        <f>F_gap_g*t_gap_h/n_hs_gas</f>
        <v>0.04230091701</v>
      </c>
      <c r="E332" t="s" s="306">
        <v>2315</v>
      </c>
    </row>
    <row r="333" x14ac:dyDescent="0.2" ht="27" customHeight="1">
      <c r="A333" t="s" s="265">
        <v>2316</v>
      </c>
      <c r="B333" t="s" s="266">
        <v>2317</v>
      </c>
      <c r="C333" t="s" s="265">
        <v>108</v>
      </c>
      <c r="D333" s="199">
        <f>IF(x_hs_g&gt;x_series,(1-EXP(-x_hs_g))/x_hs_g,1-x_hs_g/2+x_hs_g^2/6-x_hs_g^3/24)</f>
        <v>0.979144642091</v>
      </c>
      <c r="E333" t="s" s="306">
        <v>2318</v>
      </c>
    </row>
    <row r="334" x14ac:dyDescent="0.2" ht="27" customHeight="1">
      <c r="A334" t="s" s="265">
        <v>2319</v>
      </c>
      <c r="B334" t="s" s="266">
        <v>2320</v>
      </c>
      <c r="C334" t="s" s="265">
        <v>108</v>
      </c>
      <c r="D334" s="199">
        <f>IF(x_hs_g&gt;x_series,(x_hs_g-1+EXP(-x_hs_g))/x_hs_g^2,1/2-x_hs_g/6+x_hs_g^2/24-x_hs_g^3/120)</f>
        <v>0.493023777802</v>
      </c>
      <c r="E334" t="s" s="306">
        <v>2321</v>
      </c>
    </row>
    <row r="335" x14ac:dyDescent="0.2">
      <c r="A335" t="s" s="265">
        <v>2322</v>
      </c>
      <c r="B335" t="s" s="266">
        <v>2323</v>
      </c>
      <c r="C335" t="s" s="265">
        <v>108</v>
      </c>
      <c r="D335" s="210">
        <f>S_O2_g*t_gap_h/n_hs_gas</f>
        <v>0.028803258198</v>
      </c>
      <c r="E335" t="s" s="306">
        <v>2324</v>
      </c>
    </row>
    <row r="336" x14ac:dyDescent="0.2" ht="27" customHeight="1">
      <c r="A336" t="s" s="265">
        <v>2325</v>
      </c>
      <c r="B336" t="s" s="266">
        <v>2326</v>
      </c>
      <c r="C336" t="s" s="265">
        <v>108</v>
      </c>
      <c r="D336" s="210">
        <f>dy_O2_g*phi_hs_g/(1-flush_ret*EXP(-x_hs_g))</f>
        <v>0.043290953345</v>
      </c>
      <c r="E336" t="s" s="305">
        <v>2327</v>
      </c>
    </row>
    <row r="337" x14ac:dyDescent="0.2">
      <c r="A337" t="s" s="265">
        <v>2328</v>
      </c>
      <c r="B337" t="s" s="266">
        <v>2329</v>
      </c>
      <c r="C337" t="s" s="265">
        <v>108</v>
      </c>
      <c r="D337" s="210">
        <f>y_O2_end_g*flush_ret</f>
        <v>0.015740342172</v>
      </c>
      <c r="E337" t="s" s="305">
        <v>2330</v>
      </c>
    </row>
    <row r="338" x14ac:dyDescent="0.2">
      <c r="A338" t="s" s="265">
        <v>2331</v>
      </c>
      <c r="B338" t="s" s="266">
        <v>2332</v>
      </c>
      <c r="C338" t="s" s="265">
        <v>108</v>
      </c>
      <c r="D338" s="210">
        <f>y_O2_post_g*phi_hs_g+dy_O2_g*psi_hs_g</f>
        <v>0.029612762872</v>
      </c>
      <c r="E338" t="s" s="305">
        <v>2333</v>
      </c>
    </row>
    <row r="339" x14ac:dyDescent="0.2">
      <c r="A339" t="s" s="265">
        <v>2334</v>
      </c>
      <c r="B339" t="s" s="266">
        <v>2335</v>
      </c>
      <c r="C339" t="s" s="265">
        <v>401</v>
      </c>
      <c r="D339" s="210">
        <f>O2_src_g/(kLa_surf_used*3600*V_L_m3)</f>
        <v>0.041338198902</v>
      </c>
      <c r="E339" t="s" s="306">
        <v>2336</v>
      </c>
    </row>
    <row r="340" x14ac:dyDescent="0.2" ht="27" customHeight="1">
      <c r="A340" t="s" s="265">
        <v>2337</v>
      </c>
      <c r="B340" t="s" s="266">
        <v>2338</v>
      </c>
      <c r="C340" t="s" s="265">
        <v>401</v>
      </c>
      <c r="D340" s="210">
        <f>DO_surf_excess_g+H_O2_T*P_dry*y_O2_mf_g</f>
        <v>0.068849946414</v>
      </c>
      <c r="E340" t="s" s="306">
        <v>2339</v>
      </c>
    </row>
    <row r="341" x14ac:dyDescent="0.2" ht="27" customHeight="1">
      <c r="A341" t="s" s="265">
        <v>2340</v>
      </c>
      <c r="B341" t="s" s="266">
        <v>2341</v>
      </c>
      <c r="C341" t="s" s="265">
        <v>401</v>
      </c>
      <c r="D341" s="210">
        <f>DO_surf_excess_g+H_O2_T*P_dry*y_O2_avg_g</f>
        <v>0.071107190834</v>
      </c>
      <c r="E341" t="s" s="305">
        <v>2342</v>
      </c>
    </row>
    <row r="342" x14ac:dyDescent="0.2" ht="39.5" customHeight="1">
      <c r="A342" t="s" s="265">
        <v>2343</v>
      </c>
      <c r="B342" t="s" s="266">
        <v>2344</v>
      </c>
      <c r="C342" t="s" s="265">
        <v>401</v>
      </c>
      <c r="D342" s="210">
        <f>DO_surf_excess_g+H_O2_T*P_dry*z_peak_g</f>
        <v>0.07751644174</v>
      </c>
      <c r="E342" t="s" s="305">
        <v>2967</v>
      </c>
    </row>
    <row r="343" x14ac:dyDescent="0.2">
      <c r="A343" t="s" s="265">
        <v>2345</v>
      </c>
      <c r="B343" t="s" s="266">
        <v>2346</v>
      </c>
      <c r="C343" t="s" s="265">
        <v>83</v>
      </c>
      <c r="D343" s="198">
        <f>DO_avg_g*M_O2</f>
        <v>2.275287892306</v>
      </c>
      <c r="E343" t="s" s="305">
        <v>2347</v>
      </c>
    </row>
    <row r="344" x14ac:dyDescent="0.2">
      <c r="A344" t="s" s="265">
        <v>2348</v>
      </c>
      <c r="B344" t="s" s="266">
        <v>2349</v>
      </c>
      <c r="C344" t="s" s="265">
        <v>83</v>
      </c>
      <c r="D344" s="198">
        <f>DO_peak_g*M_O2</f>
        <v>2.480371102791</v>
      </c>
      <c r="E344" t="s" s="305">
        <v>2347</v>
      </c>
    </row>
    <row r="345" x14ac:dyDescent="0.2">
      <c r="A345" t="s" s="265">
        <v>2350</v>
      </c>
      <c r="B345" t="s" s="266">
        <v>2351</v>
      </c>
      <c r="C345" t="s" s="265">
        <v>571</v>
      </c>
      <c r="D345" s="209">
        <f>O2_src_g/(DO_target*3600*V_L_m3)</f>
        <v>0.004438579539</v>
      </c>
      <c r="E345" t="s" s="306">
        <v>2352</v>
      </c>
    </row>
    <row r="346" x14ac:dyDescent="0.2" ht="27" customHeight="1">
      <c r="A346" t="s" s="265">
        <v>2353</v>
      </c>
      <c r="B346" t="s" s="266">
        <v>2354</v>
      </c>
      <c r="C346" t="s" s="265">
        <v>87</v>
      </c>
      <c r="D346" s="198">
        <f>IF(kLa_surf_req_g&gt;0,kLa_surf_used/kLa_surf_req_g,"no positive source")</f>
        <v>1.721392491615</v>
      </c>
      <c r="E346" t="s" s="306">
        <v>2355</v>
      </c>
    </row>
    <row r="347" x14ac:dyDescent="0.2" ht="27" customHeight="1">
      <c r="A347" t="s" s="265">
        <v>1751</v>
      </c>
      <c r="B347" t="s" s="266">
        <v>2356</v>
      </c>
      <c r="C347" t="s" s="265">
        <v>108</v>
      </c>
      <c r="D347" s="277"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1.72×</v>
      </c>
      <c r="E347" t="s" s="306">
        <v>2357</v>
      </c>
    </row>
    <row r="348" x14ac:dyDescent="0.2" ht="39.5" customHeight="1">
      <c r="A348" t="s" s="265">
        <v>2358</v>
      </c>
      <c r="B348" t="s" s="266">
        <v>2359</v>
      </c>
      <c r="C348" t="s" s="265">
        <v>108</v>
      </c>
      <c r="D348" s="277" t="str">
        <f>IF(DO_peak_g&lt;=O2_ceil_org,"peak "&amp;TEXT(DO_peak_g_mgL,"0.0")&amp;" mg/L under the "&amp;TEXT(O2_ceil_org*M_O2,"0.0")&amp;" mg/L ceiling","PEAK "&amp;TEXT(DO_peak_g_mgL,"0.0")&amp;" mg/L OVER THE "&amp;TEXT(O2_ceil_org*M_O2,"0.0")&amp;" mg/L INHIBITION CEILING")</f>
        <v>peak 2.5 mg/L under the 10.1 mg/L ceiling</v>
      </c>
      <c r="E348" t="s" s="306">
        <v>2968</v>
      </c>
    </row>
    <row r="349" x14ac:dyDescent="0.2" ht="27" customHeight="1">
      <c r="A349" t="s" s="265">
        <v>2360</v>
      </c>
      <c r="B349" t="s" s="266">
        <v>2361</v>
      </c>
      <c r="C349" t="s" s="265">
        <v>302</v>
      </c>
      <c r="D349" s="209">
        <f>O2_src_l+y_O2_air*F_vent_ex</f>
        <v>5.596595204849e-05</v>
      </c>
      <c r="E349" t="s" s="306">
        <v>2300</v>
      </c>
    </row>
    <row r="350" x14ac:dyDescent="0.2" ht="27" customHeight="1">
      <c r="A350" t="s" s="265">
        <v>2362</v>
      </c>
      <c r="B350" t="s" s="266">
        <v>2363</v>
      </c>
      <c r="C350" t="s" s="265">
        <v>302</v>
      </c>
      <c r="D350" s="209">
        <f>CO2_supply+O2_src_l+H2_src_l-CO2_fix_l</f>
        <v>0.001009152385</v>
      </c>
      <c r="E350" t="s" s="306">
        <v>2303</v>
      </c>
    </row>
    <row r="351" x14ac:dyDescent="0.2" ht="39.5" customHeight="1">
      <c r="A351" t="s" s="265">
        <v>2364</v>
      </c>
      <c r="B351" t="s" s="266">
        <v>2365</v>
      </c>
      <c r="C351" t="s" s="265">
        <v>108</v>
      </c>
      <c r="D351" s="210">
        <f>IF(F_dil+F_hs_net_l&gt;0,S_O2_l/(F_dil+F_hs_net_l),NA())</f>
        <v>0.053538910882</v>
      </c>
      <c r="E351" t="s" s="306">
        <v>2306</v>
      </c>
    </row>
    <row r="352" x14ac:dyDescent="0.2">
      <c r="A352" t="s" s="265">
        <v>2366</v>
      </c>
      <c r="B352" t="s" s="266">
        <v>2367</v>
      </c>
      <c r="C352" t="s" s="265">
        <v>108</v>
      </c>
      <c r="D352" s="210">
        <f>IF(F_dil+F_hs_net_l&gt;0,H2_src_l/(F_dil+F_hs_net_l),NA())</f>
        <v>0.09257585106</v>
      </c>
      <c r="E352" t="s" s="306">
        <v>2309</v>
      </c>
    </row>
    <row r="353" x14ac:dyDescent="0.2" ht="39.5" customHeight="1">
      <c r="A353" t="s" s="265">
        <v>2368</v>
      </c>
      <c r="B353" t="s" s="266">
        <v>2369</v>
      </c>
      <c r="C353" t="s" s="265">
        <v>302</v>
      </c>
      <c r="D353" s="209">
        <f>F_dil+MAX(0,O2_src_l+H2_src_l-CO2_fix_l)</f>
        <v>0.0001813386890597</v>
      </c>
      <c r="E353" t="s" s="306">
        <v>2312</v>
      </c>
    </row>
    <row r="354" x14ac:dyDescent="0.2">
      <c r="A354" t="s" s="265">
        <v>2370</v>
      </c>
      <c r="B354" t="s" s="266">
        <v>2371</v>
      </c>
      <c r="C354" t="s" s="265">
        <v>108</v>
      </c>
      <c r="D354" s="199">
        <f>F_gap_l*t_gap_h/n_hs_gas</f>
        <v>0.212018076334</v>
      </c>
      <c r="E354" t="s" s="306">
        <v>2315</v>
      </c>
    </row>
    <row r="355" x14ac:dyDescent="0.2" ht="27" customHeight="1">
      <c r="A355" t="s" s="265">
        <v>2372</v>
      </c>
      <c r="B355" t="s" s="266">
        <v>2373</v>
      </c>
      <c r="C355" t="s" s="265">
        <v>108</v>
      </c>
      <c r="D355" s="199">
        <f>IF(x_hs_l&gt;x_series,(1-EXP(-x_hs_l))/x_hs_l,1-x_hs_l/2+x_hs_l^2/6-x_hs_l^3/24)</f>
        <v>0.901102060357</v>
      </c>
      <c r="E355" t="s" s="306">
        <v>2318</v>
      </c>
    </row>
    <row r="356" x14ac:dyDescent="0.2" ht="27" customHeight="1">
      <c r="A356" t="s" s="265">
        <v>2374</v>
      </c>
      <c r="B356" t="s" s="266">
        <v>2375</v>
      </c>
      <c r="C356" t="s" s="265">
        <v>108</v>
      </c>
      <c r="D356" s="199">
        <f>IF(x_hs_l&gt;x_series,(x_hs_l-1+EXP(-x_hs_l))/x_hs_l^2,1/2-x_hs_l/6+x_hs_l^2/24-x_hs_l^3/120)</f>
        <v>0.466459942253</v>
      </c>
      <c r="E356" t="s" s="306">
        <v>2321</v>
      </c>
    </row>
    <row r="357" x14ac:dyDescent="0.2">
      <c r="A357" t="s" s="265">
        <v>2376</v>
      </c>
      <c r="B357" t="s" s="266">
        <v>2377</v>
      </c>
      <c r="C357" t="s" s="265">
        <v>108</v>
      </c>
      <c r="D357" s="210">
        <f>S_O2_l*t_gap_h/n_hs_gas</f>
        <v>0.065434428555</v>
      </c>
      <c r="E357" t="s" s="306">
        <v>2324</v>
      </c>
    </row>
    <row r="358" x14ac:dyDescent="0.2" ht="27" customHeight="1">
      <c r="A358" t="s" s="265">
        <v>2378</v>
      </c>
      <c r="B358" t="s" s="266">
        <v>2379</v>
      </c>
      <c r="C358" t="s" s="265">
        <v>108</v>
      </c>
      <c r="D358" s="210">
        <f>dy_O2_l*phi_hs_l/(1-flush_ret*EXP(-x_hs_l))</f>
        <v>0.083532471034</v>
      </c>
      <c r="E358" t="s" s="305">
        <v>2327</v>
      </c>
    </row>
    <row r="359" x14ac:dyDescent="0.2">
      <c r="A359" t="s" s="265">
        <v>2380</v>
      </c>
      <c r="B359" t="s" s="266">
        <v>2381</v>
      </c>
      <c r="C359" t="s" s="265">
        <v>108</v>
      </c>
      <c r="D359" s="210">
        <f>y_O2_end_l*flush_ret</f>
        <v>0.030371927041</v>
      </c>
      <c r="E359" t="s" s="305">
        <v>2330</v>
      </c>
    </row>
    <row r="360" x14ac:dyDescent="0.2">
      <c r="A360" t="s" s="265">
        <v>2382</v>
      </c>
      <c r="B360" t="s" s="266">
        <v>2383</v>
      </c>
      <c r="C360" t="s" s="265">
        <v>108</v>
      </c>
      <c r="D360" s="210">
        <f>y_O2_post_l*phi_hs_l+dy_O2_l*psi_hs_l</f>
        <v>0.057890745799</v>
      </c>
      <c r="E360" t="s" s="305">
        <v>2333</v>
      </c>
    </row>
    <row r="361" x14ac:dyDescent="0.2" ht="27" customHeight="1">
      <c r="A361" t="s" s="265">
        <v>2384</v>
      </c>
      <c r="B361" t="s" s="266">
        <v>2385</v>
      </c>
      <c r="C361" t="s" s="265">
        <v>401</v>
      </c>
      <c r="D361" s="199">
        <f>DO_surf_excess_lag+H_O2_T*P_dry*y_O2_mf_l</f>
        <v>0.171096089458</v>
      </c>
      <c r="E361" t="s" s="306">
        <v>2339</v>
      </c>
    </row>
    <row r="362" x14ac:dyDescent="0.2" ht="27" customHeight="1">
      <c r="A362" t="s" s="265">
        <v>2386</v>
      </c>
      <c r="B362" t="s" s="266">
        <v>2387</v>
      </c>
      <c r="C362" t="s" s="265">
        <v>401</v>
      </c>
      <c r="D362" s="199">
        <f>DO_surf_excess_lag+H_O2_T*P_dry*y_O2_avg_l</f>
        <v>0.175470883498</v>
      </c>
      <c r="E362" t="s" s="305">
        <v>2342</v>
      </c>
    </row>
    <row r="363" x14ac:dyDescent="0.2">
      <c r="A363" t="s" s="265">
        <v>2388</v>
      </c>
      <c r="B363" t="s" s="266">
        <v>2389</v>
      </c>
      <c r="C363" t="s" s="265">
        <v>401</v>
      </c>
      <c r="D363" s="199">
        <f>DO_surf_excess_lag+H_O2_T*P_dry*z_peak_l</f>
        <v>0.187723903393</v>
      </c>
      <c r="E363" t="s" s="305">
        <v>2969</v>
      </c>
    </row>
    <row r="364" x14ac:dyDescent="0.2">
      <c r="A364" t="s" s="265">
        <v>2390</v>
      </c>
      <c r="B364" t="s" s="266">
        <v>2391</v>
      </c>
      <c r="C364" t="s" s="265">
        <v>83</v>
      </c>
      <c r="D364" s="198">
        <f>DO_avg_l*M_O2</f>
        <v>5.614717330178</v>
      </c>
      <c r="E364" t="s" s="305">
        <v>2347</v>
      </c>
    </row>
    <row r="365" x14ac:dyDescent="0.2">
      <c r="A365" t="s" s="265">
        <v>2392</v>
      </c>
      <c r="B365" t="s" s="266">
        <v>2393</v>
      </c>
      <c r="C365" t="s" s="265">
        <v>83</v>
      </c>
      <c r="D365" s="198">
        <f>DO_peak_l*M_O2</f>
        <v>6.006789460768</v>
      </c>
      <c r="E365" t="s" s="305">
        <v>2347</v>
      </c>
    </row>
    <row r="366" x14ac:dyDescent="0.2">
      <c r="A366" t="s" s="265">
        <v>2394</v>
      </c>
      <c r="B366" t="s" s="266">
        <v>2395</v>
      </c>
      <c r="C366" t="s" s="265">
        <v>571</v>
      </c>
      <c r="D366" s="210">
        <f>O2_src_l/(DO_target*3600*V_L_m3)</f>
        <v>0.012592062384</v>
      </c>
      <c r="E366" t="s" s="306">
        <v>2352</v>
      </c>
    </row>
    <row r="367" x14ac:dyDescent="0.2" ht="27" customHeight="1">
      <c r="A367" t="s" s="265">
        <v>2396</v>
      </c>
      <c r="B367" t="s" s="266">
        <v>2397</v>
      </c>
      <c r="C367" t="s" s="265">
        <v>87</v>
      </c>
      <c r="D367" s="199">
        <f>kLa_surf_used/kLa_surf_req_l</f>
        <v>0.606774113661</v>
      </c>
      <c r="E367" t="s" s="306">
        <v>2355</v>
      </c>
    </row>
    <row r="368" x14ac:dyDescent="0.2" ht="27" customHeight="1">
      <c r="A368" t="s" s="265">
        <v>1753</v>
      </c>
      <c r="B368" t="s" s="266">
        <v>2398</v>
      </c>
      <c r="C368" t="s" s="265">
        <v>108</v>
      </c>
      <c r="D368" s="277"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t="s" s="306">
        <v>2357</v>
      </c>
    </row>
    <row r="369" x14ac:dyDescent="0.2" ht="39.5" customHeight="1">
      <c r="A369" t="s" s="265">
        <v>2399</v>
      </c>
      <c r="B369" t="s" s="266">
        <v>2400</v>
      </c>
      <c r="C369" t="s" s="265">
        <v>108</v>
      </c>
      <c r="D369" s="277" t="str">
        <f>IF(DO_peak_l&lt;=O2_ceil_org,"peak "&amp;TEXT(DO_peak_l_mgL,"0.0")&amp;" mg/L under the "&amp;TEXT(O2_ceil_org*M_O2,"0.0")&amp;" mg/L ceiling","PEAK "&amp;TEXT(DO_peak_l_mgL,"0.0")&amp;" mg/L OVER THE "&amp;TEXT(O2_ceil_org*M_O2,"0.0")&amp;" mg/L INHIBITION CEILING")</f>
        <v>peak 6.0 mg/L under the 10.1 mg/L ceiling</v>
      </c>
      <c r="E369" t="s" s="306">
        <v>2968</v>
      </c>
    </row>
    <row r="371" x14ac:dyDescent="0.2">
      <c r="A371" t="s" s="265">
        <v>2401</v>
      </c>
      <c r="B371" t="s" s="266">
        <v>2402</v>
      </c>
      <c r="C371" t="s" s="265">
        <v>302</v>
      </c>
      <c r="D371" s="209">
        <f>IF(O2_sizing_phase=phase_name_1,F_gap_g,IF(O2_sizing_phase=phase_name_2,F_gap_l,NA()))</f>
        <v>3.617990017297e-05</v>
      </c>
      <c r="E371" t="s" s="306">
        <v>2403</v>
      </c>
    </row>
    <row r="372" x14ac:dyDescent="0.2">
      <c r="A372" t="s" s="265">
        <v>2404</v>
      </c>
      <c r="B372" t="s" s="266">
        <v>2405</v>
      </c>
      <c r="C372" t="s" s="265">
        <v>401</v>
      </c>
      <c r="D372" s="210">
        <f>IF(O2_sizing_phase=phase_name_1,DO_avg_g,IF(O2_sizing_phase=phase_name_2,DO_avg_l,NA()))</f>
        <v>0.071107190834</v>
      </c>
      <c r="E372" t="s" s="305">
        <v>2406</v>
      </c>
    </row>
    <row r="373" x14ac:dyDescent="0.2">
      <c r="A373" t="s" s="265">
        <v>2407</v>
      </c>
      <c r="B373" t="s" s="266">
        <v>2408</v>
      </c>
      <c r="C373" t="s" s="265">
        <v>401</v>
      </c>
      <c r="D373" s="210">
        <f>IF(O2_sizing_phase=phase_name_1,DO_peak_g,IF(O2_sizing_phase=phase_name_2,DO_peak_l,NA()))</f>
        <v>0.07751644174</v>
      </c>
      <c r="E373" t="inlineStr" s="305">
        <is>
          <t>Feeds the organism-band check below and Summary D96.</t>
        </is>
      </c>
    </row>
    <row r="374" x14ac:dyDescent="0.2" ht="77" customHeight="1">
      <c r="A374" t="s" s="265">
        <v>2409</v>
      </c>
      <c r="B374" t="s" s="266">
        <v>2410</v>
      </c>
      <c r="C374" t="s" s="265">
        <v>108</v>
      </c>
      <c r="D374" s="277"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OPTIMUM"),IF(DO_peak_sched&lt;=O2_ceil_org,"organism band unknown – peak "&amp;TEXT(DO_peak_sched*M_O2,"0.0")&amp;" mg/L is under the inhibition ceiling","organism band unknown – PEAK "&amp;TEXT(DO_peak_sched*M_O2,"0.0")&amp;" mg/L OVER THE INHIBITION CEILING"))</f>
        <v>organism band unknown – peak 2.5 mg/L is under the inhibition ceiling</v>
      </c>
      <c r="E374" t="s" s="306">
        <v>2411</v>
      </c>
    </row>
    <row r="375" x14ac:dyDescent="0.2" ht="39.5" customHeight="1">
      <c r="A375" t="s" s="265">
        <v>2412</v>
      </c>
      <c r="B375" t="s" s="266">
        <v>2413</v>
      </c>
      <c r="C375" t="s" s="265">
        <v>401</v>
      </c>
      <c r="D375" s="210">
        <f>(C_air_CO2/C_sat_CO2*F_vent_ex-CO2_fix_sched)*t_gap_h/(V_L_CO2+Vg_CO2)</f>
        <v>-0.081272103837</v>
      </c>
      <c r="E375" t="s" s="306">
        <v>2414</v>
      </c>
    </row>
    <row r="376" x14ac:dyDescent="0.2">
      <c r="A376" t="s" s="265">
        <v>2415</v>
      </c>
      <c r="B376" t="s" s="266">
        <v>2416</v>
      </c>
      <c r="C376" t="s" s="265">
        <v>108</v>
      </c>
      <c r="D376" s="209">
        <f>k_eff_CO2*t_off_CO2</f>
        <v>0.006150325662</v>
      </c>
      <c r="E376" t="s" s="306">
        <v>2417</v>
      </c>
    </row>
    <row r="377" x14ac:dyDescent="0.2" ht="27" customHeight="1">
      <c r="A377" t="s" s="265">
        <v>2418</v>
      </c>
      <c r="B377" t="s" s="266">
        <v>2419</v>
      </c>
      <c r="C377" t="s" s="265">
        <v>108</v>
      </c>
      <c r="D377" s="199">
        <f>IF(pool_x&gt;x_series,(1-EXP(-pool_x))/pool_x,1-pool_x/2+pool_x^2/6-pool_x^3/24)</f>
        <v>0.996931131905</v>
      </c>
      <c r="E377" t="s" s="306">
        <v>2420</v>
      </c>
    </row>
    <row r="378" x14ac:dyDescent="0.2">
      <c r="A378" t="s" s="265">
        <v>2421</v>
      </c>
      <c r="B378" t="s" s="266">
        <v>2422</v>
      </c>
      <c r="C378" t="s" s="265">
        <v>108</v>
      </c>
      <c r="D378" s="199">
        <f>IF(pool_x&gt;x_series,(pool_x-1+EXP(-pool_x))/pool_x^2,1/2-pool_x/6+pool_x^2/24-pool_x^3/120)</f>
        <v>0.498976519889</v>
      </c>
      <c r="E378" t="s" s="306">
        <v>2423</v>
      </c>
    </row>
    <row r="379" x14ac:dyDescent="0.2" ht="27" customHeight="1">
      <c r="A379" t="s" s="265">
        <v>2424</v>
      </c>
      <c r="B379" t="s" s="266">
        <v>2425</v>
      </c>
      <c r="C379" t="s" s="265">
        <v>401</v>
      </c>
      <c r="D379" s="210">
        <f>pool_D_raw*pool_phi</f>
        <v>-0.081022690471</v>
      </c>
      <c r="E379" t="s" s="306">
        <v>2426</v>
      </c>
    </row>
    <row r="380" x14ac:dyDescent="0.2" ht="39.5" customHeight="1">
      <c r="A380" t="s" s="265">
        <v>2427</v>
      </c>
      <c r="B380" t="s" s="266">
        <v>2428</v>
      </c>
      <c r="C380" t="s" s="265">
        <v>108</v>
      </c>
      <c r="D380" s="199">
        <f>pool_a+(1-pool_a)*flush_ret</f>
        <v>0.907470030741</v>
      </c>
      <c r="E380" t="s" s="305">
        <v>2429</v>
      </c>
    </row>
    <row r="381" x14ac:dyDescent="0.2" ht="39.5" customHeight="1">
      <c r="A381" t="s" s="265">
        <v>2430</v>
      </c>
      <c r="B381" t="s" s="266">
        <v>2431</v>
      </c>
      <c r="C381" t="s" s="265">
        <v>108</v>
      </c>
      <c r="D381" s="199">
        <f>IF(F_dil+CO2_supply+O2_src_sched+H2_src_sched-CO2_fix_sched&gt;0,(CO2_supply-CO2_fix_sched+pCO2_air/P_dry*F_vent_ex)/(F_dil+CO2_supply+O2_src_sched+H2_src_sched-CO2_fix_sched),NA())</f>
        <v>0.940877306879</v>
      </c>
      <c r="E381" t="s" s="306">
        <v>2432</v>
      </c>
    </row>
    <row r="382" x14ac:dyDescent="0.2" ht="27" customHeight="1">
      <c r="A382" t="s" s="265">
        <v>2433</v>
      </c>
      <c r="B382" t="s" s="266">
        <v>2434</v>
      </c>
      <c r="C382" t="s" s="265">
        <v>401</v>
      </c>
      <c r="D382" s="212">
        <f>y_CO2_mf*C_sat_CO2</f>
        <v>26.396980267336</v>
      </c>
      <c r="E382" t="s" s="306">
        <v>2435</v>
      </c>
    </row>
    <row r="383" x14ac:dyDescent="0.2">
      <c r="A383" t="s" s="278">
        <v>2436</v>
      </c>
      <c r="B383" s="278"/>
      <c r="C383" s="278"/>
      <c r="D383" s="278"/>
      <c r="E383" s="278"/>
    </row>
    <row r="384" x14ac:dyDescent="0.2" ht="39.5" customHeight="1">
      <c r="A384" t="s" s="265">
        <v>2437</v>
      </c>
      <c r="B384" t="s" s="266">
        <v>2438</v>
      </c>
      <c r="C384" t="s" s="265">
        <v>108</v>
      </c>
      <c r="D384" t="s" s="268">
        <v>1736</v>
      </c>
      <c r="E384" t="s" s="305">
        <v>2439</v>
      </c>
    </row>
    <row r="385" x14ac:dyDescent="0.2" ht="52" customHeight="1">
      <c r="A385" t="s" s="265">
        <v>2440</v>
      </c>
      <c r="B385" t="s" s="266">
        <v>2441</v>
      </c>
      <c r="C385" t="s" s="265">
        <v>309</v>
      </c>
      <c r="D385" s="268">
        <v>1.4999999999999999E-2</v>
      </c>
      <c r="E385" t="s" s="313">
        <v>2442</v>
      </c>
    </row>
    <row r="386" x14ac:dyDescent="0.2" ht="39.5" customHeight="1">
      <c r="A386" t="s" s="265">
        <v>2443</v>
      </c>
      <c r="B386" t="s" s="266">
        <v>2444</v>
      </c>
      <c r="C386" t="s" s="265">
        <v>309</v>
      </c>
      <c r="D386" s="210">
        <f>IF(vent_model=vent_name_1,0,IF(vent_model=vent_name_3,Q_backdraw,IF(vent_model=vent_name_2,Q_vent,NA())))</f>
        <v>0.015</v>
      </c>
      <c r="E386" t="inlineStr" s="313">
        <is>
          <t>0 for "Outflow only" (check valve), Q_backdraw for "Open vent", the measured Q_vent for "Air exchange"; anything else #N/A by design. The vent is a continuum: 0 is a true check valve. Feeds F_vent_ex (D308) and Summary D43.</t>
        </is>
      </c>
    </row>
    <row r="387" x14ac:dyDescent="0.2">
      <c r="A387" t="s" s="265">
        <v>2095</v>
      </c>
      <c r="B387" t="s" s="266">
        <v>2445</v>
      </c>
      <c r="C387" t="s" s="265">
        <v>302</v>
      </c>
      <c r="D387" s="277">
        <f>Electrochemistry!r_H2_HOR</f>
        <v>0.0</v>
      </c>
      <c r="E387" t="s" s="310">
        <v>2446</v>
      </c>
    </row>
    <row r="388" x14ac:dyDescent="0.2" ht="52" customHeight="1">
      <c r="A388" t="s" s="265">
        <v>2447</v>
      </c>
      <c r="B388" t="s" s="266">
        <v>2448</v>
      </c>
      <c r="C388" t="s" s="265">
        <v>108</v>
      </c>
      <c r="D388" s="199">
        <f>H2_src_l*t_gap_h/n_hs_gas*phi_hs_l/(1-flush_ret*EXP(-x_hs_l))</f>
        <v>0.14443867964</v>
      </c>
      <c r="E388" t="s" s="305">
        <v>2972</v>
      </c>
    </row>
    <row r="389" x14ac:dyDescent="0.2" ht="64.5" customHeight="1">
      <c r="A389" t="s" s="265">
        <v>2449</v>
      </c>
      <c r="B389" t="s" s="266">
        <v>2450</v>
      </c>
      <c r="C389" t="s" s="265">
        <v>108</v>
      </c>
      <c r="D389" s="210">
        <f>(pool_a*(C_cycle_peak-C_cycle_start)*(V_L_CO2+Vg_CO2)+MAX(0,CO2_fix_sched-O2_src_sched-H2_src_sched)*t_gap_h)/n_hs_gas</f>
        <v>0.05000728325</v>
      </c>
      <c r="E389" t="s" s="305">
        <v>2451</v>
      </c>
    </row>
    <row r="390" x14ac:dyDescent="0.2" ht="39.5" customHeight="1">
      <c r="A390" t="s" s="265">
        <v>2452</v>
      </c>
      <c r="B390" t="s" s="266">
        <v>2453</v>
      </c>
      <c r="C390" t="s" s="265">
        <v>108</v>
      </c>
      <c r="D390" s="268">
        <v>0.05</v>
      </c>
      <c r="E390" t="s" s="305">
        <v>2454</v>
      </c>
    </row>
    <row r="391" x14ac:dyDescent="0.2" ht="27" customHeight="1">
      <c r="A391" t="s" s="265">
        <v>1767</v>
      </c>
      <c r="B391" t="s" s="266">
        <v>2455</v>
      </c>
      <c r="C391" t="s" s="265">
        <v>108</v>
      </c>
      <c r="D391" s="277"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t="s" s="306">
        <v>2456</v>
      </c>
    </row>
    <row r="392" x14ac:dyDescent="0.2">
      <c r="A392" t="s" s="265">
        <v>2457</v>
      </c>
      <c r="B392" t="s" s="266">
        <v>2458</v>
      </c>
      <c r="C392" t="s" s="265">
        <v>12</v>
      </c>
      <c r="D392" s="277">
        <f>Summary!override_spg_dur_s</f>
        <v>0.0</v>
      </c>
      <c r="E392" t="s" s="310">
        <v>2459</v>
      </c>
    </row>
    <row r="393" x14ac:dyDescent="0.2">
      <c r="A393" t="s" s="265">
        <v>2460</v>
      </c>
      <c r="B393" t="s" s="266">
        <v>2461</v>
      </c>
      <c r="C393" t="s" s="265">
        <v>61</v>
      </c>
      <c r="D393" s="277">
        <f>Summary!override_spg_int_min</f>
        <v>0.0</v>
      </c>
      <c r="E393" t="s" s="310">
        <v>2462</v>
      </c>
    </row>
    <row r="394" x14ac:dyDescent="0.2">
      <c r="A394" t="s" s="265">
        <v>2463</v>
      </c>
      <c r="B394" t="s" s="266">
        <v>2464</v>
      </c>
      <c r="C394" t="s" s="265">
        <v>302</v>
      </c>
      <c r="D394" s="209">
        <f>Electrochemistry!O2_net_lag</f>
        <v>4.838626296225e-05</v>
      </c>
      <c r="E394" t="s" s="310">
        <v>2465</v>
      </c>
    </row>
    <row r="395" x14ac:dyDescent="0.2">
      <c r="A395" t="s" s="265">
        <v>2466</v>
      </c>
      <c r="B395" t="s" s="266">
        <v>2467</v>
      </c>
      <c r="C395" t="s" s="265">
        <v>302</v>
      </c>
      <c r="D395" s="209">
        <f>Electrochemistry!rH2_lag</f>
        <v>9.67725259245e-05</v>
      </c>
      <c r="E395" t="s" s="310">
        <v>2468</v>
      </c>
    </row>
    <row r="396" x14ac:dyDescent="0.2" ht="52" customHeight="1">
      <c r="A396" t="s" s="265">
        <v>2469</v>
      </c>
      <c r="B396" t="s" s="266">
        <v>2470</v>
      </c>
      <c r="C396" t="s" s="265">
        <v>12</v>
      </c>
      <c r="D396" s="268">
        <v>0.25</v>
      </c>
      <c r="E396" s="313" t="inlineStr">
        <is>
          <t xml:space="preserve">Weak estimate: the shortest pulse logged for ed04 (CO2 flows I4, 0.25 s), used only for a reactor calibrated in its calibration log with no Min pulse entry and no CO2 flows row. Confirm per reactor (flow-calibration.md, minimum-pulse step).</t>
        </is>
      </c>
    </row>
    <row r="398" hidden="1"/>
    <row r="399" hidden="1"/>
    <row r="400" x14ac:dyDescent="0.2">
      <c r="A400" t="s" s="278">
        <v>2472</v>
      </c>
      <c r="B400" s="278"/>
      <c r="C400" s="278"/>
      <c r="D400" s="278"/>
      <c r="E400" s="278"/>
    </row>
    <row r="401" x14ac:dyDescent="0.2">
      <c r="A401" t="s" s="265">
        <v>2473</v>
      </c>
      <c r="B401" t="s" s="266">
        <v>2474</v>
      </c>
      <c r="C401" t="s" s="265">
        <v>713</v>
      </c>
      <c r="D401" s="277">
        <f>SUMPRODUCT((co2f_reactor=Reactor)*(co2f_time&gt;0)*(co2f_excluded&lt;&gt;1)*1)</f>
        <v>34.0</v>
      </c>
      <c r="E401" s="310" t="inlineStr">
        <is>
          <t xml:space="preserve">CO2 flows rows with a pulse time (F &gt; 0) for the selected reactor, less those flagged 1 in column L (the red outliers). SUMPRODUCT normal equations: no dynamic arrays, no CSE.</t>
        </is>
      </c>
    </row>
    <row r="402" x14ac:dyDescent="0.2">
      <c r="A402" t="s" s="265">
        <v>2476</v>
      </c>
      <c r="B402" t="s" s="266">
        <v>2477</v>
      </c>
      <c r="C402" t="s" s="265">
        <v>12</v>
      </c>
      <c r="D402" s="212">
        <f>SUMPRODUCT((co2f_reactor=Reactor)*(co2f_time&gt;0)*(co2f_excluded&lt;&gt;1)*co2f_time)</f>
        <v>49.85</v>
      </c>
      <c r="E402" t="s" s="310">
        <v>2478</v>
      </c>
    </row>
    <row r="403" x14ac:dyDescent="0.2">
      <c r="A403" t="s" s="265">
        <v>2479</v>
      </c>
      <c r="B403" t="s" s="266">
        <v>2480</v>
      </c>
      <c r="C403" t="s" s="265">
        <v>52</v>
      </c>
      <c r="D403" s="196">
        <f>SUMPRODUCT((co2f_reactor=Reactor)*(co2f_time&gt;0)*(co2f_excluded&lt;&gt;1)*co2f_volume)</f>
        <v>178.2</v>
      </c>
      <c r="E403" t="s" s="310">
        <v>1553</v>
      </c>
    </row>
    <row r="404" x14ac:dyDescent="0.2">
      <c r="A404" t="s" s="265">
        <v>2481</v>
      </c>
      <c r="B404" t="s" s="266">
        <v>2482</v>
      </c>
      <c r="C404" t="s" s="265">
        <v>2483</v>
      </c>
      <c r="D404" s="196">
        <f>SUMPRODUCT((co2f_reactor=Reactor)*(co2f_time&gt;0)*(co2f_excluded&lt;&gt;1)*co2f_time^2)</f>
        <v>304.7325</v>
      </c>
      <c r="E404" t="s" s="310">
        <v>1553</v>
      </c>
    </row>
    <row r="405" x14ac:dyDescent="0.2">
      <c r="A405" t="s" s="265">
        <v>2484</v>
      </c>
      <c r="B405" t="s" s="266">
        <v>2485</v>
      </c>
      <c r="C405" t="s" s="265">
        <v>2486</v>
      </c>
      <c r="D405" s="222">
        <f>SUMPRODUCT((co2f_reactor=Reactor)*(co2f_time&gt;0)*(co2f_excluded&lt;&gt;1)*co2f_time*co2f_volume)</f>
        <v>1030.03</v>
      </c>
      <c r="E405" t="s" s="310">
        <v>1553</v>
      </c>
    </row>
    <row r="406" x14ac:dyDescent="0.2" ht="27" customHeight="1">
      <c r="A406" t="s" s="265">
        <v>2487</v>
      </c>
      <c r="B406" t="s" s="266">
        <v>2488</v>
      </c>
      <c r="C406" t="s" s="265">
        <v>713</v>
      </c>
      <c r="D406" s="268">
        <v>3</v>
      </c>
      <c r="E406" t="s" s="305">
        <v>2489</v>
      </c>
    </row>
    <row r="407" x14ac:dyDescent="0.2" ht="64.5" customHeight="1">
      <c r="A407" t="s" s="265">
        <v>2490</v>
      </c>
      <c r="B407" t="s" s="266">
        <v>2491</v>
      </c>
      <c r="C407" t="s" s="265">
        <v>1260</v>
      </c>
      <c r="D407" s="198">
        <f>IF(ISNUMBER(cal_flow),cal_flow,IF(AND(fit_n&gt;=fit_n_min,fit_n*fit_Stt-fit_St^2&gt;0),(fit_n*fit_StV-fit_St*fit_SV)/(fit_n*fit_Stt-fit_St^2),Q_CO2/60))</f>
        <v>3.318707459132</v>
      </c>
      <c r="E407" t="s" s="306">
        <v>2492</v>
      </c>
    </row>
    <row r="408" x14ac:dyDescent="0.2" ht="64.5" customHeight="1">
      <c r="A408" t="s" s="265">
        <v>2493</v>
      </c>
      <c r="B408" t="s" s="266">
        <v>2494</v>
      </c>
      <c r="C408" t="s" s="265">
        <v>52</v>
      </c>
      <c r="D408" s="199">
        <f>IF(ISNUMBER(cal_flow),0,IF(AND(fit_n&gt;=fit_n_min,fit_n*fit_Stt-fit_St^2&gt;0),(fit_SV-Q_CO2_fit*fit_St)/fit_n,0))</f>
        <v>0.375365681243</v>
      </c>
      <c r="E408" t="s" s="313">
        <v>2495</v>
      </c>
    </row>
    <row r="409" x14ac:dyDescent="0.2">
      <c r="A409" t="s" s="265">
        <v>2496</v>
      </c>
      <c r="B409" t="s" s="266">
        <v>2497</v>
      </c>
      <c r="C409" t="s" s="265">
        <v>12</v>
      </c>
      <c r="D409" s="199">
        <f>(pulse_V0+Q_CO2_fit*spg_dur_opt)/(Q_CO2/60)</f>
        <v>0.784513049825</v>
      </c>
      <c r="E409" t="s" s="310">
        <v>2498</v>
      </c>
    </row>
    <row r="410" x14ac:dyDescent="0.2">
      <c r="A410" t="s" s="265">
        <v>2499</v>
      </c>
      <c r="B410" t="s" s="266">
        <v>2500</v>
      </c>
      <c r="C410" t="s" s="265">
        <v>12</v>
      </c>
      <c r="D410" s="199">
        <f>(pulse_V0+Q_CO2_fit*spg_dur)/(Q_CO2/60)</f>
        <v>0.760518177081</v>
      </c>
      <c r="E410" t="s" s="310">
        <v>2501</v>
      </c>
    </row>
    <row r="411" x14ac:dyDescent="0.2">
      <c r="A411" t="s" s="265">
        <v>2502</v>
      </c>
      <c r="B411" t="s" s="266">
        <v>2503</v>
      </c>
      <c r="C411" t="s" s="265">
        <v>52</v>
      </c>
      <c r="D411" s="198">
        <f>pulse_V0+Q_CO2_fit*spg_dur</f>
        <v>2.532525529679</v>
      </c>
      <c r="E411" t="s" s="310">
        <v>2504</v>
      </c>
    </row>
    <row r="412" x14ac:dyDescent="0.2">
      <c r="A412" t="s" s="265">
        <v>2505</v>
      </c>
      <c r="B412" t="s" s="266">
        <v>2506</v>
      </c>
      <c r="C412" t="s" s="265">
        <v>713</v>
      </c>
      <c r="D412" s="277">
        <f>SUMPRODUCT((co2f_reactor=Reactor)*(co2f_maxflow&gt;0)*1)</f>
        <v>0.0</v>
      </c>
      <c r="E412" s="310" t="inlineStr">
        <is>
          <t xml:space="preserve">Rows of CO2 flows column K with a value for the selected reactor (review R3 M-17).</t>
        </is>
      </c>
    </row>
    <row r="413" x14ac:dyDescent="0.2" ht="52" customHeight="1">
      <c r="A413" t="s" s="265">
        <v>2508</v>
      </c>
      <c r="B413" t="s" s="266">
        <v>2509</v>
      </c>
      <c r="C413" t="s" s="265">
        <v>1260</v>
      </c>
      <c r="D413" s="277" t="str">
        <f>IF(carry_n&gt;0,SUMPRODUCT(MIN((co2f_reactor=Reactor)*(co2f_maxflow&gt;0)*co2f_maxflow+(1-(co2f_reactor=Reactor)*(co2f_maxflow&gt;0))*MAX(co2f_maxflow))),"not measured")</f>
        <v>not measured</v>
      </c>
      <c r="E413" s="307" t="inlineStr">
        <is>
          <t xml:space="preserve">DATA GAP until measured (CO2 flows column K). The lowest entry for the reactor is used (conservative). Key O3 says the nominal flow was set as the largest without bubbles reaching the neck; if that run is taken as the measurement, enter J4 in M4.</t>
        </is>
      </c>
    </row>
    <row r="414" x14ac:dyDescent="0.2" ht="39.5" customHeight="1">
      <c r="A414" t="s" s="265">
        <v>1770</v>
      </c>
      <c r="B414" t="s" s="266">
        <v>2511</v>
      </c>
      <c r="C414" t="s" s="265">
        <v>108</v>
      </c>
      <c r="D414" s="277" t="str">
        <f>IF(u_sg&gt;u_g_max,"RISK – "&amp;TEXT(u_sg*1000,"0.0")&amp;" mm/s superficial gas velocity over the "&amp;TEXT(u_g_max*1000,"0")&amp;" mm/s rule of thumb","OK – "&amp;TEXT(u_sg*1000,"0.0")&amp;" mm/s against the "&amp;TEXT(u_g_max*1000,"0")&amp;" mm/s rule of thumb")</f>
        <v>OK – 6.6 mm/s against the 50 mm/s rule of thumb</v>
      </c>
      <c r="E414" t="s" s="313">
        <v>2512</v>
      </c>
    </row>
    <row r="415" x14ac:dyDescent="0.2">
      <c r="A415" t="s" s="265">
        <v>2513</v>
      </c>
      <c r="B415" t="s" s="266">
        <v>2514</v>
      </c>
      <c r="C415" t="s" s="265">
        <v>108</v>
      </c>
      <c r="D415" s="198">
        <f>Chemistry!DIC_cap</f>
        <v>1.405479604448</v>
      </c>
      <c r="E415" t="s" s="310">
        <v>2515</v>
      </c>
    </row>
    <row r="416" x14ac:dyDescent="0.2">
      <c r="A416" t="s" s="265">
        <v>2516</v>
      </c>
      <c r="B416" t="s" s="266">
        <v>2517</v>
      </c>
      <c r="C416" t="s" s="265">
        <v>1035</v>
      </c>
      <c r="D416" s="209">
        <f>V_L_m3*DIC_cap_mt</f>
        <v>2.108219406672e-05</v>
      </c>
      <c r="E416" t="s" s="310">
        <v>2518</v>
      </c>
    </row>
    <row r="417" x14ac:dyDescent="0.2">
      <c r="A417" t="s" s="265">
        <v>2519</v>
      </c>
      <c r="B417" t="s" s="266">
        <v>2520</v>
      </c>
      <c r="C417" t="s" s="265">
        <v>87</v>
      </c>
      <c r="D417" s="198">
        <f>IF(CO2_cons&gt;0,(C_cycle_peak-C_cycle_start)*V_L_CO2*pulses_h/CO2_cons,NA())</f>
        <v>2.503892293977</v>
      </c>
      <c r="E417" t="s" s="310">
        <v>2521</v>
      </c>
    </row>
    <row r="418" x14ac:dyDescent="0.2">
      <c r="A418" t="s" s="265">
        <v>2522</v>
      </c>
      <c r="B418" t="s" s="266">
        <v>2523</v>
      </c>
      <c r="C418" t="s" s="265">
        <v>57</v>
      </c>
      <c r="D418" s="222">
        <f>P_atm-p_sat_w</f>
        <v>97088.3497487</v>
      </c>
      <c r="E418" t="s" s="310">
        <v>2524</v>
      </c>
    </row>
    <row r="419" x14ac:dyDescent="0.2" ht="27" customHeight="1">
      <c r="A419" t="s" s="265">
        <v>2973</v>
      </c>
      <c r="B419" t="s" s="266">
        <v>2974</v>
      </c>
      <c r="C419" t="s" s="265">
        <v>61</v>
      </c>
      <c r="D419" s="268">
        <v>0.01</v>
      </c>
      <c r="E419" t="s" s="313">
        <v>2975</v>
      </c>
    </row>
    <row r="420" x14ac:dyDescent="0.2" ht="27" customHeight="1">
      <c r="A420" t="s" s="265">
        <v>2976</v>
      </c>
      <c r="B420" t="s" s="266">
        <v>2977</v>
      </c>
      <c r="C420" t="s" s="265">
        <v>61</v>
      </c>
      <c r="D420" s="198">
        <f>IF(FLOOR((pulse_V0+Q_CO2_fit*spg_dur)/(Q_CO2/60)/(60*duty_actual),interval_res)*60&gt;spg_dur,FLOOR((pulse_V0+Q_CO2_fit*spg_dur)/(Q_CO2/60)/(60*duty_actual),interval_res),NA())</f>
        <v>7.07</v>
      </c>
      <c r="E420" t="s" s="313">
        <v>2978</v>
      </c>
    </row>
    <row r="422" x14ac:dyDescent="0.2">
      <c r="A422" t="s" s="278">
        <v>2979</v>
      </c>
      <c r="B422" s="278"/>
      <c r="C422" s="278"/>
      <c r="D422" s="278"/>
      <c r="E422" s="278"/>
    </row>
    <row r="423" x14ac:dyDescent="0.2">
      <c r="A423" t="s" s="265">
        <v>2980</v>
      </c>
      <c r="B423" t="s" s="266">
        <v>2708</v>
      </c>
      <c r="C423" t="s" s="265">
        <v>309</v>
      </c>
      <c r="D423" s="262">
        <f>Summary!N2_sweep_set</f>
        <v>0.0</v>
      </c>
      <c r="E423" t="s" s="310">
        <v>2981</v>
      </c>
    </row>
    <row r="424" x14ac:dyDescent="0.2" ht="27" customHeight="1">
      <c r="A424" t="s" s="265">
        <v>2982</v>
      </c>
      <c r="B424" t="s" s="266">
        <v>2983</v>
      </c>
      <c r="C424" t="s" s="265">
        <v>302</v>
      </c>
      <c r="D424" s="262">
        <f>P_atm*(N2_sweep_set/1000000/60)/(R_gas*T_K)*3600</f>
        <v>0.0</v>
      </c>
      <c r="E424" t="s" s="313">
        <v>2984</v>
      </c>
    </row>
    <row r="425" x14ac:dyDescent="0.2" ht="39.5" customHeight="1">
      <c r="A425" t="s" s="265">
        <v>2985</v>
      </c>
      <c r="B425" t="s" s="266">
        <v>2986</v>
      </c>
      <c r="C425" t="s" s="265">
        <v>302</v>
      </c>
      <c r="D425" s="209">
        <f>F_vent_ex+F_N2</f>
        <v>3.617990017297e-05</v>
      </c>
      <c r="E425" t="s" s="313">
        <v>2987</v>
      </c>
    </row>
    <row r="426" x14ac:dyDescent="0.2" ht="39.5" customHeight="1">
      <c r="A426" t="s" s="265">
        <v>2988</v>
      </c>
      <c r="B426" t="s" s="266">
        <v>2989</v>
      </c>
      <c r="C426" t="s" s="265">
        <v>309</v>
      </c>
      <c r="D426" s="199">
        <f>IF(ISNUMBER(y_O2_star),MAX(0,(O2_src_sched+y_O2_air*F_vent_ex)*saw_factor/y_O2_star-F_vent_ex-O2_src_sched-H2_src_sched+CO2_fix_sched-CO2_rate_full*duty_carbon)/3600*R_gas*T_K/P_atm*1000000*60,NA())</f>
        <v>0.344043413938</v>
      </c>
      <c r="E426" t="s" s="306">
        <v>2990</v>
      </c>
    </row>
    <row r="428" x14ac:dyDescent="0.2">
      <c r="A428" t="s" s="278">
        <v>2991</v>
      </c>
      <c r="B428" s="278"/>
      <c r="C428" s="278"/>
      <c r="D428" s="278"/>
      <c r="E428" s="278"/>
    </row>
    <row r="429" x14ac:dyDescent="0.2">
      <c r="A429" t="s" s="265">
        <v>2992</v>
      </c>
      <c r="B429" t="s" s="266">
        <v>2993</v>
      </c>
      <c r="C429" t="s" s="265">
        <v>401</v>
      </c>
      <c r="D429" s="199">
        <f>Chemistry!CO2_pH_hi*1000</f>
        <v>0.966554763206</v>
      </c>
      <c r="E429" t="s" s="310">
        <v>2994</v>
      </c>
    </row>
    <row r="430" x14ac:dyDescent="0.2" ht="39.5" customHeight="1">
      <c r="A430" t="s" s="265">
        <v>2995</v>
      </c>
      <c r="B430" t="s" s="266">
        <v>2996</v>
      </c>
      <c r="C430" t="s" s="265">
        <v>61</v>
      </c>
      <c r="D430" s="210">
        <f>FLOOR(spg_dur/60,interval_res)+interval_res</f>
        <v>0.02</v>
      </c>
      <c r="E430" t="s" s="306">
        <v>2997</v>
      </c>
    </row>
    <row r="431" x14ac:dyDescent="0.2" ht="27" customHeight="1">
      <c r="A431" t="s" s="265">
        <v>2998</v>
      </c>
      <c r="B431" t="s" s="266">
        <v>2999</v>
      </c>
      <c r="C431" t="s" s="265">
        <v>108</v>
      </c>
      <c r="D431" s="198">
        <f>(grid_t_max/grid_t_min)^(1/99)</f>
        <v>1.120064526836</v>
      </c>
      <c r="E431" t="s" s="306">
        <v>3000</v>
      </c>
    </row>
    <row r="432" x14ac:dyDescent="0.2" ht="77" customHeight="1">
      <c r="A432" t="s" s="265">
        <v>3001</v>
      </c>
      <c r="B432" t="s" s="266">
        <v>3002</v>
      </c>
      <c r="C432" t="s" s="265">
        <v>61</v>
      </c>
      <c r="D432" s="196">
        <f>IF(CO2_pH_hi_mt&lt;=0,"no pH bound",IF(INDEX(pHg_C,1)&lt;CO2_pH_hi_mt,"pH above the band ceiling at any interval – reduce the N₂ sweep or the added alkalinity",IF(MAX(pHg_x)&gt;0,MAX(pHg_x),"no pH bound")))</f>
        <v>212.486056390007</v>
      </c>
      <c r="E432" t="s" s="306">
        <v>3003</v>
      </c>
    </row>
    <row r="433" x14ac:dyDescent="0.2" ht="27" customHeight="1">
      <c r="A433" t="s" s="265">
        <v>3004</v>
      </c>
      <c r="B433" t="s" s="266">
        <v>3005</v>
      </c>
      <c r="C433" t="s" s="265">
        <v>61</v>
      </c>
      <c r="D433" s="196">
        <f>IF(ISNUMBER(spg_int_pH),spg_int_pH*spg_dur_eq_opt/spg_dur_eq,"no pH bound")</f>
        <v>219.190137944744</v>
      </c>
      <c r="E433" t="s" s="306">
        <v>3006</v>
      </c>
    </row>
    <row r="434" x14ac:dyDescent="0.2" ht="27" customHeight="1">
      <c r="A434" t="s" s="265">
        <v>3007</v>
      </c>
      <c r="B434" t="s" s="266">
        <v>3008</v>
      </c>
      <c r="C434" t="s" s="265">
        <v>108</v>
      </c>
      <c r="D434" s="201" t="b">
        <f>AND(CO2_pH_hi_mt&gt;0,INDEX(pHg_C,1)&lt;CO2_pH_hi_mt)</f>
        <v>0</v>
      </c>
      <c r="E434" t="s" s="306">
        <v>3009</v>
      </c>
    </row>
    <row r="435" x14ac:dyDescent="0.2" ht="39.5" customHeight="1">
      <c r="A435" t="s" s="265">
        <v>3010</v>
      </c>
      <c r="B435" t="s" s="266">
        <v>3011</v>
      </c>
      <c r="C435" t="s" s="265">
        <v>108</v>
      </c>
      <c r="D435" s="201" t="str">
        <f>IF(C_cycle_start&lt;C_air_CO2,"WATCH – the carbon pool empties within the cycle (pulse-start CO₂ below air equilibrium): fixation outruns supply at this interval","OK")</f>
        <v>OK</v>
      </c>
      <c r="E435" t="s" s="306">
        <v>3012</v>
      </c>
    </row>
    <row r="436" x14ac:dyDescent="0.2">
      <c r="A436" t="s" s="265">
        <v>3013</v>
      </c>
      <c r="B436" t="s" s="266">
        <v>3014</v>
      </c>
      <c r="C436" t="s" s="265">
        <v>61</v>
      </c>
      <c r="D436" s="268">
        <v>1500</v>
      </c>
      <c r="E436" t="s" s="310">
        <v>3015</v>
      </c>
    </row>
    <row r="438" hidden="1"/>
    <row r="439" x14ac:dyDescent="0.2">
      <c r="A439" t="s" s="263">
        <v>3016</v>
      </c>
      <c r="B439" t="s" s="263">
        <v>3017</v>
      </c>
      <c r="C439" t="s" s="263">
        <v>3018</v>
      </c>
      <c r="D439" t="s" s="263">
        <v>3019</v>
      </c>
      <c r="E439" t="s" s="263">
        <v>3020</v>
      </c>
      <c r="F439" t="s" s="263">
        <v>3021</v>
      </c>
      <c r="G439" t="s" s="263">
        <v>3022</v>
      </c>
      <c r="H439" t="s" s="263">
        <v>3023</v>
      </c>
      <c r="I439" t="s" s="263">
        <v>3024</v>
      </c>
      <c r="J439" t="s" s="263">
        <v>3025</v>
      </c>
      <c r="K439" t="inlineStr" s="263">
        <is>
          <t>Trough crossing (min)</t>
        </is>
      </c>
      <c r="L439" t="s" s="263">
        <v>3026</v>
      </c>
      <c r="M439" t="s" s="263">
        <v>3027</v>
      </c>
      <c r="N439" t="s" s="263">
        <v>3028</v>
      </c>
      <c r="O439" t="s" s="263">
        <v>3029</v>
      </c>
      <c r="P439" t="s" s="263">
        <v>3030</v>
      </c>
      <c r="Q439" t="s" s="263">
        <v>3031</v>
      </c>
      <c r="R439" t="s" s="263">
        <v>3032</v>
      </c>
      <c r="S439" t="s" s="263">
        <v>3033</v>
      </c>
    </row>
    <row r="440" x14ac:dyDescent="0.2">
      <c r="A440" s="210">
        <f>grid_t_min</f>
        <v>0.02</v>
      </c>
      <c r="B440" s="199">
        <f t="shared" ref="B440:B471" si="0">MAX(0,A440*60-spg_dur)</f>
        <v>0.55</v>
      </c>
      <c r="C440" s="209">
        <f t="shared" ref="C440:C471" si="1">k_eff_CO2*B440</f>
        <v>7.986493009448e-06</v>
      </c>
      <c r="D440" s="199">
        <f t="shared" ref="D440:D471" si="2">EXP(-C440)</f>
        <v>0.999992013539</v>
      </c>
      <c r="E440" s="199">
        <f t="shared" ref="E440:E471" si="3">IF(C440&gt;x_series,(1-EXP(-C440))/C440,1-C440/2+C440^2/6-C440^3/24)</f>
        <v>0.999996006764</v>
      </c>
      <c r="F440" s="199">
        <f t="shared" ref="F440:F471" si="4">IF(C440&gt;x_series,(C440-1+EXP(-C440))/C440^2,1/2-C440/6+C440^2/24-C440^3/120)</f>
        <v>0.49999866892</v>
      </c>
      <c r="G440" s="209">
        <f t="shared" ref="G440:G471" si="5">(C_air_CO2/C_sat_CO2*F_vent_ex-CO2_fix_sched)*(B440/3600)/(V_L_CO2+Vg_CO2)</f>
        <v>-0.0001055357268577</v>
      </c>
      <c r="H440" s="212">
        <f t="shared" ref="H440:H471" si="6">(G440*E440+pool_b*D440)/(1-pool_ret*D440)</f>
        <v>28.052147539797</v>
      </c>
      <c r="I440" s="212">
        <f t="shared" ref="I440:I471" si="7">MIN(C_sat_CO2,MAX(C_air_CO2,(pool_ret*H440+pool_b)*E440+G440*F440))</f>
        <v>28.052312327239</v>
      </c>
      <c r="J440" s="262">
        <f t="shared" ref="J440:J471" si="8">IF(AND(I440&gt;=CO2_pH_hi_mt,I441&lt;CO2_pH_hi_mt),EXP(LN(A440)+(LN(A441)-LN(A440))*(I440-CO2_pH_hi_mt)/(I440-I441)),0)</f>
        <v>0.0</v>
      </c>
      <c r="K440" s="277">
        <f>IF(AND(H440&gt;=CO2_trough_mt,H441&lt;CO2_trough_mt),EXP(LN(A440)+(LN(A441)-LN(A440))*(H440-CO2_trough_mt)/(H440-H441)),0)</f>
        <v>0.0</v>
      </c>
      <c r="L440" s="209">
        <f t="shared" ref="L440:L471" si="9">k_eff_CO2_l*B440</f>
        <v>4.313472514964e-05</v>
      </c>
      <c r="M440" s="199">
        <f t="shared" ref="M440:M471" si="10">EXP(-L440)</f>
        <v>0.999956866205</v>
      </c>
      <c r="N440" s="199">
        <f t="shared" ref="N440:N471" si="11">IF(L440&gt;x_series,(1-EXP(-L440))/L440,1-L440/2+L440^2/6-L440^3/24)</f>
        <v>0.999978432948</v>
      </c>
      <c r="O440" s="199">
        <f t="shared" ref="O440:O471" si="12">IF(L440&gt;x_series,(L440-1+EXP(-L440))/L440^2,1/2-L440/6+L440^2/24-L440^3/120)</f>
        <v>0.499992810957</v>
      </c>
      <c r="P440" s="209">
        <f t="shared" ref="P440:P471" si="13">(C_air_CO2/C_sat_CO2*F_vent_ex-CO2_fix_l)*(B440/3600)/(V_L_CO2+Vg_CO2)</f>
        <v>9.231456803077e-08</v>
      </c>
      <c r="Q440" s="212">
        <f t="shared" ref="Q440:Q471" si="14">(P440*N440+pool_b*M440)/(1-pool_ret*M440)</f>
        <v>28.042637432812</v>
      </c>
      <c r="R440" s="212">
        <f t="shared" ref="R440:R471" si="15">MIN(C_sat_CO2,MAX(C_air_CO2,(pool_ret*Q440+pool_b)*N440+P440*O440))</f>
        <v>28.043242201079</v>
      </c>
      <c r="S440" s="262">
        <f t="shared" ref="S440:S471" si="16">IF(AND(R440&gt;=CO2_pH_hi_mt,R441&lt;CO2_pH_hi_mt),EXP(LN(A440)+(LN(A441)-LN(A440))*(R440-CO2_pH_hi_mt)/(R440-R441)),0)</f>
        <v>0.0</v>
      </c>
    </row>
    <row r="441" x14ac:dyDescent="0.2">
      <c r="A441" s="210">
        <f t="shared" ref="A441:A472" si="17">A440*grid_ratio</f>
        <v>0.022401290537</v>
      </c>
      <c r="B441" s="199">
        <f t="shared" si="0"/>
        <v>0.694077432204</v>
      </c>
      <c r="C441" s="209">
        <f t="shared" si="1"/>
        <v>1.007862647329e-05</v>
      </c>
      <c r="D441" s="199">
        <f t="shared" si="2"/>
        <v>0.999989921424</v>
      </c>
      <c r="E441" s="199">
        <f t="shared" si="3"/>
        <v>0.999994960704</v>
      </c>
      <c r="F441" s="199">
        <f t="shared" si="4"/>
        <v>0.499998320233</v>
      </c>
      <c r="G441" s="209">
        <f t="shared" si="5"/>
        <v>-0.0001331817569148</v>
      </c>
      <c r="H441" s="212">
        <f t="shared" si="6"/>
        <v>28.051214585379</v>
      </c>
      <c r="I441" s="212">
        <f t="shared" si="7"/>
        <v>28.051422535813</v>
      </c>
      <c r="J441" s="262">
        <f t="shared" si="8"/>
        <v>0.0</v>
      </c>
      <c r="K441" s="277">
        <f>IF(AND(H441&gt;=CO2_trough_mt,H442&lt;CO2_trough_mt),EXP(LN(A441)+(LN(A442)-LN(A441))*(H441-CO2_trough_mt)/(H441-H442)),0)</f>
        <v>0.0</v>
      </c>
      <c r="L441" s="209">
        <f t="shared" si="9"/>
        <v>5.44342532194e-05</v>
      </c>
      <c r="M441" s="199">
        <f t="shared" si="10"/>
        <v>0.999945567228</v>
      </c>
      <c r="N441" s="199">
        <f t="shared" si="11"/>
        <v>0.999972783367</v>
      </c>
      <c r="O441" s="199">
        <f t="shared" si="12"/>
        <v>0.499990927748</v>
      </c>
      <c r="P441" s="209">
        <f t="shared" si="13"/>
        <v>1.164971969705e-07</v>
      </c>
      <c r="Q441" s="212">
        <f t="shared" si="14"/>
        <v>28.039215043872</v>
      </c>
      <c r="R441" s="212">
        <f t="shared" si="15"/>
        <v>28.039978146336</v>
      </c>
      <c r="S441" s="262">
        <f t="shared" si="16"/>
        <v>0.0</v>
      </c>
    </row>
    <row r="442" x14ac:dyDescent="0.2">
      <c r="A442" s="210">
        <f t="shared" si="17"/>
        <v>0.025090890886</v>
      </c>
      <c r="B442" s="199">
        <f t="shared" si="0"/>
        <v>0.855453453132</v>
      </c>
      <c r="C442" s="209">
        <f t="shared" si="1"/>
        <v>1.242195095155e-05</v>
      </c>
      <c r="D442" s="199">
        <f t="shared" si="2"/>
        <v>0.999987578126</v>
      </c>
      <c r="E442" s="199">
        <f t="shared" si="3"/>
        <v>0.99999378905</v>
      </c>
      <c r="F442" s="199">
        <f t="shared" si="4"/>
        <v>0.499997929681</v>
      </c>
      <c r="G442" s="209">
        <f t="shared" si="5"/>
        <v>-0.0001641470944896</v>
      </c>
      <c r="H442" s="212">
        <f t="shared" si="6"/>
        <v>28.050169663999</v>
      </c>
      <c r="I442" s="212">
        <f t="shared" si="7"/>
        <v>28.050425957523</v>
      </c>
      <c r="J442" s="262">
        <f t="shared" si="8"/>
        <v>0.0</v>
      </c>
      <c r="K442" s="277">
        <f>IF(AND(H442&gt;=CO2_trough_mt,H443&lt;CO2_trough_mt),EXP(LN(A442)+(LN(A443)-LN(A442))*(H442-CO2_trough_mt)/(H442-H443)),0)</f>
        <v>0.0</v>
      </c>
      <c r="L442" s="209">
        <f t="shared" si="9"/>
        <v>6.709045378032e-05</v>
      </c>
      <c r="M442" s="199">
        <f t="shared" si="10"/>
        <v>0.999932911797</v>
      </c>
      <c r="N442" s="199">
        <f t="shared" si="11"/>
        <v>0.999966455523</v>
      </c>
      <c r="O442" s="199">
        <f t="shared" si="12"/>
        <v>0.499988818445</v>
      </c>
      <c r="P442" s="209">
        <f t="shared" si="13"/>
        <v>1.435833018116e-07</v>
      </c>
      <c r="Q442" s="212">
        <f t="shared" si="14"/>
        <v>28.035382693285</v>
      </c>
      <c r="R442" s="212">
        <f t="shared" si="15"/>
        <v>28.036323095797</v>
      </c>
      <c r="S442" s="262">
        <f t="shared" si="16"/>
        <v>0.0</v>
      </c>
    </row>
    <row r="443" x14ac:dyDescent="0.2">
      <c r="A443" s="210">
        <f t="shared" si="17"/>
        <v>0.028103416828</v>
      </c>
      <c r="B443" s="198">
        <f t="shared" si="0"/>
        <v>1.036205009657</v>
      </c>
      <c r="C443" s="209">
        <f t="shared" si="1"/>
        <v>1.504662557451e-05</v>
      </c>
      <c r="D443" s="199">
        <f t="shared" si="2"/>
        <v>0.999984953488</v>
      </c>
      <c r="E443" s="199">
        <f t="shared" si="3"/>
        <v>0.999992476725</v>
      </c>
      <c r="F443" s="199">
        <f t="shared" si="4"/>
        <v>0.499997492239</v>
      </c>
      <c r="G443" s="209">
        <f t="shared" si="5"/>
        <v>-0.0001988302706686</v>
      </c>
      <c r="H443" s="212">
        <f t="shared" si="6"/>
        <v>28.04899934455</v>
      </c>
      <c r="I443" s="212">
        <f t="shared" si="7"/>
        <v>28.049309782637</v>
      </c>
      <c r="J443" s="262">
        <f t="shared" si="8"/>
        <v>0.0</v>
      </c>
      <c r="K443" s="277">
        <f>IF(AND(H443&gt;=CO2_trough_mt,H444&lt;CO2_trough_mt),EXP(LN(A443)+(LN(A444)-LN(A443))*(H443-CO2_trough_mt)/(H443-H444)),0)</f>
        <v>0.0</v>
      </c>
      <c r="L443" s="209">
        <f t="shared" si="9"/>
        <v>8.126621507314e-05</v>
      </c>
      <c r="M443" s="199">
        <f t="shared" si="10"/>
        <v>0.999918737087</v>
      </c>
      <c r="N443" s="199">
        <f t="shared" si="11"/>
        <v>0.999959367993</v>
      </c>
      <c r="O443" s="199">
        <f t="shared" si="12"/>
        <v>0.499986455906</v>
      </c>
      <c r="P443" s="209">
        <f t="shared" si="13"/>
        <v>1.739214870142e-07</v>
      </c>
      <c r="Q443" s="212">
        <f t="shared" si="14"/>
        <v>28.031091399497</v>
      </c>
      <c r="R443" s="212">
        <f t="shared" si="15"/>
        <v>28.03223033374</v>
      </c>
      <c r="S443" s="262">
        <f t="shared" si="16"/>
        <v>0.0</v>
      </c>
    </row>
    <row r="444" x14ac:dyDescent="0.2">
      <c r="A444" s="210">
        <f t="shared" si="17"/>
        <v>0.031477640272</v>
      </c>
      <c r="B444" s="198">
        <f t="shared" si="0"/>
        <v>1.23865841629</v>
      </c>
      <c r="C444" s="209">
        <f t="shared" si="1"/>
        <v>1.798643051418e-05</v>
      </c>
      <c r="D444" s="199">
        <f t="shared" si="2"/>
        <v>0.999982013731</v>
      </c>
      <c r="E444" s="199">
        <f t="shared" si="3"/>
        <v>0.999991006839</v>
      </c>
      <c r="F444" s="199">
        <f t="shared" si="4"/>
        <v>0.499997002275</v>
      </c>
      <c r="G444" s="209">
        <f t="shared" si="5"/>
        <v>-0.0002376776659848</v>
      </c>
      <c r="H444" s="212">
        <f t="shared" si="6"/>
        <v>28.047688586418</v>
      </c>
      <c r="I444" s="212">
        <f t="shared" si="7"/>
        <v>28.048059666376</v>
      </c>
      <c r="J444" s="262">
        <f t="shared" si="8"/>
        <v>0.0</v>
      </c>
      <c r="K444" s="277">
        <f>IF(AND(H444&gt;=CO2_trough_mt,H445&lt;CO2_trough_mt),EXP(LN(A444)+(LN(A445)-LN(A444))*(H444-CO2_trough_mt)/(H444-H445)),0)</f>
        <v>0.0</v>
      </c>
      <c r="L444" s="209">
        <f t="shared" si="9"/>
        <v>9.714398243813e-05</v>
      </c>
      <c r="M444" s="199">
        <f t="shared" si="10"/>
        <v>0.999902860736</v>
      </c>
      <c r="N444" s="199">
        <f t="shared" si="11"/>
        <v>0.999951429582</v>
      </c>
      <c r="O444" s="199">
        <f t="shared" si="12"/>
        <v>0.499983809729</v>
      </c>
      <c r="P444" s="209">
        <f t="shared" si="13"/>
        <v>2.079022120682e-07</v>
      </c>
      <c r="Q444" s="212">
        <f t="shared" si="14"/>
        <v>28.026286360987</v>
      </c>
      <c r="R444" s="212">
        <f t="shared" si="15"/>
        <v>28.027647593649</v>
      </c>
      <c r="S444" s="262">
        <f t="shared" si="16"/>
        <v>0.0</v>
      </c>
    </row>
    <row r="445" x14ac:dyDescent="0.2">
      <c r="A445" s="210">
        <f t="shared" si="17"/>
        <v>0.035256988257</v>
      </c>
      <c r="B445" s="198">
        <f t="shared" si="0"/>
        <v>1.465419295398</v>
      </c>
      <c r="C445" s="209">
        <f t="shared" si="1"/>
        <v>2.127920174292e-05</v>
      </c>
      <c r="D445" s="199">
        <f t="shared" si="2"/>
        <v>0.999978721025</v>
      </c>
      <c r="E445" s="199">
        <f t="shared" si="3"/>
        <v>0.999989360475</v>
      </c>
      <c r="F445" s="199">
        <f t="shared" si="4"/>
        <v>0.499996453485</v>
      </c>
      <c r="G445" s="209">
        <f t="shared" si="5"/>
        <v>-0.0002811892554384</v>
      </c>
      <c r="H445" s="212">
        <f t="shared" si="6"/>
        <v>28.046220547025</v>
      </c>
      <c r="I445" s="212">
        <f t="shared" si="7"/>
        <v>28.046659545359</v>
      </c>
      <c r="J445" s="262">
        <f t="shared" si="8"/>
        <v>0.0</v>
      </c>
      <c r="K445" s="277">
        <f>IF(AND(H445&gt;=CO2_trough_mt,H446&lt;CO2_trough_mt),EXP(LN(A445)+(LN(A446)-LN(A445))*(H445-CO2_trough_mt)/(H445-H446)),0)</f>
        <v>0.0</v>
      </c>
      <c r="L445" s="209">
        <f t="shared" si="9"/>
        <v>0.000114928106429</v>
      </c>
      <c r="M445" s="199">
        <f t="shared" si="10"/>
        <v>0.999885078498</v>
      </c>
      <c r="N445" s="199">
        <f t="shared" si="11"/>
        <v>0.999942538148</v>
      </c>
      <c r="O445" s="199">
        <f t="shared" si="12"/>
        <v>0.499980845866</v>
      </c>
      <c r="P445" s="209">
        <f t="shared" si="13"/>
        <v>2.459628167974e-07</v>
      </c>
      <c r="Q445" s="212">
        <f t="shared" si="14"/>
        <v>28.020906272939</v>
      </c>
      <c r="R445" s="212">
        <f t="shared" si="15"/>
        <v>28.022516406489</v>
      </c>
      <c r="S445" s="262">
        <f t="shared" si="16"/>
        <v>0.0</v>
      </c>
    </row>
    <row r="446" x14ac:dyDescent="0.2">
      <c r="A446" s="210">
        <f t="shared" si="17"/>
        <v>0.039490101869</v>
      </c>
      <c r="B446" s="198">
        <f t="shared" si="0"/>
        <v>1.71940611216</v>
      </c>
      <c r="C446" s="209">
        <f t="shared" si="1"/>
        <v>2.496731799121e-05</v>
      </c>
      <c r="D446" s="199">
        <f t="shared" si="2"/>
        <v>0.999975032994</v>
      </c>
      <c r="E446" s="199">
        <f t="shared" si="3"/>
        <v>0.999987516445</v>
      </c>
      <c r="F446" s="199">
        <f t="shared" si="4"/>
        <v>0.499995838806</v>
      </c>
      <c r="G446" s="209">
        <f t="shared" si="5"/>
        <v>-0.0003299250432917</v>
      </c>
      <c r="H446" s="212">
        <f t="shared" si="6"/>
        <v>28.044576366461</v>
      </c>
      <c r="I446" s="212">
        <f t="shared" si="7"/>
        <v>28.045091432197</v>
      </c>
      <c r="J446" s="262">
        <f t="shared" si="8"/>
        <v>0.0</v>
      </c>
      <c r="K446" s="277">
        <f>IF(AND(H446&gt;=CO2_trough_mt,H447&lt;CO2_trough_mt),EXP(LN(A446)+(LN(A447)-LN(A446))*(H446-CO2_trough_mt)/(H446-H447)),0)</f>
        <v>0.0</v>
      </c>
      <c r="L446" s="209">
        <f t="shared" si="9"/>
        <v>0.0001348474728521</v>
      </c>
      <c r="M446" s="199">
        <f t="shared" si="10"/>
        <v>0.999865161619</v>
      </c>
      <c r="N446" s="199">
        <f t="shared" si="11"/>
        <v>0.999932579294</v>
      </c>
      <c r="O446" s="199">
        <f t="shared" si="12"/>
        <v>0.499977526179</v>
      </c>
      <c r="P446" s="209">
        <f t="shared" si="13"/>
        <v>2.885931500246e-07</v>
      </c>
      <c r="Q446" s="212">
        <f t="shared" si="14"/>
        <v>28.014882565771</v>
      </c>
      <c r="R446" s="212">
        <f t="shared" si="15"/>
        <v>28.016771374432</v>
      </c>
      <c r="S446" s="262">
        <f t="shared" si="16"/>
        <v>0.0</v>
      </c>
    </row>
    <row r="447" x14ac:dyDescent="0.2">
      <c r="A447" s="210">
        <f t="shared" si="17"/>
        <v>0.044231462265</v>
      </c>
      <c r="B447" s="198">
        <f t="shared" si="0"/>
        <v>2.003887735899</v>
      </c>
      <c r="C447" s="209">
        <f t="shared" si="1"/>
        <v>2.909824617178e-05</v>
      </c>
      <c r="D447" s="199">
        <f t="shared" si="2"/>
        <v>0.999970902177</v>
      </c>
      <c r="E447" s="199">
        <f t="shared" si="3"/>
        <v>0.999985451018</v>
      </c>
      <c r="F447" s="199">
        <f t="shared" si="4"/>
        <v>0.499995150328</v>
      </c>
      <c r="G447" s="209">
        <f t="shared" si="5"/>
        <v>-0.0003845122704535</v>
      </c>
      <c r="H447" s="212">
        <f t="shared" si="6"/>
        <v>28.042734926511</v>
      </c>
      <c r="I447" s="212">
        <f t="shared" si="7"/>
        <v>28.04333518567</v>
      </c>
      <c r="J447" s="262">
        <f t="shared" si="8"/>
        <v>0.0</v>
      </c>
      <c r="K447" s="277">
        <f>IF(AND(H447&gt;=CO2_trough_mt,H448&lt;CO2_trough_mt),EXP(LN(A447)+(LN(A448)-LN(A447))*(H447-CO2_trough_mt)/(H447-H448)),0)</f>
        <v>0.0</v>
      </c>
      <c r="L447" s="209">
        <f t="shared" si="9"/>
        <v>0.0001571584485796</v>
      </c>
      <c r="M447" s="199">
        <f t="shared" si="10"/>
        <v>0.9998428539</v>
      </c>
      <c r="N447" s="199">
        <f t="shared" si="11"/>
        <v>0.999921424892</v>
      </c>
      <c r="O447" s="199">
        <f t="shared" si="12"/>
        <v>0.499973807954</v>
      </c>
      <c r="P447" s="209">
        <f t="shared" si="13"/>
        <v>3.363418740395e-07</v>
      </c>
      <c r="Q447" s="212">
        <f t="shared" si="14"/>
        <v>28.00813855713</v>
      </c>
      <c r="R447" s="212">
        <f t="shared" si="15"/>
        <v>28.010339362051</v>
      </c>
      <c r="S447" s="262">
        <f t="shared" si="16"/>
        <v>0.0</v>
      </c>
    </row>
    <row r="448" x14ac:dyDescent="0.2">
      <c r="A448" s="210">
        <f t="shared" si="17"/>
        <v>0.049542091853</v>
      </c>
      <c r="B448" s="198">
        <f t="shared" si="0"/>
        <v>2.322525511187</v>
      </c>
      <c r="C448" s="209">
        <f t="shared" si="1"/>
        <v>3.372515228974e-05</v>
      </c>
      <c r="D448" s="199">
        <f t="shared" si="2"/>
        <v>0.999966275416</v>
      </c>
      <c r="E448" s="199">
        <f t="shared" si="3"/>
        <v>0.999983137613</v>
      </c>
      <c r="F448" s="199">
        <f t="shared" si="4"/>
        <v>0.499994379189</v>
      </c>
      <c r="G448" s="209">
        <f t="shared" si="5"/>
        <v>-0.0004456534872159</v>
      </c>
      <c r="H448" s="212">
        <f t="shared" si="6"/>
        <v>28.040672581064</v>
      </c>
      <c r="I448" s="212">
        <f t="shared" si="7"/>
        <v>28.041368253604</v>
      </c>
      <c r="J448" s="262">
        <f t="shared" si="8"/>
        <v>0.0</v>
      </c>
      <c r="K448" s="277">
        <f>IF(AND(H448&gt;=CO2_trough_mt,H449&lt;CO2_trough_mt),EXP(LN(A448)+(LN(A449)-LN(A448))*(H448-CO2_trough_mt)/(H448-H449)),0)</f>
        <v>0.0</v>
      </c>
      <c r="L448" s="209">
        <f t="shared" si="9"/>
        <v>0.000182148181051</v>
      </c>
      <c r="M448" s="199">
        <f t="shared" si="10"/>
        <v>0.999817868407</v>
      </c>
      <c r="N448" s="199">
        <f t="shared" si="11"/>
        <v>0.999908931439</v>
      </c>
      <c r="O448" s="199">
        <f t="shared" si="12"/>
        <v>0.499969643352</v>
      </c>
      <c r="P448" s="209">
        <f t="shared" si="13"/>
        <v>3.898235260103e-07</v>
      </c>
      <c r="Q448" s="212">
        <f t="shared" si="14"/>
        <v>28.00058850816</v>
      </c>
      <c r="R448" s="212">
        <f t="shared" si="15"/>
        <v>28.00313859621</v>
      </c>
      <c r="S448" s="262">
        <f t="shared" si="16"/>
        <v>0.0</v>
      </c>
    </row>
    <row r="449" x14ac:dyDescent="0.2">
      <c r="A449" s="210">
        <f t="shared" si="17"/>
        <v>0.05549033967</v>
      </c>
      <c r="B449" s="198">
        <f t="shared" si="0"/>
        <v>2.679420380196</v>
      </c>
      <c r="C449" s="209">
        <f t="shared" si="1"/>
        <v>3.890758570148e-05</v>
      </c>
      <c r="D449" s="199">
        <f t="shared" si="2"/>
        <v>0.999961093171</v>
      </c>
      <c r="E449" s="199">
        <f t="shared" si="3"/>
        <v>0.999980546459</v>
      </c>
      <c r="F449" s="199">
        <f t="shared" si="4"/>
        <v>0.499993515465</v>
      </c>
      <c r="G449" s="209">
        <f t="shared" si="5"/>
        <v>-0.000514135595239</v>
      </c>
      <c r="H449" s="212">
        <f t="shared" si="6"/>
        <v>28.038362854548</v>
      </c>
      <c r="I449" s="212">
        <f t="shared" si="7"/>
        <v>28.039165385257</v>
      </c>
      <c r="J449" s="262">
        <f t="shared" si="8"/>
        <v>0.0</v>
      </c>
      <c r="K449" s="277">
        <f>IF(AND(H449&gt;=CO2_trough_mt,H450&lt;CO2_trough_mt),EXP(LN(A449)+(LN(A450)-LN(A449))*(H449-CO2_trough_mt)/(H449-H450)),0)</f>
        <v>0.0</v>
      </c>
      <c r="L449" s="209">
        <f t="shared" si="9"/>
        <v>0.0002101382939275</v>
      </c>
      <c r="M449" s="199">
        <f t="shared" si="10"/>
        <v>0.999789883784</v>
      </c>
      <c r="N449" s="199">
        <f t="shared" si="11"/>
        <v>0.999894938212</v>
      </c>
      <c r="O449" s="199">
        <f t="shared" si="12"/>
        <v>0.499964978791</v>
      </c>
      <c r="P449" s="209">
        <f t="shared" si="13"/>
        <v>4.497264272194e-07</v>
      </c>
      <c r="Q449" s="212">
        <f t="shared" si="14"/>
        <v>27.992136574119</v>
      </c>
      <c r="R449" s="212">
        <f t="shared" si="15"/>
        <v>27.995077665176</v>
      </c>
      <c r="S449" s="262">
        <f t="shared" si="16"/>
        <v>0.0</v>
      </c>
    </row>
    <row r="450" x14ac:dyDescent="0.2">
      <c r="A450" s="210">
        <f t="shared" si="17"/>
        <v>0.062152761046</v>
      </c>
      <c r="B450" s="198">
        <f t="shared" si="0"/>
        <v>3.079165662784</v>
      </c>
      <c r="C450" s="209">
        <f t="shared" si="1"/>
        <v>4.471224552865e-05</v>
      </c>
      <c r="D450" s="199">
        <f t="shared" si="2"/>
        <v>0.999955288754</v>
      </c>
      <c r="E450" s="199">
        <f t="shared" si="3"/>
        <v>0.99997764421</v>
      </c>
      <c r="F450" s="199">
        <f t="shared" si="4"/>
        <v>0.499992548042</v>
      </c>
      <c r="G450" s="209">
        <f t="shared" si="5"/>
        <v>-0.0005908399751586</v>
      </c>
      <c r="H450" s="212">
        <f t="shared" si="6"/>
        <v>28.035776104652</v>
      </c>
      <c r="I450" s="212">
        <f t="shared" si="7"/>
        <v>28.036698309637</v>
      </c>
      <c r="J450" s="262">
        <f t="shared" si="8"/>
        <v>0.0</v>
      </c>
      <c r="K450" s="277">
        <f>IF(AND(H450&gt;=CO2_trough_mt,H451&lt;CO2_trough_mt),EXP(LN(A450)+(LN(A451)-LN(A450))*(H450-CO2_trough_mt)/(H450-H451)),0)</f>
        <v>0.0</v>
      </c>
      <c r="L450" s="209">
        <f t="shared" si="9"/>
        <v>0.0002414890264625</v>
      </c>
      <c r="M450" s="199">
        <f t="shared" si="10"/>
        <v>0.99975854013</v>
      </c>
      <c r="N450" s="199">
        <f t="shared" si="11"/>
        <v>0.999879265206</v>
      </c>
      <c r="O450" s="199">
        <f t="shared" si="12"/>
        <v>0.499959754259</v>
      </c>
      <c r="P450" s="209">
        <f t="shared" si="13"/>
        <v>5.168215419183e-07</v>
      </c>
      <c r="Q450" s="212">
        <f t="shared" si="14"/>
        <v>27.982675638531</v>
      </c>
      <c r="R450" s="212">
        <f t="shared" si="15"/>
        <v>27.986054406642</v>
      </c>
      <c r="S450" s="262">
        <f t="shared" si="16"/>
        <v>0.0</v>
      </c>
    </row>
    <row r="451" x14ac:dyDescent="0.2">
      <c r="A451" s="210">
        <f t="shared" si="17"/>
        <v>0.069615102893</v>
      </c>
      <c r="B451" s="198">
        <f t="shared" si="0"/>
        <v>3.52690617358</v>
      </c>
      <c r="C451" s="209">
        <f t="shared" si="1"/>
        <v>5.121383909141e-05</v>
      </c>
      <c r="D451" s="199">
        <f t="shared" si="2"/>
        <v>0.999948787472</v>
      </c>
      <c r="E451" s="199">
        <f t="shared" si="3"/>
        <v>0.999974393518</v>
      </c>
      <c r="F451" s="199">
        <f t="shared" si="4"/>
        <v>0.499991464469</v>
      </c>
      <c r="G451" s="209">
        <f t="shared" si="5"/>
        <v>-0.0006767538301596</v>
      </c>
      <c r="H451" s="212">
        <f t="shared" si="6"/>
        <v>28.03287914517</v>
      </c>
      <c r="I451" s="212">
        <f t="shared" si="7"/>
        <v>28.033935375798</v>
      </c>
      <c r="J451" s="262">
        <f t="shared" si="8"/>
        <v>0.0</v>
      </c>
      <c r="K451" s="277">
        <f>IF(AND(H451&gt;=CO2_trough_mt,H452&lt;CO2_trough_mt),EXP(LN(A451)+(LN(A452)-LN(A451))*(H451-CO2_trough_mt)/(H451-H452)),0)</f>
        <v>0.0</v>
      </c>
      <c r="L451" s="209">
        <f t="shared" si="9"/>
        <v>0.0002766038698654</v>
      </c>
      <c r="M451" s="199">
        <f t="shared" si="10"/>
        <v>0.999723434381</v>
      </c>
      <c r="N451" s="199">
        <f t="shared" si="11"/>
        <v>0.999861710816</v>
      </c>
      <c r="O451" s="199">
        <f t="shared" si="12"/>
        <v>0.499953902543</v>
      </c>
      <c r="P451" s="209">
        <f t="shared" si="13"/>
        <v>5.919723998166e-07</v>
      </c>
      <c r="Q451" s="212">
        <f t="shared" si="14"/>
        <v>27.972086019301</v>
      </c>
      <c r="R451" s="212">
        <f t="shared" si="15"/>
        <v>27.975954673622</v>
      </c>
      <c r="S451" s="262">
        <f t="shared" si="16"/>
        <v>0.0</v>
      </c>
    </row>
    <row r="452" x14ac:dyDescent="0.2">
      <c r="A452" s="210">
        <f t="shared" si="17"/>
        <v>0.077973407283</v>
      </c>
      <c r="B452" s="198">
        <f t="shared" si="0"/>
        <v>4.028404436951</v>
      </c>
      <c r="C452" s="209">
        <f t="shared" si="1"/>
        <v>5.849604340898e-05</v>
      </c>
      <c r="D452" s="199">
        <f t="shared" si="2"/>
        <v>0.999941505667</v>
      </c>
      <c r="E452" s="199">
        <f t="shared" si="3"/>
        <v>0.999970752549</v>
      </c>
      <c r="F452" s="199">
        <f t="shared" si="4"/>
        <v>0.499990250802</v>
      </c>
      <c r="G452" s="209">
        <f t="shared" si="5"/>
        <v>-0.00077298289151</v>
      </c>
      <c r="H452" s="212">
        <f t="shared" si="6"/>
        <v>28.029634824341</v>
      </c>
      <c r="I452" s="212">
        <f t="shared" si="7"/>
        <v>28.030841150676</v>
      </c>
      <c r="J452" s="262">
        <f t="shared" si="8"/>
        <v>0.0</v>
      </c>
      <c r="K452" s="277">
        <f>IF(AND(H452&gt;=CO2_trough_mt,H453&lt;CO2_trough_mt),EXP(LN(A452)+(LN(A453)-LN(A452))*(H452-CO2_trough_mt)/(H452-H453)),0)</f>
        <v>0.0</v>
      </c>
      <c r="L452" s="209">
        <f t="shared" si="9"/>
        <v>0.0003159347603263</v>
      </c>
      <c r="M452" s="199">
        <f t="shared" si="10"/>
        <v>0.999684115142</v>
      </c>
      <c r="N452" s="199">
        <f t="shared" si="11"/>
        <v>0.999842049254</v>
      </c>
      <c r="O452" s="199">
        <f t="shared" si="12"/>
        <v>0.499947348365</v>
      </c>
      <c r="P452" s="209">
        <f t="shared" si="13"/>
        <v>6.761462099097e-07</v>
      </c>
      <c r="Q452" s="212">
        <f t="shared" si="14"/>
        <v>27.960234034374</v>
      </c>
      <c r="R452" s="212">
        <f t="shared" si="15"/>
        <v>27.964650966362</v>
      </c>
      <c r="S452" s="262">
        <f t="shared" si="16"/>
        <v>0.0</v>
      </c>
    </row>
    <row r="453" x14ac:dyDescent="0.2">
      <c r="A453" s="210">
        <f t="shared" si="17"/>
        <v>0.087335247534</v>
      </c>
      <c r="B453" s="198">
        <f t="shared" si="0"/>
        <v>4.590114852022</v>
      </c>
      <c r="C453" s="209">
        <f t="shared" si="1"/>
        <v>6.665258214225e-05</v>
      </c>
      <c r="D453" s="199">
        <f t="shared" si="2"/>
        <v>0.999933349639</v>
      </c>
      <c r="E453" s="199">
        <f t="shared" si="3"/>
        <v>0.999966674449</v>
      </c>
      <c r="F453" s="199">
        <f t="shared" si="4"/>
        <v>0.499988891421</v>
      </c>
      <c r="G453" s="209">
        <f t="shared" si="5"/>
        <v>-0.0008807656495793</v>
      </c>
      <c r="H453" s="212">
        <f t="shared" si="6"/>
        <v>28.02600155353</v>
      </c>
      <c r="I453" s="212">
        <f t="shared" si="7"/>
        <v>28.027375969577</v>
      </c>
      <c r="J453" s="262">
        <f t="shared" si="8"/>
        <v>0.0</v>
      </c>
      <c r="K453" s="277">
        <f>IF(AND(H453&gt;=CO2_trough_mt,H454&lt;CO2_trough_mt),EXP(LN(A453)+(LN(A454)-LN(A453))*(H453-CO2_trough_mt)/(H453-H454)),0)</f>
        <v>0.0</v>
      </c>
      <c r="L453" s="209">
        <f t="shared" si="9"/>
        <v>0.0003599878955405</v>
      </c>
      <c r="M453" s="199">
        <f t="shared" si="10"/>
        <v>0.999640076892</v>
      </c>
      <c r="N453" s="199">
        <f t="shared" si="11"/>
        <v>0.999820027649</v>
      </c>
      <c r="O453" s="199">
        <f t="shared" si="12"/>
        <v>0.499940007417</v>
      </c>
      <c r="P453" s="209">
        <f t="shared" si="13"/>
        <v>7.704263086837e-07</v>
      </c>
      <c r="Q453" s="212">
        <f t="shared" si="14"/>
        <v>27.946970413781</v>
      </c>
      <c r="R453" s="212">
        <f t="shared" si="15"/>
        <v>27.952000917722</v>
      </c>
      <c r="S453" s="262">
        <f t="shared" si="16"/>
        <v>0.0</v>
      </c>
    </row>
    <row r="454" x14ac:dyDescent="0.2">
      <c r="A454" s="210">
        <f t="shared" si="17"/>
        <v>0.097821112705</v>
      </c>
      <c r="B454" s="198">
        <f t="shared" si="0"/>
        <v>5.219266762298</v>
      </c>
      <c r="C454" s="209">
        <f t="shared" si="1"/>
        <v>7.578843183916e-05</v>
      </c>
      <c r="D454" s="199">
        <f t="shared" si="2"/>
        <v>0.99992421444</v>
      </c>
      <c r="E454" s="199">
        <f t="shared" si="3"/>
        <v>0.999962106741</v>
      </c>
      <c r="F454" s="199">
        <f t="shared" si="4"/>
        <v>0.499987368834</v>
      </c>
      <c r="G454" s="209">
        <f t="shared" si="5"/>
        <v>-0.001001489293</v>
      </c>
      <c r="H454" s="212">
        <f t="shared" si="6"/>
        <v>28.021932780554</v>
      </c>
      <c r="I454" s="212">
        <f t="shared" si="7"/>
        <v>28.023495433848</v>
      </c>
      <c r="J454" s="262">
        <f t="shared" si="8"/>
        <v>0.0</v>
      </c>
      <c r="K454" s="277">
        <f>IF(AND(H454&gt;=CO2_trough_mt,H455&lt;CO2_trough_mt),EXP(LN(A454)+(LN(A455)-LN(A454))*(H454-CO2_trough_mt)/(H454-H455)),0)</f>
        <v>0.0</v>
      </c>
      <c r="L454" s="209">
        <f t="shared" si="9"/>
        <v>0.0004093302495898</v>
      </c>
      <c r="M454" s="199">
        <f t="shared" si="10"/>
        <v>0.999590753515</v>
      </c>
      <c r="N454" s="199">
        <f t="shared" si="11"/>
        <v>0.999795362798</v>
      </c>
      <c r="O454" s="199">
        <f t="shared" si="12"/>
        <v>0.499931785272</v>
      </c>
      <c r="P454" s="209">
        <f t="shared" si="13"/>
        <v>8.760261029071e-07</v>
      </c>
      <c r="Q454" s="212">
        <f t="shared" si="14"/>
        <v>27.932128544224</v>
      </c>
      <c r="R454" s="212">
        <f t="shared" si="15"/>
        <v>27.937845618816</v>
      </c>
      <c r="S454" s="262">
        <f t="shared" si="16"/>
        <v>0.0</v>
      </c>
    </row>
    <row r="455" x14ac:dyDescent="0.2">
      <c r="A455" s="199">
        <f t="shared" si="17"/>
        <v>0.109565958316</v>
      </c>
      <c r="B455" s="198">
        <f t="shared" si="0"/>
        <v>5.923957498989</v>
      </c>
      <c r="C455" s="209">
        <f t="shared" si="1"/>
        <v>8.602117300718e-05</v>
      </c>
      <c r="D455" s="199">
        <f t="shared" si="2"/>
        <v>0.999913982527</v>
      </c>
      <c r="E455" s="199">
        <f t="shared" si="3"/>
        <v>0.999956990647</v>
      </c>
      <c r="F455" s="199">
        <f t="shared" si="4"/>
        <v>0.499985663446</v>
      </c>
      <c r="G455" s="209">
        <f t="shared" si="5"/>
        <v>-0.001136707565</v>
      </c>
      <c r="H455" s="212">
        <f t="shared" si="6"/>
        <v>28.017376401279</v>
      </c>
      <c r="I455" s="212">
        <f t="shared" si="7"/>
        <v>28.019149849703</v>
      </c>
      <c r="J455" s="262">
        <f t="shared" si="8"/>
        <v>0.0</v>
      </c>
      <c r="K455" s="277">
        <f>IF(AND(H455&gt;=CO2_trough_mt,H456&lt;CO2_trough_mt),EXP(LN(A455)+(LN(A456)-LN(A455))*(H455-CO2_trough_mt)/(H455-H456)),0)</f>
        <v>0.0</v>
      </c>
      <c r="L455" s="209">
        <f t="shared" si="9"/>
        <v>0.000464596870031</v>
      </c>
      <c r="M455" s="199">
        <f t="shared" si="10"/>
        <v>0.999535511038</v>
      </c>
      <c r="N455" s="199">
        <f t="shared" si="11"/>
        <v>0.999767737536</v>
      </c>
      <c r="O455" s="199">
        <f t="shared" si="12"/>
        <v>0.499922576181</v>
      </c>
      <c r="P455" s="209">
        <f t="shared" si="13"/>
        <v>9.943046864579e-07</v>
      </c>
      <c r="Q455" s="212">
        <f t="shared" si="14"/>
        <v>27.915522531825</v>
      </c>
      <c r="R455" s="212">
        <f t="shared" si="15"/>
        <v>27.922007771172</v>
      </c>
      <c r="S455" s="262">
        <f t="shared" si="16"/>
        <v>0.0</v>
      </c>
    </row>
    <row r="456" x14ac:dyDescent="0.2">
      <c r="A456" s="199">
        <f t="shared" si="17"/>
        <v>0.122720943259</v>
      </c>
      <c r="B456" s="198">
        <f t="shared" si="0"/>
        <v>6.713256595548</v>
      </c>
      <c r="C456" s="209">
        <f t="shared" si="1"/>
        <v>9.748250340177e-05</v>
      </c>
      <c r="D456" s="199">
        <f t="shared" si="2"/>
        <v>0.999902522248</v>
      </c>
      <c r="E456" s="199">
        <f t="shared" si="3"/>
        <v>0.999951260332</v>
      </c>
      <c r="F456" s="199">
        <f t="shared" si="4"/>
        <v>0.499983753312</v>
      </c>
      <c r="G456" s="209">
        <f t="shared" si="5"/>
        <v>-0.001288160753</v>
      </c>
      <c r="H456" s="212">
        <f t="shared" si="6"/>
        <v>28.012274102506</v>
      </c>
      <c r="I456" s="212">
        <f t="shared" si="7"/>
        <v>28.014283601482</v>
      </c>
      <c r="J456" s="262">
        <f t="shared" si="8"/>
        <v>0.0</v>
      </c>
      <c r="K456" s="277">
        <f>IF(AND(H456&gt;=CO2_trough_mt,H457&lt;CO2_trough_mt),EXP(LN(A456)+(LN(A457)-LN(A456))*(H456-CO2_trough_mt)/(H456-H457)),0)</f>
        <v>0.0</v>
      </c>
      <c r="L456" s="209">
        <f t="shared" si="9"/>
        <v>0.0005264990511054</v>
      </c>
      <c r="M456" s="199">
        <f t="shared" si="10"/>
        <v>0.999473639525</v>
      </c>
      <c r="N456" s="199">
        <f t="shared" si="11"/>
        <v>0.999736796669</v>
      </c>
      <c r="O456" s="199">
        <f t="shared" si="12"/>
        <v>0.499912261707</v>
      </c>
      <c r="P456" s="209">
        <f t="shared" si="13"/>
        <v>1.126784332178e-06</v>
      </c>
      <c r="Q456" s="212">
        <f t="shared" si="14"/>
        <v>27.896945068309</v>
      </c>
      <c r="R456" s="212">
        <f t="shared" si="15"/>
        <v>27.904289651386</v>
      </c>
      <c r="S456" s="262">
        <f t="shared" si="16"/>
        <v>0.0</v>
      </c>
    </row>
    <row r="457" x14ac:dyDescent="0.2">
      <c r="A457" s="199">
        <f t="shared" si="17"/>
        <v>0.137455375244</v>
      </c>
      <c r="B457" s="198">
        <f t="shared" si="0"/>
        <v>7.597322514666</v>
      </c>
      <c r="C457" s="209">
        <f t="shared" si="1"/>
        <v>0.0001103199330071</v>
      </c>
      <c r="D457" s="199">
        <f t="shared" si="2"/>
        <v>0.999889686152</v>
      </c>
      <c r="E457" s="199">
        <f t="shared" si="3"/>
        <v>0.999944842062</v>
      </c>
      <c r="F457" s="199">
        <f t="shared" si="4"/>
        <v>0.499981613852</v>
      </c>
      <c r="G457" s="209">
        <f t="shared" si="5"/>
        <v>-0.001457798098</v>
      </c>
      <c r="H457" s="212">
        <f t="shared" si="6"/>
        <v>28.006560628348</v>
      </c>
      <c r="I457" s="212">
        <f t="shared" si="7"/>
        <v>28.008834451959</v>
      </c>
      <c r="J457" s="262">
        <f t="shared" si="8"/>
        <v>0.0</v>
      </c>
      <c r="K457" s="277">
        <f>IF(AND(H457&gt;=CO2_trough_mt,H458&lt;CO2_trough_mt),EXP(LN(A457)+(LN(A458)-LN(A457))*(H457-CO2_trough_mt)/(H457-H458)),0)</f>
        <v>0.0</v>
      </c>
      <c r="L457" s="209">
        <f t="shared" si="9"/>
        <v>0.0005958334882605</v>
      </c>
      <c r="M457" s="199">
        <f t="shared" si="10"/>
        <v>0.999404343985</v>
      </c>
      <c r="N457" s="199">
        <f t="shared" si="11"/>
        <v>0.999702142417</v>
      </c>
      <c r="O457" s="199">
        <f t="shared" si="12"/>
        <v>0.499900709209</v>
      </c>
      <c r="P457" s="209">
        <f t="shared" si="13"/>
        <v>1.275170083876e-06</v>
      </c>
      <c r="Q457" s="212">
        <f t="shared" si="14"/>
        <v>27.876165085827</v>
      </c>
      <c r="R457" s="212">
        <f t="shared" si="15"/>
        <v>27.884470874123</v>
      </c>
      <c r="S457" s="262">
        <f t="shared" si="16"/>
        <v>0.0</v>
      </c>
    </row>
    <row r="458" x14ac:dyDescent="0.2">
      <c r="A458" s="199">
        <f t="shared" si="17"/>
        <v>0.153958889834</v>
      </c>
      <c r="B458" s="198">
        <f t="shared" si="0"/>
        <v>8.587533390056</v>
      </c>
      <c r="C458" s="209">
        <f t="shared" si="1"/>
        <v>0.0001246986825238</v>
      </c>
      <c r="D458" s="199">
        <f t="shared" si="2"/>
        <v>0.999875309092</v>
      </c>
      <c r="E458" s="199">
        <f t="shared" si="3"/>
        <v>0.99993765325</v>
      </c>
      <c r="F458" s="199">
        <f t="shared" si="4"/>
        <v>0.499979217534</v>
      </c>
      <c r="G458" s="209">
        <f t="shared" si="5"/>
        <v>-0.00164780287</v>
      </c>
      <c r="H458" s="212">
        <f t="shared" si="6"/>
        <v>28.000162961532</v>
      </c>
      <c r="I458" s="212">
        <f t="shared" si="7"/>
        <v>28.002732761498</v>
      </c>
      <c r="J458" s="262">
        <f t="shared" si="8"/>
        <v>0.0</v>
      </c>
      <c r="K458" s="277">
        <f>IF(AND(H458&gt;=CO2_trough_mt,H459&lt;CO2_trough_mt),EXP(LN(A458)+(LN(A459)-LN(A458))*(H458-CO2_trough_mt)/(H458-H459)),0)</f>
        <v>0.0</v>
      </c>
      <c r="L458" s="209">
        <f t="shared" si="9"/>
        <v>0.0006734925318062</v>
      </c>
      <c r="M458" s="199">
        <f t="shared" si="10"/>
        <v>0.999326734213</v>
      </c>
      <c r="N458" s="199">
        <f t="shared" si="11"/>
        <v>0.99966332932</v>
      </c>
      <c r="O458" s="199">
        <f t="shared" si="12"/>
        <v>0.499887770142</v>
      </c>
      <c r="P458" s="209">
        <f t="shared" si="13"/>
        <v>1.441371700642e-06</v>
      </c>
      <c r="Q458" s="212">
        <f t="shared" si="14"/>
        <v>27.85292518598</v>
      </c>
      <c r="R458" s="212">
        <f t="shared" si="15"/>
        <v>27.862305939683</v>
      </c>
      <c r="S458" s="262">
        <f t="shared" si="16"/>
        <v>0.0</v>
      </c>
    </row>
    <row r="459" x14ac:dyDescent="0.2">
      <c r="A459" s="199">
        <f t="shared" si="17"/>
        <v>0.172443891094</v>
      </c>
      <c r="B459" s="198">
        <f t="shared" si="0"/>
        <v>9.696633465668</v>
      </c>
      <c r="C459" s="209">
        <f t="shared" si="1"/>
        <v>0.0001408038097977</v>
      </c>
      <c r="D459" s="199">
        <f t="shared" si="2"/>
        <v>0.999859206103</v>
      </c>
      <c r="E459" s="199">
        <f t="shared" si="3"/>
        <v>0.999929601399</v>
      </c>
      <c r="F459" s="199">
        <f t="shared" si="4"/>
        <v>0.499976533524</v>
      </c>
      <c r="G459" s="209">
        <f t="shared" si="5"/>
        <v>-0.001860620474</v>
      </c>
      <c r="H459" s="212">
        <f t="shared" si="6"/>
        <v>27.992999410163</v>
      </c>
      <c r="I459" s="212">
        <f t="shared" si="7"/>
        <v>27.995900617048</v>
      </c>
      <c r="J459" s="262">
        <f t="shared" si="8"/>
        <v>0.0</v>
      </c>
      <c r="K459" s="277">
        <f>IF(AND(H459&gt;=CO2_trough_mt,H460&lt;CO2_trough_mt),EXP(LN(A459)+(LN(A460)-LN(A459))*(H459-CO2_trough_mt)/(H459-H460)),0)</f>
        <v>0.0</v>
      </c>
      <c r="L459" s="209">
        <f t="shared" si="9"/>
        <v>0.0007604756716698</v>
      </c>
      <c r="M459" s="199">
        <f t="shared" si="10"/>
        <v>0.999239813417</v>
      </c>
      <c r="N459" s="199">
        <f t="shared" si="11"/>
        <v>0.999619858533</v>
      </c>
      <c r="O459" s="199">
        <f t="shared" si="12"/>
        <v>0.499873278148</v>
      </c>
      <c r="P459" s="209">
        <f t="shared" si="13"/>
        <v>1.627528235883e-06</v>
      </c>
      <c r="Q459" s="212">
        <f t="shared" si="14"/>
        <v>27.826938829406</v>
      </c>
      <c r="R459" s="212">
        <f t="shared" si="15"/>
        <v>27.837521553105</v>
      </c>
      <c r="S459" s="262">
        <f t="shared" si="16"/>
        <v>0.0</v>
      </c>
    </row>
    <row r="460" x14ac:dyDescent="0.2">
      <c r="A460" s="199">
        <f t="shared" si="17"/>
        <v>0.193148285285</v>
      </c>
      <c r="B460" s="212">
        <f t="shared" si="0"/>
        <v>10.938897117072</v>
      </c>
      <c r="C460" s="209">
        <f t="shared" si="1"/>
        <v>0.0001588425915574</v>
      </c>
      <c r="D460" s="199">
        <f t="shared" si="2"/>
        <v>0.999841170023</v>
      </c>
      <c r="E460" s="199">
        <f t="shared" si="3"/>
        <v>0.999920582909</v>
      </c>
      <c r="F460" s="199">
        <f t="shared" si="4"/>
        <v>0.499973527286</v>
      </c>
      <c r="G460" s="209">
        <f t="shared" si="5"/>
        <v>-0.002098989924</v>
      </c>
      <c r="H460" s="212">
        <f t="shared" si="6"/>
        <v>27.984978589556</v>
      </c>
      <c r="I460" s="212">
        <f t="shared" si="7"/>
        <v>27.988250861037</v>
      </c>
      <c r="J460" s="262">
        <f t="shared" si="8"/>
        <v>0.0</v>
      </c>
      <c r="K460" s="277">
        <f>IF(AND(H460&gt;=CO2_trough_mt,H461&lt;CO2_trough_mt),EXP(LN(A460)+(LN(A461)-LN(A460))*(H460-CO2_trough_mt)/(H460-H461)),0)</f>
        <v>0.0</v>
      </c>
      <c r="L460" s="209">
        <f t="shared" si="9"/>
        <v>0.0008579024010638</v>
      </c>
      <c r="M460" s="199">
        <f t="shared" si="10"/>
        <v>0.999142465492</v>
      </c>
      <c r="N460" s="199">
        <f t="shared" si="11"/>
        <v>0.999571171439</v>
      </c>
      <c r="O460" s="199">
        <f t="shared" si="12"/>
        <v>0.499857046928</v>
      </c>
      <c r="P460" s="209">
        <f t="shared" si="13"/>
        <v>1.836035567446e-06</v>
      </c>
      <c r="Q460" s="212">
        <f t="shared" si="14"/>
        <v>27.797887273865</v>
      </c>
      <c r="R460" s="212">
        <f t="shared" si="15"/>
        <v>27.809813703293</v>
      </c>
      <c r="S460" s="262">
        <f t="shared" si="16"/>
        <v>0.0</v>
      </c>
    </row>
    <row r="461" x14ac:dyDescent="0.2">
      <c r="A461" s="199">
        <f t="shared" si="17"/>
        <v>0.216338542766</v>
      </c>
      <c r="B461" s="212">
        <f t="shared" si="0"/>
        <v>12.330312565988</v>
      </c>
      <c r="C461" s="209">
        <f t="shared" si="1"/>
        <v>0.0001790471911138</v>
      </c>
      <c r="D461" s="199">
        <f t="shared" si="2"/>
        <v>0.999820968837</v>
      </c>
      <c r="E461" s="199">
        <f t="shared" si="3"/>
        <v>0.999910481747</v>
      </c>
      <c r="F461" s="199">
        <f t="shared" si="4"/>
        <v>0.499970160137</v>
      </c>
      <c r="G461" s="209">
        <f t="shared" si="5"/>
        <v>-0.002365979089</v>
      </c>
      <c r="H461" s="212">
        <f t="shared" si="6"/>
        <v>27.975998287715</v>
      </c>
      <c r="I461" s="212">
        <f t="shared" si="7"/>
        <v>27.979686009305</v>
      </c>
      <c r="J461" s="262">
        <f t="shared" si="8"/>
        <v>0.0</v>
      </c>
      <c r="K461" s="277">
        <f>IF(AND(H461&gt;=CO2_trough_mt,H462&lt;CO2_trough_mt),EXP(LN(A461)+(LN(A462)-LN(A461))*(H461-CO2_trough_mt)/(H461-H462)),0)</f>
        <v>0.0</v>
      </c>
      <c r="L461" s="209">
        <f t="shared" si="9"/>
        <v>0.0009670266246237</v>
      </c>
      <c r="M461" s="199">
        <f t="shared" si="10"/>
        <v>0.999033440795</v>
      </c>
      <c r="N461" s="199">
        <f t="shared" si="11"/>
        <v>0.999516642507</v>
      </c>
      <c r="O461" s="199">
        <f t="shared" si="12"/>
        <v>0.499838867853</v>
      </c>
      <c r="P461" s="209">
        <f t="shared" si="13"/>
        <v>2.069577233116e-06</v>
      </c>
      <c r="Q461" s="212">
        <f t="shared" si="14"/>
        <v>27.765416251135</v>
      </c>
      <c r="R461" s="212">
        <f t="shared" si="15"/>
        <v>27.778844492866</v>
      </c>
      <c r="S461" s="262">
        <f t="shared" si="16"/>
        <v>0.0</v>
      </c>
    </row>
    <row r="462" x14ac:dyDescent="0.2">
      <c r="A462" s="199">
        <f t="shared" si="17"/>
        <v>0.24231312754</v>
      </c>
      <c r="B462" s="212">
        <f t="shared" si="0"/>
        <v>13.888787652411</v>
      </c>
      <c r="C462" s="209">
        <f t="shared" si="1"/>
        <v>0.0002016776463558</v>
      </c>
      <c r="D462" s="199">
        <f t="shared" si="2"/>
        <v>0.999798342689</v>
      </c>
      <c r="E462" s="199">
        <f t="shared" si="3"/>
        <v>0.999899167955</v>
      </c>
      <c r="F462" s="199">
        <f t="shared" si="4"/>
        <v>0.499966388754</v>
      </c>
      <c r="G462" s="209">
        <f t="shared" si="5"/>
        <v>-0.002665024182</v>
      </c>
      <c r="H462" s="212">
        <f t="shared" si="6"/>
        <v>27.965944201967</v>
      </c>
      <c r="I462" s="212">
        <f t="shared" si="7"/>
        <v>27.970097046135</v>
      </c>
      <c r="J462" s="262">
        <f t="shared" si="8"/>
        <v>0.0</v>
      </c>
      <c r="K462" s="277">
        <f>IF(AND(H462&gt;=CO2_trough_mt,H463&lt;CO2_trough_mt),EXP(LN(A462)+(LN(A463)-LN(A462))*(H462-CO2_trough_mt)/(H462-H463)),0)</f>
        <v>0.0</v>
      </c>
      <c r="L462" s="209">
        <f t="shared" si="9"/>
        <v>0.001089252796</v>
      </c>
      <c r="M462" s="199">
        <f t="shared" si="10"/>
        <v>0.998911340224</v>
      </c>
      <c r="N462" s="199">
        <f t="shared" si="11"/>
        <v>0.999455571293</v>
      </c>
      <c r="O462" s="199">
        <f t="shared" si="12"/>
        <v>0.499818507329</v>
      </c>
      <c r="P462" s="209">
        <f t="shared" si="13"/>
        <v>2.33115896837e-06</v>
      </c>
      <c r="Q462" s="212">
        <f t="shared" si="14"/>
        <v>27.729132376595</v>
      </c>
      <c r="R462" s="212">
        <f t="shared" si="15"/>
        <v>27.744238712882</v>
      </c>
      <c r="S462" s="262">
        <f t="shared" si="16"/>
        <v>0.0</v>
      </c>
    </row>
    <row r="463" x14ac:dyDescent="0.2">
      <c r="A463" s="199">
        <f t="shared" si="17"/>
        <v>0.271406338545</v>
      </c>
      <c r="B463" s="212">
        <f t="shared" si="0"/>
        <v>15.634380312671</v>
      </c>
      <c r="C463" s="209">
        <f t="shared" si="1"/>
        <v>0.0002270252164985</v>
      </c>
      <c r="D463" s="199">
        <f t="shared" si="2"/>
        <v>0.999773000552</v>
      </c>
      <c r="E463" s="199">
        <f t="shared" si="3"/>
        <v>0.999886495981</v>
      </c>
      <c r="F463" s="199">
        <f t="shared" si="4"/>
        <v>0.499962164611</v>
      </c>
      <c r="G463" s="209">
        <f t="shared" si="5"/>
        <v>-0.002999973982</v>
      </c>
      <c r="H463" s="212">
        <f t="shared" si="6"/>
        <v>27.954688533147</v>
      </c>
      <c r="I463" s="212">
        <f t="shared" si="7"/>
        <v>27.959362083411</v>
      </c>
      <c r="J463" s="262">
        <f t="shared" si="8"/>
        <v>0.0</v>
      </c>
      <c r="K463" s="277">
        <f>IF(AND(H463&gt;=CO2_trough_mt,H464&lt;CO2_trough_mt),EXP(LN(A463)+(LN(A464)-LN(A463))*(H463-CO2_trough_mt)/(H463-H464)),0)</f>
        <v>0.0</v>
      </c>
      <c r="L463" s="209">
        <f t="shared" si="9"/>
        <v>0.001226153996</v>
      </c>
      <c r="M463" s="199">
        <f t="shared" si="10"/>
        <v>0.998774597424</v>
      </c>
      <c r="N463" s="199">
        <f t="shared" si="11"/>
        <v>0.999387173501</v>
      </c>
      <c r="O463" s="199">
        <f t="shared" si="12"/>
        <v>0.499795703592</v>
      </c>
      <c r="P463" s="209">
        <f t="shared" si="13"/>
        <v>2.624147390896e-06</v>
      </c>
      <c r="Q463" s="212">
        <f t="shared" si="14"/>
        <v>27.688599290311</v>
      </c>
      <c r="R463" s="212">
        <f t="shared" si="15"/>
        <v>27.705580161244</v>
      </c>
      <c r="S463" s="262">
        <f t="shared" si="16"/>
        <v>0.0</v>
      </c>
    </row>
    <row r="464" x14ac:dyDescent="0.2">
      <c r="A464" s="199">
        <f t="shared" si="17"/>
        <v>0.303992612162</v>
      </c>
      <c r="B464" s="212">
        <f t="shared" si="0"/>
        <v>17.589556729734</v>
      </c>
      <c r="C464" s="209">
        <f t="shared" si="1"/>
        <v>0.0002554161306569</v>
      </c>
      <c r="D464" s="199">
        <f t="shared" si="2"/>
        <v>0.999744616485</v>
      </c>
      <c r="E464" s="199">
        <f t="shared" si="3"/>
        <v>0.999872302807</v>
      </c>
      <c r="F464" s="199">
        <f t="shared" si="4"/>
        <v>0.499957433363</v>
      </c>
      <c r="G464" s="209">
        <f t="shared" si="5"/>
        <v>-0.003375139372</v>
      </c>
      <c r="H464" s="212">
        <f t="shared" si="6"/>
        <v>27.942088422528</v>
      </c>
      <c r="I464" s="212">
        <f t="shared" si="7"/>
        <v>27.947344869785</v>
      </c>
      <c r="J464" s="262">
        <f t="shared" si="8"/>
        <v>0.0</v>
      </c>
      <c r="K464" s="277">
        <f>IF(AND(H464&gt;=CO2_trough_mt,H465&lt;CO2_trough_mt),EXP(LN(A464)+(LN(A465)-LN(A464))*(H464-CO2_trough_mt)/(H464-H465)),0)</f>
        <v>0.0</v>
      </c>
      <c r="L464" s="209">
        <f t="shared" si="9"/>
        <v>0.001379492173</v>
      </c>
      <c r="M464" s="199">
        <f t="shared" si="10"/>
        <v>0.998621458889</v>
      </c>
      <c r="N464" s="199">
        <f t="shared" si="11"/>
        <v>0.999310570971</v>
      </c>
      <c r="O464" s="199">
        <f t="shared" si="12"/>
        <v>0.499770163909</v>
      </c>
      <c r="P464" s="209">
        <f t="shared" si="13"/>
        <v>2.952313329742e-06</v>
      </c>
      <c r="Q464" s="212">
        <f t="shared" si="14"/>
        <v>27.643333535176</v>
      </c>
      <c r="R464" s="212">
        <f t="shared" si="15"/>
        <v>27.662407710022</v>
      </c>
      <c r="S464" s="262">
        <f t="shared" si="16"/>
        <v>0.0</v>
      </c>
    </row>
    <row r="465" x14ac:dyDescent="0.2">
      <c r="A465" s="199">
        <f t="shared" si="17"/>
        <v>0.340491341303</v>
      </c>
      <c r="B465" s="212">
        <f t="shared" si="0"/>
        <v>19.779480478194</v>
      </c>
      <c r="C465" s="209">
        <f t="shared" si="1"/>
        <v>0.0002872157864902</v>
      </c>
      <c r="D465" s="199">
        <f t="shared" si="2"/>
        <v>0.999712825456</v>
      </c>
      <c r="E465" s="199">
        <f t="shared" si="3"/>
        <v>0.999856405855</v>
      </c>
      <c r="F465" s="199">
        <f t="shared" si="4"/>
        <v>0.499952134139</v>
      </c>
      <c r="G465" s="209">
        <f t="shared" si="5"/>
        <v>-0.003795348817</v>
      </c>
      <c r="H465" s="212">
        <f t="shared" si="6"/>
        <v>27.927984215505</v>
      </c>
      <c r="I465" s="212">
        <f t="shared" si="7"/>
        <v>27.933893134587</v>
      </c>
      <c r="J465" s="262">
        <f t="shared" si="8"/>
        <v>0.0</v>
      </c>
      <c r="K465" s="277">
        <f>IF(AND(H465&gt;=CO2_trough_mt,H466&lt;CO2_trough_mt),EXP(LN(A465)+(LN(A466)-LN(A465))*(H465-CO2_trough_mt)/(H465-H466)),0)</f>
        <v>0.0</v>
      </c>
      <c r="L465" s="209">
        <f t="shared" si="9"/>
        <v>0.001551240826</v>
      </c>
      <c r="M465" s="199">
        <f t="shared" si="10"/>
        <v>0.998449961727</v>
      </c>
      <c r="N465" s="199">
        <f t="shared" si="11"/>
        <v>0.99922478049</v>
      </c>
      <c r="O465" s="199">
        <f t="shared" si="12"/>
        <v>0.499741560087</v>
      </c>
      <c r="P465" s="209">
        <f t="shared" si="13"/>
        <v>3.319880356759e-06</v>
      </c>
      <c r="Q465" s="212">
        <f t="shared" si="14"/>
        <v>27.592800186564</v>
      </c>
      <c r="R465" s="212">
        <f t="shared" si="15"/>
        <v>27.614211135441</v>
      </c>
      <c r="S465" s="262">
        <f t="shared" si="16"/>
        <v>0.0</v>
      </c>
    </row>
    <row r="466" x14ac:dyDescent="0.2">
      <c r="A466" s="199">
        <f t="shared" si="17"/>
        <v>0.381372273089</v>
      </c>
      <c r="B466" s="212">
        <f t="shared" si="0"/>
        <v>22.232336385319</v>
      </c>
      <c r="C466" s="209">
        <f t="shared" si="1"/>
        <v>0.0003228334529546</v>
      </c>
      <c r="D466" s="199">
        <f t="shared" si="2"/>
        <v>0.999677218652</v>
      </c>
      <c r="E466" s="199">
        <f t="shared" si="3"/>
        <v>0.999838600642</v>
      </c>
      <c r="F466" s="199">
        <f t="shared" si="4"/>
        <v>0.499946198767</v>
      </c>
      <c r="G466" s="209">
        <f t="shared" si="5"/>
        <v>-0.004266010509</v>
      </c>
      <c r="H466" s="212">
        <f t="shared" si="6"/>
        <v>27.912197534837</v>
      </c>
      <c r="I466" s="212">
        <f t="shared" si="7"/>
        <v>27.918836750081</v>
      </c>
      <c r="J466" s="262">
        <f t="shared" si="8"/>
        <v>0.0</v>
      </c>
      <c r="K466" s="277">
        <f>IF(AND(H466&gt;=CO2_trough_mt,H467&lt;CO2_trough_mt),EXP(LN(A466)+(LN(A467)-LN(A466))*(H466-CO2_trough_mt)/(H466-H467)),0)</f>
        <v>0.0</v>
      </c>
      <c r="L466" s="209">
        <f t="shared" si="9"/>
        <v>0.001743610399</v>
      </c>
      <c r="M466" s="199">
        <f t="shared" si="10"/>
        <v>0.998257908807</v>
      </c>
      <c r="N466" s="199">
        <f t="shared" si="11"/>
        <v>0.999128701276</v>
      </c>
      <c r="O466" s="199">
        <f t="shared" si="12"/>
        <v>0.499709524892</v>
      </c>
      <c r="P466" s="209">
        <f t="shared" si="13"/>
        <v>3.731579144956e-06</v>
      </c>
      <c r="Q466" s="212">
        <f t="shared" si="14"/>
        <v>27.536408259493</v>
      </c>
      <c r="R466" s="212">
        <f t="shared" si="15"/>
        <v>27.560426735191</v>
      </c>
      <c r="S466" s="262">
        <f t="shared" si="16"/>
        <v>0.0</v>
      </c>
    </row>
    <row r="467" x14ac:dyDescent="0.2">
      <c r="A467" s="199">
        <f t="shared" si="17"/>
        <v>0.427161554606</v>
      </c>
      <c r="B467" s="212">
        <f t="shared" si="0"/>
        <v>24.979693276332</v>
      </c>
      <c r="C467" s="209">
        <f t="shared" si="1"/>
        <v>0.0003627275376901</v>
      </c>
      <c r="D467" s="199">
        <f t="shared" si="2"/>
        <v>0.99963733824</v>
      </c>
      <c r="E467" s="199">
        <f t="shared" si="3"/>
        <v>0.999818658158</v>
      </c>
      <c r="F467" s="199">
        <f t="shared" si="4"/>
        <v>0.499939550892</v>
      </c>
      <c r="G467" s="209">
        <f t="shared" si="5"/>
        <v>-0.004793181976</v>
      </c>
      <c r="H467" s="212">
        <f t="shared" si="6"/>
        <v>27.894529145055</v>
      </c>
      <c r="I467" s="212">
        <f t="shared" si="7"/>
        <v>27.901985694517</v>
      </c>
      <c r="J467" s="262">
        <f t="shared" si="8"/>
        <v>0.0</v>
      </c>
      <c r="K467" s="277">
        <f>IF(AND(H467&gt;=CO2_trough_mt,H468&lt;CO2_trough_mt),EXP(LN(A467)+(LN(A468)-LN(A467))*(H467-CO2_trough_mt)/(H467-H468)),0)</f>
        <v>0.0</v>
      </c>
      <c r="L467" s="209">
        <f t="shared" si="9"/>
        <v>0.001959076734</v>
      </c>
      <c r="M467" s="199">
        <f t="shared" si="10"/>
        <v>0.998042841004</v>
      </c>
      <c r="N467" s="199">
        <f t="shared" si="11"/>
        <v>0.999021100983</v>
      </c>
      <c r="O467" s="199">
        <f t="shared" si="12"/>
        <v>0.499673647064</v>
      </c>
      <c r="P467" s="209">
        <f t="shared" si="13"/>
        <v>4.192708353356e-06</v>
      </c>
      <c r="Q467" s="212">
        <f t="shared" si="14"/>
        <v>27.473505934052</v>
      </c>
      <c r="R467" s="212">
        <f t="shared" si="15"/>
        <v>27.500432771881</v>
      </c>
      <c r="S467" s="262">
        <f t="shared" si="16"/>
        <v>0.0</v>
      </c>
    </row>
    <row r="468" x14ac:dyDescent="0.2">
      <c r="A468" s="199">
        <f t="shared" si="17"/>
        <v>0.478448504542</v>
      </c>
      <c r="B468" s="212">
        <f t="shared" si="0"/>
        <v>28.056910272514</v>
      </c>
      <c r="C468" s="209">
        <f t="shared" si="1"/>
        <v>0.000407411486833</v>
      </c>
      <c r="D468" s="199">
        <f t="shared" si="2"/>
        <v>0.999592671494</v>
      </c>
      <c r="E468" s="199">
        <f t="shared" si="3"/>
        <v>0.999796321918</v>
      </c>
      <c r="F468" s="199">
        <f t="shared" si="4"/>
        <v>0.499932105001</v>
      </c>
      <c r="G468" s="209">
        <f t="shared" si="5"/>
        <v>-0.005383648035</v>
      </c>
      <c r="H468" s="212">
        <f t="shared" si="6"/>
        <v>27.874756588559</v>
      </c>
      <c r="I468" s="212">
        <f t="shared" si="7"/>
        <v>27.883127797394</v>
      </c>
      <c r="J468" s="262">
        <f t="shared" si="8"/>
        <v>0.0</v>
      </c>
      <c r="K468" s="277">
        <f>IF(AND(H468&gt;=CO2_trough_mt,H469&lt;CO2_trough_mt),EXP(LN(A468)+(LN(A469)-LN(A468))*(H468-CO2_trough_mt)/(H468-H469)),0)</f>
        <v>0.0</v>
      </c>
      <c r="L468" s="209">
        <f t="shared" si="9"/>
        <v>0.002200412933</v>
      </c>
      <c r="M468" s="199">
        <f t="shared" si="10"/>
        <v>0.997802006201</v>
      </c>
      <c r="N468" s="199">
        <f t="shared" si="11"/>
        <v>0.998900600059</v>
      </c>
      <c r="O468" s="199">
        <f t="shared" si="12"/>
        <v>0.499633466174</v>
      </c>
      <c r="P468" s="209">
        <f t="shared" si="13"/>
        <v>4.709202821973e-06</v>
      </c>
      <c r="Q468" s="212">
        <f t="shared" si="14"/>
        <v>27.403375658336</v>
      </c>
      <c r="R468" s="212">
        <f t="shared" si="15"/>
        <v>27.433544798968</v>
      </c>
      <c r="S468" s="262">
        <f t="shared" si="16"/>
        <v>0.0</v>
      </c>
    </row>
    <row r="469" x14ac:dyDescent="0.2">
      <c r="A469" s="199">
        <f t="shared" si="17"/>
        <v>0.535893197855</v>
      </c>
      <c r="B469" s="212">
        <f t="shared" si="0"/>
        <v>31.503591871316</v>
      </c>
      <c r="C469" s="209">
        <f t="shared" si="1"/>
        <v>0.0004574603931869</v>
      </c>
      <c r="D469" s="199">
        <f t="shared" si="2"/>
        <v>0.999542644226</v>
      </c>
      <c r="E469" s="199">
        <f t="shared" si="3"/>
        <v>0.999771304678</v>
      </c>
      <c r="F469" s="199">
        <f t="shared" si="4"/>
        <v>0.49992376532</v>
      </c>
      <c r="G469" s="209">
        <f t="shared" si="5"/>
        <v>-0.006045008121</v>
      </c>
      <c r="H469" s="212">
        <f t="shared" si="6"/>
        <v>27.852631572936</v>
      </c>
      <c r="I469" s="212">
        <f t="shared" si="7"/>
        <v>27.862026247401</v>
      </c>
      <c r="J469" s="262">
        <f t="shared" si="8"/>
        <v>0.0</v>
      </c>
      <c r="K469" s="277">
        <f>IF(AND(H469&gt;=CO2_trough_mt,H470&lt;CO2_trough_mt),EXP(LN(A469)+(LN(A470)-LN(A469))*(H469-CO2_trough_mt)/(H469-H470)),0)</f>
        <v>0.0</v>
      </c>
      <c r="L469" s="209">
        <f t="shared" si="9"/>
        <v>0.002470725048</v>
      </c>
      <c r="M469" s="199">
        <f t="shared" si="10"/>
        <v>0.997532324681</v>
      </c>
      <c r="N469" s="199">
        <f t="shared" si="11"/>
        <v>0.998765654261</v>
      </c>
      <c r="O469" s="199">
        <f t="shared" si="12"/>
        <v>0.499588466728</v>
      </c>
      <c r="P469" s="209">
        <f t="shared" si="13"/>
        <v>5.287709954579e-06</v>
      </c>
      <c r="Q469" s="212">
        <f t="shared" si="14"/>
        <v>27.325229211051</v>
      </c>
      <c r="R469" s="212">
        <f t="shared" si="15"/>
        <v>27.359010947392</v>
      </c>
      <c r="S469" s="262">
        <f t="shared" si="16"/>
        <v>0.0</v>
      </c>
    </row>
    <row r="470" x14ac:dyDescent="0.2">
      <c r="A470" s="199">
        <f t="shared" si="17"/>
        <v>0.600234961091</v>
      </c>
      <c r="B470" s="212">
        <f t="shared" si="0"/>
        <v>35.364097665433</v>
      </c>
      <c r="C470" s="209">
        <f t="shared" si="1"/>
        <v>0.0005135183978008</v>
      </c>
      <c r="D470" s="199">
        <f t="shared" si="2"/>
        <v>0.99948661343</v>
      </c>
      <c r="E470" s="199">
        <f t="shared" si="3"/>
        <v>0.999743284746</v>
      </c>
      <c r="F470" s="199">
        <f t="shared" si="4"/>
        <v>0.499914424587</v>
      </c>
      <c r="G470" s="209">
        <f t="shared" si="5"/>
        <v>-0.006785774094</v>
      </c>
      <c r="H470" s="212">
        <f t="shared" si="6"/>
        <v>27.827877088271</v>
      </c>
      <c r="I470" s="212">
        <f t="shared" si="7"/>
        <v>27.838416842789</v>
      </c>
      <c r="J470" s="262">
        <f t="shared" si="8"/>
        <v>0.0</v>
      </c>
      <c r="K470" s="277">
        <f>IF(AND(H470&gt;=CO2_trough_mt,H471&lt;CO2_trough_mt),EXP(LN(A470)+(LN(A471)-LN(A470))*(H470-CO2_trough_mt)/(H470-H471)),0)</f>
        <v>0.0</v>
      </c>
      <c r="L470" s="209">
        <f t="shared" si="9"/>
        <v>0.00277349206</v>
      </c>
      <c r="M470" s="199">
        <f t="shared" si="10"/>
        <v>0.997230350516</v>
      </c>
      <c r="N470" s="199">
        <f t="shared" si="11"/>
        <v>0.998614535125</v>
      </c>
      <c r="O470" s="199">
        <f t="shared" si="12"/>
        <v>0.499538071645</v>
      </c>
      <c r="P470" s="209">
        <f t="shared" si="13"/>
        <v>5.935675272332e-06</v>
      </c>
      <c r="Q470" s="212">
        <f t="shared" si="14"/>
        <v>27.238202833924</v>
      </c>
      <c r="R470" s="212">
        <f t="shared" si="15"/>
        <v>27.276007277759</v>
      </c>
      <c r="S470" s="262">
        <f t="shared" si="16"/>
        <v>0.0</v>
      </c>
    </row>
    <row r="471" x14ac:dyDescent="0.2">
      <c r="A471" s="199">
        <f t="shared" si="17"/>
        <v>0.672301887685</v>
      </c>
      <c r="B471" s="212">
        <f t="shared" si="0"/>
        <v>39.68811326107</v>
      </c>
      <c r="C471" s="209">
        <f t="shared" si="1"/>
        <v>0.000576306980214</v>
      </c>
      <c r="D471" s="199">
        <f t="shared" si="2"/>
        <v>0.999423859053</v>
      </c>
      <c r="E471" s="199">
        <f t="shared" si="3"/>
        <v>0.999711901857</v>
      </c>
      <c r="F471" s="199">
        <f t="shared" si="4"/>
        <v>0.499903962674</v>
      </c>
      <c r="G471" s="209">
        <f t="shared" si="5"/>
        <v>-0.007615479783</v>
      </c>
      <c r="H471" s="212">
        <f t="shared" si="6"/>
        <v>27.800184232766</v>
      </c>
      <c r="I471" s="212">
        <f t="shared" si="7"/>
        <v>27.812004963451</v>
      </c>
      <c r="J471" s="262">
        <f t="shared" si="8"/>
        <v>0.0</v>
      </c>
      <c r="K471" s="277">
        <f>IF(AND(H471&gt;=CO2_trough_mt,H472&lt;CO2_trough_mt),EXP(LN(A471)+(LN(A472)-LN(A471))*(H471-CO2_trough_mt)/(H471-H472)),0)</f>
        <v>0.0</v>
      </c>
      <c r="L471" s="209">
        <f t="shared" si="9"/>
        <v>0.003112610649</v>
      </c>
      <c r="M471" s="199">
        <f t="shared" si="10"/>
        <v>0.996892228501</v>
      </c>
      <c r="N471" s="199">
        <f t="shared" si="11"/>
        <v>0.998445308144</v>
      </c>
      <c r="O471" s="199">
        <f t="shared" si="12"/>
        <v>0.499481634989</v>
      </c>
      <c r="P471" s="209">
        <f t="shared" si="13"/>
        <v>6.661438239367e-06</v>
      </c>
      <c r="Q471" s="212">
        <f t="shared" si="14"/>
        <v>27.14135257765</v>
      </c>
      <c r="R471" s="212">
        <f t="shared" si="15"/>
        <v>27.183633334932</v>
      </c>
      <c r="S471" s="262">
        <f t="shared" si="16"/>
        <v>0.0</v>
      </c>
    </row>
    <row r="472" x14ac:dyDescent="0.2">
      <c r="A472" s="199">
        <f t="shared" si="17"/>
        <v>0.75302149572</v>
      </c>
      <c r="B472" s="212">
        <f t="shared" ref="B472:B503" si="18">MAX(0,A472*60-spg_dur)</f>
        <v>44.53128974323</v>
      </c>
      <c r="C472" s="209">
        <f t="shared" ref="C472:C503" si="19">k_eff_CO2*B472</f>
        <v>0.0006466342440655</v>
      </c>
      <c r="D472" s="199">
        <f t="shared" ref="D472:D503" si="20">EXP(-C472)</f>
        <v>0.999353574779</v>
      </c>
      <c r="E472" s="199">
        <f t="shared" ref="E472:E503" si="21">IF(C472&gt;x_series,(1-EXP(-C472))/C472,1-C472/2+C472^2/6-C472^3/24)</f>
        <v>0.999676752556</v>
      </c>
      <c r="F472" s="199">
        <f t="shared" ref="F472:F503" si="22">IF(C472&gt;x_series,(C472-1+EXP(-C472))/C472^2,1/2-C472/6+C472^2/24-C472^3/120)</f>
        <v>0.499892245046</v>
      </c>
      <c r="G472" s="209">
        <f t="shared" ref="G472:G503" si="23">(C_air_CO2/C_sat_CO2*F_vent_ex-CO2_fix_sched)*(B472/3600)/(V_L_CO2+Vg_CO2)</f>
        <v>-0.008544803693</v>
      </c>
      <c r="H472" s="212">
        <f t="shared" ref="H472:H503" si="24">(G472*E472+pool_b*D472)/(1-pool_ret*D472)</f>
        <v>27.76920872494</v>
      </c>
      <c r="I472" s="212">
        <f t="shared" ref="I472:I503" si="25">MIN(C_sat_CO2,MAX(C_air_CO2,(pool_ret*H472+pool_b)*E472+G472*F472))</f>
        <v>27.782462244005</v>
      </c>
      <c r="J472" s="262">
        <f t="shared" ref="J472:J503" si="26">IF(AND(I472&gt;=CO2_pH_hi_mt,I473&lt;CO2_pH_hi_mt),EXP(LN(A472)+(LN(A473)-LN(A472))*(I472-CO2_pH_hi_mt)/(I472-I473)),0)</f>
        <v>0.0</v>
      </c>
      <c r="K472" s="277">
        <f>IF(AND(H472&gt;=CO2_trough_mt,H473&lt;CO2_trough_mt),EXP(LN(A472)+(LN(A473)-LN(A472))*(H472-CO2_trough_mt)/(H472-H473)),0)</f>
        <v>0.0</v>
      </c>
      <c r="L472" s="209">
        <f t="shared" ref="L472:L503" si="27">k_eff_CO2_l*B472</f>
        <v>0.003492445352</v>
      </c>
      <c r="M472" s="199">
        <f t="shared" ref="M472:M503" si="28">EXP(-L472)</f>
        <v>0.996513646142</v>
      </c>
      <c r="N472" s="199">
        <f t="shared" ref="N472:N503" si="29">IF(L472&gt;x_series,(1-EXP(-L472))/L472,1-L472/2+L472^2/6-L472^3/24)</f>
        <v>0.998255808413</v>
      </c>
      <c r="O472" s="199">
        <f t="shared" ref="O472:O503" si="30">IF(L472&gt;x_series,(L472-1+EXP(-L472))/L472^2,1/2-L472/6+L472^2/24-L472^3/120)</f>
        <v>0.499418433639</v>
      </c>
      <c r="P472" s="209">
        <f t="shared" ref="P472:P503" si="31">(C_air_CO2/C_sat_CO2*F_vent_ex-CO2_fix_l)*(B472/3600)/(V_L_CO2+Vg_CO2)</f>
        <v>7.474339593635e-06</v>
      </c>
      <c r="Q472" s="212">
        <f t="shared" ref="Q472:Q503" si="32">(P472*N472+pool_b*M472)/(1-pool_ret*M472)</f>
        <v>27.033650044934</v>
      </c>
      <c r="R472" s="212">
        <f t="shared" ref="R472:R503" si="33">MIN(C_sat_CO2,MAX(C_air_CO2,(pool_ret*Q472+pool_b)*N472+P472*O472))</f>
        <v>27.080908079842</v>
      </c>
      <c r="S472" s="262">
        <f t="shared" ref="S472:S503" si="34">IF(AND(R472&gt;=CO2_pH_hi_mt,R473&lt;CO2_pH_hi_mt),EXP(LN(A472)+(LN(A473)-LN(A472))*(R472-CO2_pH_hi_mt)/(R472-R473)),0)</f>
        <v>0.0</v>
      </c>
    </row>
    <row r="473" x14ac:dyDescent="0.2">
      <c r="A473" s="199">
        <f t="shared" ref="A473:A504" si="35">A472*grid_ratio</f>
        <v>0.843432665302</v>
      </c>
      <c r="B473" s="212">
        <f t="shared" si="18"/>
        <v>49.955959918105</v>
      </c>
      <c r="C473" s="209">
        <f t="shared" si="19"/>
        <v>0.0007254053175749</v>
      </c>
      <c r="D473" s="199">
        <f t="shared" si="20"/>
        <v>0.999274857725</v>
      </c>
      <c r="E473" s="199">
        <f t="shared" si="21"/>
        <v>0.999637385027</v>
      </c>
      <c r="F473" s="199">
        <f t="shared" si="22"/>
        <v>0.499879121036</v>
      </c>
      <c r="G473" s="209">
        <f t="shared" si="23"/>
        <v>-0.009585706438</v>
      </c>
      <c r="H473" s="212">
        <f t="shared" si="24"/>
        <v>27.734567081256</v>
      </c>
      <c r="I473" s="212">
        <f t="shared" si="25"/>
        <v>27.749422927649</v>
      </c>
      <c r="J473" s="262">
        <f t="shared" si="26"/>
        <v>0.0</v>
      </c>
      <c r="K473" s="277">
        <f>IF(AND(H473&gt;=CO2_trough_mt,H474&lt;CO2_trough_mt),EXP(LN(A473)+(LN(A474)-LN(A473))*(H473-CO2_trough_mt)/(H473-H474)),0)</f>
        <v>0.0</v>
      </c>
      <c r="L473" s="209">
        <f t="shared" si="27"/>
        <v>0.003917884728</v>
      </c>
      <c r="M473" s="199">
        <f t="shared" si="28"/>
        <v>0.996089780169</v>
      </c>
      <c r="N473" s="199">
        <f t="shared" si="29"/>
        <v>0.998043613435</v>
      </c>
      <c r="O473" s="199">
        <f t="shared" si="30"/>
        <v>0.499347658287</v>
      </c>
      <c r="P473" s="209">
        <f t="shared" si="31"/>
        <v>8.384841564368e-06</v>
      </c>
      <c r="Q473" s="212">
        <f t="shared" si="32"/>
        <v>26.913978760523</v>
      </c>
      <c r="R473" s="212">
        <f t="shared" si="33"/>
        <v>26.966766417424</v>
      </c>
      <c r="S473" s="262">
        <f t="shared" si="34"/>
        <v>0.0</v>
      </c>
    </row>
    <row r="474" x14ac:dyDescent="0.2">
      <c r="A474" s="199">
        <f t="shared" si="35"/>
        <v>0.944699009179</v>
      </c>
      <c r="B474" s="212">
        <f t="shared" si="18"/>
        <v>56.031940550769</v>
      </c>
      <c r="C474" s="209">
        <f t="shared" si="19"/>
        <v>0.0008136340027537</v>
      </c>
      <c r="D474" s="199">
        <f t="shared" si="20"/>
        <v>0.999186696908</v>
      </c>
      <c r="E474" s="199">
        <f t="shared" si="21"/>
        <v>0.99959329331</v>
      </c>
      <c r="F474" s="199">
        <f t="shared" si="22"/>
        <v>0.499864421912</v>
      </c>
      <c r="G474" s="210">
        <f t="shared" si="23"/>
        <v>-0.010751584679</v>
      </c>
      <c r="H474" s="212">
        <f t="shared" si="24"/>
        <v>27.695832439381</v>
      </c>
      <c r="I474" s="212">
        <f t="shared" si="25"/>
        <v>27.712479881893</v>
      </c>
      <c r="J474" s="262">
        <f t="shared" si="26"/>
        <v>0.0</v>
      </c>
      <c r="K474" s="277">
        <f>IF(AND(H474&gt;=CO2_trough_mt,H475&lt;CO2_trough_mt),EXP(LN(A474)+(LN(A475)-LN(A474))*(H474-CO2_trough_mt)/(H474-H475)),0)</f>
        <v>0.0</v>
      </c>
      <c r="L474" s="209">
        <f t="shared" si="27"/>
        <v>0.004394404282</v>
      </c>
      <c r="M474" s="199">
        <f t="shared" si="28"/>
        <v>0.995615236984</v>
      </c>
      <c r="N474" s="199">
        <f t="shared" si="29"/>
        <v>0.997806012791</v>
      </c>
      <c r="O474" s="199">
        <f t="shared" si="30"/>
        <v>0.499268403197</v>
      </c>
      <c r="P474" s="209">
        <f t="shared" si="31"/>
        <v>9.4046625234e-06</v>
      </c>
      <c r="Q474" s="212">
        <f t="shared" si="32"/>
        <v>26.781131450937</v>
      </c>
      <c r="R474" s="212">
        <f t="shared" si="33"/>
        <v>26.840056589983</v>
      </c>
      <c r="S474" s="262">
        <f t="shared" si="34"/>
        <v>0.0</v>
      </c>
    </row>
    <row r="475" x14ac:dyDescent="0.2">
      <c r="A475" s="198">
        <f t="shared" si="35"/>
        <v>1.058123848719</v>
      </c>
      <c r="B475" s="212">
        <f t="shared" si="18"/>
        <v>62.837430923161</v>
      </c>
      <c r="C475" s="209">
        <f t="shared" si="19"/>
        <v>0.0009124558232718</v>
      </c>
      <c r="D475" s="199">
        <f t="shared" si="20"/>
        <v>0.999087960338</v>
      </c>
      <c r="E475" s="199">
        <f t="shared" si="21"/>
        <v>0.999543910819</v>
      </c>
      <c r="F475" s="199">
        <f t="shared" si="22"/>
        <v>0.499847958714</v>
      </c>
      <c r="G475" s="210">
        <f t="shared" si="23"/>
        <v>-0.012057443539</v>
      </c>
      <c r="H475" s="212">
        <f t="shared" si="24"/>
        <v>27.652530009647</v>
      </c>
      <c r="I475" s="212">
        <f t="shared" si="25"/>
        <v>27.671180259512</v>
      </c>
      <c r="J475" s="262">
        <f t="shared" si="26"/>
        <v>0.0</v>
      </c>
      <c r="K475" s="277">
        <f>IF(AND(H475&gt;=CO2_trough_mt,H476&lt;CO2_trough_mt),EXP(LN(A475)+(LN(A476)-LN(A475))*(H475-CO2_trough_mt)/(H475-H476)),0)</f>
        <v>0.0</v>
      </c>
      <c r="L475" s="209">
        <f t="shared" si="27"/>
        <v>0.004928136931</v>
      </c>
      <c r="M475" s="199">
        <f t="shared" si="28"/>
        <v>0.995083986413</v>
      </c>
      <c r="N475" s="199">
        <f t="shared" si="29"/>
        <v>0.997539974308</v>
      </c>
      <c r="O475" s="199">
        <f t="shared" si="30"/>
        <v>0.499179654787</v>
      </c>
      <c r="P475" s="209">
        <f t="shared" si="31"/>
        <v>1.054692780334e-05</v>
      </c>
      <c r="Q475" s="212">
        <f t="shared" si="32"/>
        <v>26.633808575601</v>
      </c>
      <c r="R475" s="212">
        <f t="shared" si="33"/>
        <v>26.69953876139</v>
      </c>
      <c r="S475" s="262">
        <f t="shared" si="34"/>
        <v>0.0</v>
      </c>
    </row>
    <row r="476" x14ac:dyDescent="0.2">
      <c r="A476" s="198">
        <f t="shared" si="35"/>
        <v>1.18516698795</v>
      </c>
      <c r="B476" s="212">
        <f t="shared" si="18"/>
        <v>70.460019277003</v>
      </c>
      <c r="C476" s="209">
        <f t="shared" si="19"/>
        <v>0.001023142639</v>
      </c>
      <c r="D476" s="199">
        <f t="shared" si="20"/>
        <v>0.998977380593</v>
      </c>
      <c r="E476" s="199">
        <f t="shared" si="21"/>
        <v>0.999488603106</v>
      </c>
      <c r="F476" s="199">
        <f t="shared" si="22"/>
        <v>0.499829519888</v>
      </c>
      <c r="G476" s="210">
        <f t="shared" si="23"/>
        <v>-0.013520089725</v>
      </c>
      <c r="H476" s="212">
        <f t="shared" si="24"/>
        <v>27.60413214104</v>
      </c>
      <c r="I476" s="212">
        <f t="shared" si="25"/>
        <v>27.625020791618</v>
      </c>
      <c r="J476" s="262">
        <f t="shared" si="26"/>
        <v>0.0</v>
      </c>
      <c r="K476" s="277">
        <f>IF(AND(H476&gt;=CO2_trough_mt,H477&lt;CO2_trough_mt),EXP(LN(A476)+(LN(A477)-LN(A476))*(H476-CO2_trough_mt)/(H476-H477)),0)</f>
        <v>0.0</v>
      </c>
      <c r="L476" s="209">
        <f t="shared" si="27"/>
        <v>0.005525951937</v>
      </c>
      <c r="M476" s="199">
        <f t="shared" si="28"/>
        <v>0.99448928805</v>
      </c>
      <c r="N476" s="199">
        <f t="shared" si="29"/>
        <v>0.997242106366</v>
      </c>
      <c r="O476" s="199">
        <f t="shared" si="30"/>
        <v>0.499080278945</v>
      </c>
      <c r="P476" s="209">
        <f t="shared" si="31"/>
        <v>1.182633862363e-05</v>
      </c>
      <c r="Q476" s="212">
        <f t="shared" si="32"/>
        <v>26.470618514811</v>
      </c>
      <c r="R476" s="212">
        <f t="shared" si="33"/>
        <v>26.543885178325</v>
      </c>
      <c r="S476" s="262">
        <f t="shared" si="34"/>
        <v>0.0</v>
      </c>
    </row>
    <row r="477" x14ac:dyDescent="0.2">
      <c r="A477" s="198">
        <f t="shared" si="35"/>
        <v>1.32746350158</v>
      </c>
      <c r="B477" s="212">
        <f t="shared" si="18"/>
        <v>78.997810094817</v>
      </c>
      <c r="C477" s="209">
        <f t="shared" si="19"/>
        <v>0.001147119015</v>
      </c>
      <c r="D477" s="199">
        <f t="shared" si="20"/>
        <v>0.998853538675</v>
      </c>
      <c r="E477" s="199">
        <f t="shared" si="21"/>
        <v>0.999426659743</v>
      </c>
      <c r="F477" s="199">
        <f t="shared" si="22"/>
        <v>0.499808868312</v>
      </c>
      <c r="G477" s="210">
        <f t="shared" si="23"/>
        <v>-0.015158347834</v>
      </c>
      <c r="H477" s="212">
        <f t="shared" si="24"/>
        <v>27.550052993457</v>
      </c>
      <c r="I477" s="212">
        <f t="shared" si="25"/>
        <v>27.573442704936</v>
      </c>
      <c r="J477" s="262">
        <f t="shared" si="26"/>
        <v>0.0</v>
      </c>
      <c r="K477" s="277">
        <f>IF(AND(H477&gt;=CO2_trough_mt,H478&lt;CO2_trough_mt),EXP(LN(A477)+(LN(A478)-LN(A477))*(H477-CO2_trough_mt)/(H477-H478)),0)</f>
        <v>0.0</v>
      </c>
      <c r="L477" s="209">
        <f t="shared" si="27"/>
        <v>0.00619554332</v>
      </c>
      <c r="M477" s="199">
        <f t="shared" si="28"/>
        <v>0.993823609484</v>
      </c>
      <c r="N477" s="199">
        <f t="shared" si="29"/>
        <v>0.996908615903</v>
      </c>
      <c r="O477" s="199">
        <f t="shared" si="30"/>
        <v>0.49896900683</v>
      </c>
      <c r="P477" s="209">
        <f t="shared" si="31"/>
        <v>1.325936129869e-05</v>
      </c>
      <c r="Q477" s="212">
        <f t="shared" si="32"/>
        <v>26.290079886628</v>
      </c>
      <c r="R477" s="212">
        <f t="shared" si="33"/>
        <v>26.371682358195</v>
      </c>
      <c r="S477" s="262">
        <f t="shared" si="34"/>
        <v>0.0</v>
      </c>
    </row>
    <row r="478" x14ac:dyDescent="0.2">
      <c r="A478" s="198">
        <f t="shared" si="35"/>
        <v>1.48684477879</v>
      </c>
      <c r="B478" s="212">
        <f t="shared" si="18"/>
        <v>88.560686727399</v>
      </c>
      <c r="C478" s="209">
        <f t="shared" si="19"/>
        <v>0.001285980555</v>
      </c>
      <c r="D478" s="199">
        <f t="shared" si="20"/>
        <v>0.998714845963</v>
      </c>
      <c r="E478" s="199">
        <f t="shared" si="21"/>
        <v>0.999357285258</v>
      </c>
      <c r="F478" s="199">
        <f t="shared" si="22"/>
        <v>0.499785738754</v>
      </c>
      <c r="G478" s="210">
        <f t="shared" si="23"/>
        <v>-0.016993302627</v>
      </c>
      <c r="H478" s="212">
        <f t="shared" si="24"/>
        <v>27.489642815551</v>
      </c>
      <c r="I478" s="212">
        <f t="shared" si="25"/>
        <v>27.515826262532</v>
      </c>
      <c r="J478" s="262">
        <f t="shared" si="26"/>
        <v>0.0</v>
      </c>
      <c r="K478" s="277">
        <f>IF(AND(H478&gt;=CO2_trough_mt,H479&lt;CO2_trough_mt),EXP(LN(A478)+(LN(A479)-LN(A478))*(H478-CO2_trough_mt)/(H478-H479)),0)</f>
        <v>0.0</v>
      </c>
      <c r="L478" s="209">
        <f t="shared" si="27"/>
        <v>0.006945528875</v>
      </c>
      <c r="M478" s="199">
        <f t="shared" si="28"/>
        <v>0.993078535565</v>
      </c>
      <c r="N478" s="199">
        <f t="shared" si="29"/>
        <v>0.996535261683</v>
      </c>
      <c r="O478" s="199">
        <f t="shared" si="30"/>
        <v>0.498844419081</v>
      </c>
      <c r="P478" s="209">
        <f t="shared" si="31"/>
        <v>1.486443916318e-05</v>
      </c>
      <c r="Q478" s="212">
        <f t="shared" si="32"/>
        <v>26.090626530646</v>
      </c>
      <c r="R478" s="212">
        <f t="shared" si="33"/>
        <v>26.181435816152</v>
      </c>
      <c r="S478" s="262">
        <f t="shared" si="34"/>
        <v>0.0</v>
      </c>
    </row>
    <row r="479" x14ac:dyDescent="0.2">
      <c r="A479" s="198">
        <f t="shared" si="35"/>
        <v>1.665362093634</v>
      </c>
      <c r="B479" s="212">
        <f t="shared" si="18"/>
        <v>99.271725618066</v>
      </c>
      <c r="C479" s="209">
        <f t="shared" si="19"/>
        <v>0.001441514441</v>
      </c>
      <c r="D479" s="199">
        <f t="shared" si="20"/>
        <v>0.998559524042</v>
      </c>
      <c r="E479" s="199">
        <f t="shared" si="21"/>
        <v>0.999279588982</v>
      </c>
      <c r="F479" s="199">
        <f t="shared" si="22"/>
        <v>0.499759834171</v>
      </c>
      <c r="G479" s="210">
        <f t="shared" si="23"/>
        <v>-0.019048570399</v>
      </c>
      <c r="H479" s="212">
        <f t="shared" si="24"/>
        <v>27.422181837733</v>
      </c>
      <c r="I479" s="212">
        <f t="shared" si="25"/>
        <v>27.451484937085</v>
      </c>
      <c r="J479" s="262">
        <f t="shared" si="26"/>
        <v>0.0</v>
      </c>
      <c r="K479" s="277">
        <f>IF(AND(H479&gt;=CO2_trough_mt,H480&lt;CO2_trough_mt),EXP(LN(A479)+(LN(A480)-LN(A479))*(H479-CO2_trough_mt)/(H479-H480)),0)</f>
        <v>0.0</v>
      </c>
      <c r="L479" s="209">
        <f t="shared" si="27"/>
        <v>0.00778556109</v>
      </c>
      <c r="M479" s="199">
        <f t="shared" si="28"/>
        <v>0.99224466789</v>
      </c>
      <c r="N479" s="199">
        <f t="shared" si="29"/>
        <v>0.996117302316</v>
      </c>
      <c r="O479" s="199">
        <f t="shared" si="30"/>
        <v>0.49870492818</v>
      </c>
      <c r="P479" s="209">
        <f t="shared" si="31"/>
        <v>1.6662229942e-05</v>
      </c>
      <c r="Q479" s="212">
        <f t="shared" si="32"/>
        <v>25.870615756925</v>
      </c>
      <c r="R479" s="212">
        <f t="shared" si="33"/>
        <v>25.971577901083</v>
      </c>
      <c r="S479" s="262">
        <f t="shared" si="34"/>
        <v>0.0</v>
      </c>
    </row>
    <row r="480" x14ac:dyDescent="0.2">
      <c r="A480" s="198">
        <f t="shared" si="35"/>
        <v>1.865313005418</v>
      </c>
      <c r="B480" s="196">
        <f t="shared" si="18"/>
        <v>111.268780325066</v>
      </c>
      <c r="C480" s="209">
        <f t="shared" si="19"/>
        <v>0.00161572243</v>
      </c>
      <c r="D480" s="199">
        <f t="shared" si="20"/>
        <v>0.998385582147</v>
      </c>
      <c r="E480" s="199">
        <f t="shared" si="21"/>
        <v>0.999192573703</v>
      </c>
      <c r="F480" s="199">
        <f t="shared" si="22"/>
        <v>0.499730821667</v>
      </c>
      <c r="G480" s="210">
        <f t="shared" si="23"/>
        <v>-0.021350602924</v>
      </c>
      <c r="H480" s="212">
        <f t="shared" si="24"/>
        <v>27.346873803432</v>
      </c>
      <c r="I480" s="212">
        <f t="shared" si="25"/>
        <v>27.379659238594</v>
      </c>
      <c r="J480" s="262">
        <f t="shared" si="26"/>
        <v>0.0</v>
      </c>
      <c r="K480" s="277">
        <f>IF(AND(H480&gt;=CO2_trough_mt,H481&lt;CO2_trough_mt),EXP(LN(A480)+(LN(A481)-LN(A480))*(H480-CO2_trough_mt)/(H480-H481)),0)</f>
        <v>0.0</v>
      </c>
      <c r="L480" s="209">
        <f t="shared" si="27"/>
        <v>0.008726451376</v>
      </c>
      <c r="M480" s="199">
        <f t="shared" si="28"/>
        <v>0.991311513587</v>
      </c>
      <c r="N480" s="199">
        <f t="shared" si="29"/>
        <v>0.995649438497</v>
      </c>
      <c r="O480" s="199">
        <f t="shared" si="30"/>
        <v>0.498548758864</v>
      </c>
      <c r="P480" s="209">
        <f t="shared" si="31"/>
        <v>1.867587162004e-05</v>
      </c>
      <c r="Q480" s="212">
        <f t="shared" si="32"/>
        <v>25.628340506171</v>
      </c>
      <c r="R480" s="212">
        <f t="shared" si="33"/>
        <v>25.740479355939</v>
      </c>
      <c r="S480" s="262">
        <f t="shared" si="34"/>
        <v>0.0</v>
      </c>
    </row>
    <row r="481" x14ac:dyDescent="0.2">
      <c r="A481" s="198">
        <f t="shared" si="35"/>
        <v>2.089270928815</v>
      </c>
      <c r="B481" s="196">
        <f t="shared" si="18"/>
        <v>124.706255728892</v>
      </c>
      <c r="C481" s="209">
        <f t="shared" si="19"/>
        <v>0.001810846617</v>
      </c>
      <c r="D481" s="199">
        <f t="shared" si="20"/>
        <v>0.998190791976</v>
      </c>
      <c r="E481" s="199">
        <f t="shared" si="21"/>
        <v>0.999095122972</v>
      </c>
      <c r="F481" s="199">
        <f t="shared" si="22"/>
        <v>0.499698328794</v>
      </c>
      <c r="G481" s="210">
        <f t="shared" si="23"/>
        <v>-0.023929027895</v>
      </c>
      <c r="H481" s="212">
        <f t="shared" si="24"/>
        <v>27.262839179227</v>
      </c>
      <c r="I481" s="212">
        <f t="shared" si="25"/>
        <v>27.299510235109</v>
      </c>
      <c r="J481" s="262">
        <f t="shared" si="26"/>
        <v>0.0</v>
      </c>
      <c r="K481" s="277">
        <f>IF(AND(H481&gt;=CO2_trough_mt,H482&lt;CO2_trough_mt),EXP(LN(A481)+(LN(A482)-LN(A481))*(H481-CO2_trough_mt)/(H481-H482)),0)</f>
        <v>0.0</v>
      </c>
      <c r="L481" s="209">
        <f t="shared" si="27"/>
        <v>0.00978030921</v>
      </c>
      <c r="M481" s="199">
        <f t="shared" si="28"/>
        <v>0.990267362473</v>
      </c>
      <c r="N481" s="199">
        <f t="shared" si="29"/>
        <v>0.995125748899</v>
      </c>
      <c r="O481" s="199">
        <f t="shared" si="30"/>
        <v>0.498373926284</v>
      </c>
      <c r="P481" s="209">
        <f t="shared" si="31"/>
        <v>2.093128023336e-05</v>
      </c>
      <c r="Q481" s="212">
        <f t="shared" si="32"/>
        <v>25.362046093481</v>
      </c>
      <c r="R481" s="212">
        <f t="shared" si="33"/>
        <v>25.486465242778</v>
      </c>
      <c r="S481" s="262">
        <f t="shared" si="34"/>
        <v>0.0</v>
      </c>
    </row>
    <row r="482" x14ac:dyDescent="0.2">
      <c r="A482" s="198">
        <f t="shared" si="35"/>
        <v>2.340118254316</v>
      </c>
      <c r="B482" s="196">
        <f t="shared" si="18"/>
        <v>139.757095258952</v>
      </c>
      <c r="C482" s="209">
        <f t="shared" si="19"/>
        <v>0.002029398299</v>
      </c>
      <c r="D482" s="199">
        <f t="shared" si="20"/>
        <v>0.997972659538</v>
      </c>
      <c r="E482" s="199">
        <f t="shared" si="21"/>
        <v>0.998985986912</v>
      </c>
      <c r="F482" s="199">
        <f t="shared" si="22"/>
        <v>0.49966193848</v>
      </c>
      <c r="G482" s="210">
        <f t="shared" si="23"/>
        <v>-0.026817030239</v>
      </c>
      <c r="H482" s="212">
        <f t="shared" si="24"/>
        <v>27.16910810675</v>
      </c>
      <c r="I482" s="212">
        <f t="shared" si="25"/>
        <v>27.210112826365</v>
      </c>
      <c r="J482" s="262">
        <f t="shared" si="26"/>
        <v>0.0</v>
      </c>
      <c r="K482" s="277">
        <f>IF(AND(H482&gt;=CO2_trough_mt,H483&lt;CO2_trough_mt),EXP(LN(A482)+(LN(A483)-LN(A482))*(H482-CO2_trough_mt)/(H482-H483)),0)</f>
        <v>0.0</v>
      </c>
      <c r="L482" s="210">
        <f t="shared" si="27"/>
        <v>0.010960697985</v>
      </c>
      <c r="M482" s="199">
        <f t="shared" si="28"/>
        <v>0.989099151601</v>
      </c>
      <c r="N482" s="199">
        <f t="shared" si="29"/>
        <v>0.994539619078</v>
      </c>
      <c r="O482" s="199">
        <f t="shared" si="30"/>
        <v>0.498178211754</v>
      </c>
      <c r="P482" s="209">
        <f t="shared" si="31"/>
        <v>2.345748341466e-05</v>
      </c>
      <c r="Q482" s="212">
        <f t="shared" si="32"/>
        <v>25.069952201467</v>
      </c>
      <c r="R482" s="212">
        <f t="shared" si="33"/>
        <v>25.207835866611</v>
      </c>
      <c r="S482" s="262">
        <f t="shared" si="34"/>
        <v>0.0</v>
      </c>
    </row>
    <row r="483" x14ac:dyDescent="0.2">
      <c r="A483" s="198">
        <f t="shared" si="35"/>
        <v>2.621083445261</v>
      </c>
      <c r="B483" s="196">
        <f t="shared" si="18"/>
        <v>156.615006715679</v>
      </c>
      <c r="C483" s="209">
        <f t="shared" si="19"/>
        <v>0.002274190284</v>
      </c>
      <c r="D483" s="199">
        <f t="shared" si="20"/>
        <v>0.997728393727</v>
      </c>
      <c r="E483" s="199">
        <f t="shared" si="21"/>
        <v>0.998863766358</v>
      </c>
      <c r="F483" s="199">
        <f t="shared" si="22"/>
        <v>0.49962118368</v>
      </c>
      <c r="G483" s="210">
        <f t="shared" si="23"/>
        <v>-0.030051779219</v>
      </c>
      <c r="H483" s="212">
        <f t="shared" si="24"/>
        <v>27.06461318722</v>
      </c>
      <c r="I483" s="212">
        <f t="shared" si="25"/>
        <v>27.110448856767</v>
      </c>
      <c r="J483" s="262">
        <f t="shared" si="26"/>
        <v>0.0</v>
      </c>
      <c r="K483" s="277">
        <f>IF(AND(H483&gt;=CO2_trough_mt,H484&lt;CO2_trough_mt),EXP(LN(A483)+(LN(A484)-LN(A483))*(H483-CO2_trough_mt)/(H483-H484)),0)</f>
        <v>0.0</v>
      </c>
      <c r="L483" s="210">
        <f t="shared" si="27"/>
        <v>0.01228280958</v>
      </c>
      <c r="M483" s="199">
        <f t="shared" si="28"/>
        <v>0.987792316226</v>
      </c>
      <c r="N483" s="199">
        <f t="shared" si="29"/>
        <v>0.993883662756</v>
      </c>
      <c r="O483" s="199">
        <f t="shared" si="30"/>
        <v>0.497959135801</v>
      </c>
      <c r="P483" s="209">
        <f t="shared" si="31"/>
        <v>2.628699398563e-05</v>
      </c>
      <c r="Q483" s="212">
        <f t="shared" si="32"/>
        <v>24.750280735971</v>
      </c>
      <c r="R483" s="212">
        <f t="shared" si="33"/>
        <v>24.902893282001</v>
      </c>
      <c r="S483" s="262">
        <f t="shared" si="34"/>
        <v>0.0</v>
      </c>
    </row>
    <row r="484" x14ac:dyDescent="0.2">
      <c r="A484" s="198">
        <f t="shared" si="35"/>
        <v>2.935782588915</v>
      </c>
      <c r="B484" s="196">
        <f t="shared" si="18"/>
        <v>175.496955334905</v>
      </c>
      <c r="C484" s="209">
        <f t="shared" si="19"/>
        <v>0.002548373104</v>
      </c>
      <c r="D484" s="199">
        <f t="shared" si="20"/>
        <v>0.997454871243</v>
      </c>
      <c r="E484" s="199">
        <f t="shared" si="21"/>
        <v>0.998726895127</v>
      </c>
      <c r="F484" s="199">
        <f t="shared" si="22"/>
        <v>0.499575541605</v>
      </c>
      <c r="G484" s="210">
        <f t="shared" si="23"/>
        <v>-0.033674906805</v>
      </c>
      <c r="H484" s="212">
        <f t="shared" si="24"/>
        <v>26.948182224035</v>
      </c>
      <c r="I484" s="212">
        <f t="shared" si="25"/>
        <v>26.999400187074</v>
      </c>
      <c r="J484" s="262">
        <f t="shared" si="26"/>
        <v>0.0</v>
      </c>
      <c r="K484" s="277">
        <f>IF(AND(H484&gt;=CO2_trough_mt,H485&lt;CO2_trough_mt),EXP(LN(A484)+(LN(A485)-LN(A484))*(H484-CO2_trough_mt)/(H484-H485)),0)</f>
        <v>0.0</v>
      </c>
      <c r="L484" s="210">
        <f t="shared" si="27"/>
        <v>0.013763659878</v>
      </c>
      <c r="M484" s="199">
        <f t="shared" si="28"/>
        <v>0.986330626219</v>
      </c>
      <c r="N484" s="199">
        <f t="shared" si="29"/>
        <v>0.993149634775</v>
      </c>
      <c r="O484" s="199">
        <f t="shared" si="30"/>
        <v>0.497713928273</v>
      </c>
      <c r="P484" s="209">
        <f t="shared" si="31"/>
        <v>2.945622840447e-05</v>
      </c>
      <c r="Q484" s="212">
        <f t="shared" si="32"/>
        <v>24.401290044107</v>
      </c>
      <c r="R484" s="212">
        <f t="shared" si="33"/>
        <v>24.569973858127</v>
      </c>
      <c r="S484" s="262">
        <f t="shared" si="34"/>
        <v>0.0</v>
      </c>
    </row>
    <row r="485" x14ac:dyDescent="0.2">
      <c r="A485" s="198">
        <f t="shared" si="35"/>
        <v>3.288265936347</v>
      </c>
      <c r="B485" s="196">
        <f t="shared" si="18"/>
        <v>196.645956180846</v>
      </c>
      <c r="C485" s="209">
        <f t="shared" si="19"/>
        <v>0.002855475553</v>
      </c>
      <c r="D485" s="199">
        <f t="shared" si="20"/>
        <v>0.997148597439</v>
      </c>
      <c r="E485" s="199">
        <f t="shared" si="21"/>
        <v>0.998573620211</v>
      </c>
      <c r="F485" s="199">
        <f t="shared" si="22"/>
        <v>0.499524426947</v>
      </c>
      <c r="G485" s="210">
        <f t="shared" si="23"/>
        <v>-0.037733043489</v>
      </c>
      <c r="H485" s="212">
        <f t="shared" si="24"/>
        <v>26.818531090874</v>
      </c>
      <c r="I485" s="212">
        <f t="shared" si="25"/>
        <v>26.875741884287</v>
      </c>
      <c r="J485" s="262">
        <f t="shared" si="26"/>
        <v>0.0</v>
      </c>
      <c r="K485" s="277">
        <f>IF(AND(H485&gt;=CO2_trough_mt,H486&lt;CO2_trough_mt),EXP(LN(A485)+(LN(A486)-LN(A485))*(H485-CO2_trough_mt)/(H485-H486)),0)</f>
        <v>0.0</v>
      </c>
      <c r="L485" s="210">
        <f t="shared" si="27"/>
        <v>0.015422307767</v>
      </c>
      <c r="M485" s="199">
        <f t="shared" si="28"/>
        <v>0.984696007012</v>
      </c>
      <c r="N485" s="199">
        <f t="shared" si="29"/>
        <v>0.99232833501</v>
      </c>
      <c r="O485" s="199">
        <f t="shared" si="30"/>
        <v>0.497439495198</v>
      </c>
      <c r="P485" s="209">
        <f t="shared" si="31"/>
        <v>3.300597545424e-05</v>
      </c>
      <c r="Q485" s="212">
        <f t="shared" si="32"/>
        <v>24.021315804917</v>
      </c>
      <c r="R485" s="212">
        <f t="shared" si="33"/>
        <v>24.207487197477</v>
      </c>
      <c r="S485" s="262">
        <f t="shared" si="34"/>
        <v>0.0</v>
      </c>
    </row>
    <row r="486" x14ac:dyDescent="0.2">
      <c r="A486" s="198">
        <f t="shared" si="35"/>
        <v>3.683070030107</v>
      </c>
      <c r="B486" s="196">
        <f t="shared" si="18"/>
        <v>220.334201806416</v>
      </c>
      <c r="C486" s="209">
        <f t="shared" si="19"/>
        <v>0.003199450114</v>
      </c>
      <c r="D486" s="199">
        <f t="shared" si="20"/>
        <v>0.996805662673</v>
      </c>
      <c r="E486" s="199">
        <f t="shared" si="21"/>
        <v>0.99840197966</v>
      </c>
      <c r="F486" s="199">
        <f t="shared" si="22"/>
        <v>0.499467184561</v>
      </c>
      <c r="G486" s="210">
        <f t="shared" si="23"/>
        <v>-0.042278418435</v>
      </c>
      <c r="H486" s="212">
        <f t="shared" si="24"/>
        <v>26.674256943334</v>
      </c>
      <c r="I486" s="212">
        <f t="shared" si="25"/>
        <v>26.738135737259</v>
      </c>
      <c r="J486" s="262">
        <f t="shared" si="26"/>
        <v>0.0</v>
      </c>
      <c r="K486" s="277">
        <f>IF(AND(H486&gt;=CO2_trough_mt,H487&lt;CO2_trough_mt),EXP(LN(A486)+(LN(A487)-LN(A486))*(H486-CO2_trough_mt)/(H486-H487)),0)</f>
        <v>0.0</v>
      </c>
      <c r="L486" s="210">
        <f t="shared" si="27"/>
        <v>0.017280100429</v>
      </c>
      <c r="M486" s="199">
        <f t="shared" si="28"/>
        <v>0.98286834423</v>
      </c>
      <c r="N486" s="199">
        <f t="shared" si="29"/>
        <v>0.99140950251</v>
      </c>
      <c r="O486" s="199">
        <f t="shared" si="30"/>
        <v>0.497132382131</v>
      </c>
      <c r="P486" s="209">
        <f t="shared" si="31"/>
        <v>3.698192120394e-05</v>
      </c>
      <c r="Q486" s="212">
        <f t="shared" si="32"/>
        <v>23.608818623814</v>
      </c>
      <c r="R486" s="212">
        <f t="shared" si="33"/>
        <v>23.813961437228</v>
      </c>
      <c r="S486" s="262">
        <f t="shared" si="34"/>
        <v>0.0</v>
      </c>
    </row>
    <row r="487" x14ac:dyDescent="0.2">
      <c r="A487" s="198">
        <f t="shared" si="35"/>
        <v>4.125276090577</v>
      </c>
      <c r="B487" s="196">
        <f t="shared" si="18"/>
        <v>246.866565434603</v>
      </c>
      <c r="C487" s="209">
        <f t="shared" si="19"/>
        <v>0.003584723817</v>
      </c>
      <c r="D487" s="199">
        <f t="shared" si="20"/>
        <v>0.996421693635</v>
      </c>
      <c r="E487" s="199">
        <f t="shared" si="21"/>
        <v>0.998209777881</v>
      </c>
      <c r="F487" s="199">
        <f t="shared" si="22"/>
        <v>0.499403081071</v>
      </c>
      <c r="G487" s="210">
        <f t="shared" si="23"/>
        <v>-0.047369531673</v>
      </c>
      <c r="H487" s="212">
        <f t="shared" si="24"/>
        <v>26.51383205177</v>
      </c>
      <c r="I487" s="212">
        <f t="shared" si="25"/>
        <v>26.585124362513</v>
      </c>
      <c r="J487" s="262">
        <f t="shared" si="26"/>
        <v>0.0</v>
      </c>
      <c r="K487" s="277">
        <f>IF(AND(H487&gt;=CO2_trough_mt,H488&lt;CO2_trough_mt),EXP(LN(A487)+(LN(A488)-LN(A487))*(H487-CO2_trough_mt)/(H487-H488)),0)</f>
        <v>0.0</v>
      </c>
      <c r="L487" s="210">
        <f t="shared" si="27"/>
        <v>0.019360948088</v>
      </c>
      <c r="M487" s="199">
        <f t="shared" si="28"/>
        <v>0.980825271336</v>
      </c>
      <c r="N487" s="199">
        <f t="shared" si="29"/>
        <v>0.990381699117</v>
      </c>
      <c r="O487" s="199">
        <f t="shared" si="30"/>
        <v>0.496788733631</v>
      </c>
      <c r="P487" s="209">
        <f t="shared" si="31"/>
        <v>4.143523699879e-05</v>
      </c>
      <c r="Q487" s="212">
        <f t="shared" si="32"/>
        <v>23.162437983688</v>
      </c>
      <c r="R487" s="212">
        <f t="shared" si="33"/>
        <v>23.388094601807</v>
      </c>
      <c r="S487" s="262">
        <f t="shared" si="34"/>
        <v>0.0</v>
      </c>
    </row>
    <row r="488" x14ac:dyDescent="0.2">
      <c r="A488" s="198">
        <f t="shared" si="35"/>
        <v>4.620575412461</v>
      </c>
      <c r="B488" s="196">
        <f t="shared" si="18"/>
        <v>276.584524747656</v>
      </c>
      <c r="C488" s="209">
        <f t="shared" si="19"/>
        <v>0.004016255224</v>
      </c>
      <c r="D488" s="199">
        <f t="shared" si="20"/>
        <v>0.995991799142</v>
      </c>
      <c r="E488" s="199">
        <f t="shared" si="21"/>
        <v>0.997994558075</v>
      </c>
      <c r="F488" s="199">
        <f t="shared" si="22"/>
        <v>0.499331295688</v>
      </c>
      <c r="G488" s="210">
        <f t="shared" si="23"/>
        <v>-0.053071907012</v>
      </c>
      <c r="H488" s="212">
        <f t="shared" si="24"/>
        <v>26.335598602324</v>
      </c>
      <c r="I488" s="212">
        <f t="shared" si="25"/>
        <v>26.415126230675</v>
      </c>
      <c r="J488" s="262">
        <f t="shared" si="26"/>
        <v>0.0</v>
      </c>
      <c r="K488" s="277">
        <f>IF(AND(H488&gt;=CO2_trough_mt,H489&lt;CO2_trough_mt),EXP(LN(A488)+(LN(A489)-LN(A488))*(H488-CO2_trough_mt)/(H488-H489)),0)</f>
        <v>0.0</v>
      </c>
      <c r="L488" s="210">
        <f t="shared" si="27"/>
        <v>0.021691631738</v>
      </c>
      <c r="M488" s="199">
        <f t="shared" si="28"/>
        <v>0.978541939808</v>
      </c>
      <c r="N488" s="199">
        <f t="shared" si="29"/>
        <v>0.989232181847</v>
      </c>
      <c r="O488" s="199">
        <f t="shared" si="30"/>
        <v>0.496404248583</v>
      </c>
      <c r="P488" s="209">
        <f t="shared" si="31"/>
        <v>4.642323804741e-05</v>
      </c>
      <c r="Q488" s="212">
        <f t="shared" si="32"/>
        <v>22.681051725819</v>
      </c>
      <c r="R488" s="212">
        <f t="shared" si="33"/>
        <v>22.928811217877</v>
      </c>
      <c r="S488" s="262">
        <f t="shared" si="34"/>
        <v>0.0</v>
      </c>
    </row>
    <row r="489" x14ac:dyDescent="0.2">
      <c r="A489" s="198">
        <f t="shared" si="35"/>
        <v>5.17534261307</v>
      </c>
      <c r="B489" s="196">
        <f t="shared" si="18"/>
        <v>309.870556784171</v>
      </c>
      <c r="C489" s="209">
        <f t="shared" si="19"/>
        <v>0.004499598247</v>
      </c>
      <c r="D489" s="199">
        <f t="shared" si="20"/>
        <v>0.995510509779</v>
      </c>
      <c r="E489" s="199">
        <f t="shared" si="21"/>
        <v>0.997753571482</v>
      </c>
      <c r="F489" s="199">
        <f t="shared" si="22"/>
        <v>0.499250909798</v>
      </c>
      <c r="G489" s="210">
        <f t="shared" si="23"/>
        <v>-0.059458935349</v>
      </c>
      <c r="H489" s="212">
        <f t="shared" si="24"/>
        <v>26.137764891991</v>
      </c>
      <c r="I489" s="212">
        <f t="shared" si="25"/>
        <v>26.226432019139</v>
      </c>
      <c r="J489" s="262">
        <f t="shared" si="26"/>
        <v>0.0</v>
      </c>
      <c r="K489" s="277">
        <f>IF(AND(H489&gt;=CO2_trough_mt,H490&lt;CO2_trough_mt),EXP(LN(A489)+(LN(A490)-LN(A489))*(H489-CO2_trough_mt)/(H489-H490)),0)</f>
        <v>0.0</v>
      </c>
      <c r="L489" s="210">
        <f t="shared" si="27"/>
        <v>0.024302147816</v>
      </c>
      <c r="M489" s="199">
        <f t="shared" si="28"/>
        <v>0.975990771723</v>
      </c>
      <c r="N489" s="199">
        <f t="shared" si="29"/>
        <v>0.987946763355</v>
      </c>
      <c r="O489" s="199">
        <f t="shared" si="30"/>
        <v>0.495974131007</v>
      </c>
      <c r="P489" s="209">
        <f t="shared" si="31"/>
        <v>5.201012108179e-05</v>
      </c>
      <c r="Q489" s="212">
        <f t="shared" si="32"/>
        <v>22.163839661732</v>
      </c>
      <c r="R489" s="212">
        <f t="shared" si="33"/>
        <v>22.435322857749</v>
      </c>
      <c r="S489" s="262">
        <f t="shared" si="34"/>
        <v>0.0</v>
      </c>
    </row>
    <row r="490" x14ac:dyDescent="0.2">
      <c r="A490" s="198">
        <f t="shared" si="35"/>
        <v>5.796717675123</v>
      </c>
      <c r="B490" s="196">
        <f t="shared" si="18"/>
        <v>347.153060507409</v>
      </c>
      <c r="C490" s="209">
        <f t="shared" si="19"/>
        <v>0.00504097362</v>
      </c>
      <c r="D490" s="199">
        <f t="shared" si="20"/>
        <v>0.994971710765</v>
      </c>
      <c r="E490" s="199">
        <f t="shared" si="21"/>
        <v>0.997483743094</v>
      </c>
      <c r="F490" s="199">
        <f t="shared" si="22"/>
        <v>0.499160895473</v>
      </c>
      <c r="G490" s="210">
        <f t="shared" si="23"/>
        <v>-0.066612819221</v>
      </c>
      <c r="H490" s="212">
        <f t="shared" si="24"/>
        <v>25.9184034312</v>
      </c>
      <c r="I490" s="212">
        <f t="shared" si="25"/>
        <v>26.01720278</v>
      </c>
      <c r="J490" s="262">
        <f t="shared" si="26"/>
        <v>0.0</v>
      </c>
      <c r="K490" s="277">
        <f>IF(AND(H490&gt;=CO2_trough_mt,H491&lt;CO2_trough_mt),EXP(LN(A490)+(LN(A491)-LN(A490))*(H490-CO2_trough_mt)/(H490-H491)),0)</f>
        <v>0.0</v>
      </c>
      <c r="L490" s="210">
        <f t="shared" si="27"/>
        <v>0.027226094272</v>
      </c>
      <c r="M490" s="199">
        <f t="shared" si="28"/>
        <v>0.973141194999</v>
      </c>
      <c r="N490" s="199">
        <f t="shared" si="29"/>
        <v>0.986509659889</v>
      </c>
      <c r="O490" s="199">
        <f t="shared" si="30"/>
        <v>0.495493036043</v>
      </c>
      <c r="P490" s="209">
        <f t="shared" si="31"/>
        <v>5.826779058419e-05</v>
      </c>
      <c r="Q490" s="212">
        <f t="shared" si="32"/>
        <v>21.610349276976</v>
      </c>
      <c r="R490" s="212">
        <f t="shared" si="33"/>
        <v>21.907190667109</v>
      </c>
      <c r="S490" s="262">
        <f t="shared" si="34"/>
        <v>0.0</v>
      </c>
    </row>
    <row r="491" x14ac:dyDescent="0.2">
      <c r="A491" s="198">
        <f t="shared" si="35"/>
        <v>6.492697839991</v>
      </c>
      <c r="B491" s="196">
        <f t="shared" si="18"/>
        <v>388.91187039945</v>
      </c>
      <c r="C491" s="209">
        <f t="shared" si="19"/>
        <v>0.005647348971</v>
      </c>
      <c r="D491" s="199">
        <f t="shared" si="20"/>
        <v>0.994368567328</v>
      </c>
      <c r="E491" s="199">
        <f t="shared" si="21"/>
        <v>0.997181633443</v>
      </c>
      <c r="F491" s="199">
        <f t="shared" si="22"/>
        <v>0.49906010253</v>
      </c>
      <c r="G491" s="210">
        <f t="shared" si="23"/>
        <v>-0.074625630775</v>
      </c>
      <c r="H491" s="212">
        <f t="shared" si="24"/>
        <v>25.675451561946</v>
      </c>
      <c r="I491" s="212">
        <f t="shared" si="25"/>
        <v>25.785470502431</v>
      </c>
      <c r="J491" s="262">
        <f t="shared" si="26"/>
        <v>0.0</v>
      </c>
      <c r="K491" s="277">
        <f>IF(AND(H491&gt;=CO2_trough_mt,H492&lt;CO2_trough_mt),EXP(LN(A491)+(LN(A492)-LN(A491))*(H491-CO2_trough_mt)/(H491-H492)),0)</f>
        <v>0.0</v>
      </c>
      <c r="L491" s="210">
        <f t="shared" si="27"/>
        <v>0.030501102977</v>
      </c>
      <c r="M491" s="199">
        <f t="shared" si="28"/>
        <v>0.969959362224</v>
      </c>
      <c r="N491" s="199">
        <f t="shared" si="29"/>
        <v>0.984903326247</v>
      </c>
      <c r="O491" s="199">
        <f t="shared" si="30"/>
        <v>0.49495501079</v>
      </c>
      <c r="P491" s="209">
        <f t="shared" si="31"/>
        <v>6.527678421448e-05</v>
      </c>
      <c r="Q491" s="212">
        <f t="shared" si="32"/>
        <v>21.020560821936</v>
      </c>
      <c r="R491" s="212">
        <f t="shared" si="33"/>
        <v>21.344387298227</v>
      </c>
      <c r="S491" s="262">
        <f t="shared" si="34"/>
        <v>0.0</v>
      </c>
    </row>
    <row r="492" x14ac:dyDescent="0.2">
      <c r="A492" s="198">
        <f t="shared" si="35"/>
        <v>7.27224053404</v>
      </c>
      <c r="B492" s="196">
        <f t="shared" si="18"/>
        <v>435.684432042427</v>
      </c>
      <c r="C492" s="209">
        <f t="shared" si="19"/>
        <v>0.006326528492</v>
      </c>
      <c r="D492" s="199">
        <f t="shared" si="20"/>
        <v>0.993693441852</v>
      </c>
      <c r="E492" s="199">
        <f t="shared" si="21"/>
        <v>0.996843396043</v>
      </c>
      <c r="F492" s="199">
        <f t="shared" si="22"/>
        <v>0.498947244183</v>
      </c>
      <c r="G492" s="210">
        <f t="shared" si="23"/>
        <v>-0.083600496757</v>
      </c>
      <c r="H492" s="212">
        <f t="shared" si="24"/>
        <v>25.406715297562</v>
      </c>
      <c r="I492" s="212">
        <f t="shared" si="25"/>
        <v>25.529141742013</v>
      </c>
      <c r="J492" s="262">
        <f t="shared" si="26"/>
        <v>0.0</v>
      </c>
      <c r="K492" s="277">
        <f>IF(AND(H492&gt;=CO2_trough_mt,H493&lt;CO2_trough_mt),EXP(LN(A492)+(LN(A493)-LN(A492))*(H492-CO2_trough_mt)/(H492-H493)),0)</f>
        <v>0.0</v>
      </c>
      <c r="L492" s="210">
        <f t="shared" si="27"/>
        <v>0.034169324051</v>
      </c>
      <c r="M492" s="199">
        <f t="shared" si="28"/>
        <v>0.96640785469</v>
      </c>
      <c r="N492" s="199">
        <f t="shared" si="29"/>
        <v>0.983108277465</v>
      </c>
      <c r="O492" s="199">
        <f t="shared" si="30"/>
        <v>0.494353429704</v>
      </c>
      <c r="P492" s="209">
        <f t="shared" si="31"/>
        <v>7.31273093486e-05</v>
      </c>
      <c r="Q492" s="212">
        <f t="shared" si="32"/>
        <v>20.394948454887</v>
      </c>
      <c r="R492" s="212">
        <f t="shared" si="33"/>
        <v>20.747355069429</v>
      </c>
      <c r="S492" s="262">
        <f t="shared" si="34"/>
        <v>0.0</v>
      </c>
    </row>
    <row r="493" x14ac:dyDescent="0.2">
      <c r="A493" s="198">
        <f t="shared" si="35"/>
        <v>8.1453786528</v>
      </c>
      <c r="B493" s="196">
        <f t="shared" si="18"/>
        <v>488.072719167989</v>
      </c>
      <c r="C493" s="209">
        <f t="shared" si="19"/>
        <v>0.007087253381</v>
      </c>
      <c r="D493" s="199">
        <f t="shared" si="20"/>
        <v>0.992937801973</v>
      </c>
      <c r="E493" s="199">
        <f t="shared" si="21"/>
        <v>0.996464730024</v>
      </c>
      <c r="F493" s="199">
        <f t="shared" si="22"/>
        <v>0.498820881022</v>
      </c>
      <c r="G493" s="210">
        <f t="shared" si="23"/>
        <v>-0.093652925776</v>
      </c>
      <c r="H493" s="212">
        <f t="shared" si="24"/>
        <v>25.109877186622</v>
      </c>
      <c r="I493" s="212">
        <f t="shared" si="25"/>
        <v>25.246005081447</v>
      </c>
      <c r="J493" s="262">
        <f t="shared" si="26"/>
        <v>0.0</v>
      </c>
      <c r="K493" s="277">
        <f>IF(AND(H493&gt;=CO2_trough_mt,H494&lt;CO2_trough_mt),EXP(LN(A493)+(LN(A494)-LN(A493))*(H493-CO2_trough_mt)/(H493-H494)),0)</f>
        <v>0.0</v>
      </c>
      <c r="L493" s="210">
        <f t="shared" si="27"/>
        <v>0.038277968353</v>
      </c>
      <c r="M493" s="199">
        <f t="shared" si="28"/>
        <v>0.96244537435</v>
      </c>
      <c r="N493" s="199">
        <f t="shared" si="29"/>
        <v>0.981102897202</v>
      </c>
      <c r="O493" s="199">
        <f t="shared" si="30"/>
        <v>0.493680924318</v>
      </c>
      <c r="P493" s="209">
        <f t="shared" si="31"/>
        <v>8.192040406836e-05</v>
      </c>
      <c r="Q493" s="212">
        <f t="shared" si="32"/>
        <v>19.734533587947</v>
      </c>
      <c r="R493" s="212">
        <f t="shared" si="33"/>
        <v>20.117056681115</v>
      </c>
      <c r="S493" s="262">
        <f t="shared" si="34"/>
        <v>0.0</v>
      </c>
    </row>
    <row r="494" x14ac:dyDescent="0.2">
      <c r="A494" s="198">
        <f t="shared" si="35"/>
        <v>9.123349686651</v>
      </c>
      <c r="B494" s="196">
        <f t="shared" si="18"/>
        <v>546.750981199046</v>
      </c>
      <c r="C494" s="209">
        <f t="shared" si="19"/>
        <v>0.007939314344</v>
      </c>
      <c r="D494" s="199">
        <f t="shared" si="20"/>
        <v>0.992092118771</v>
      </c>
      <c r="E494" s="199">
        <f t="shared" si="21"/>
        <v>0.996040827462</v>
      </c>
      <c r="F494" s="199">
        <f t="shared" si="22"/>
        <v>0.498679403141</v>
      </c>
      <c r="G494" s="199">
        <f t="shared" si="23"/>
        <v>-0.104912294929</v>
      </c>
      <c r="H494" s="212">
        <f t="shared" si="24"/>
        <v>24.782509090518</v>
      </c>
      <c r="I494" s="212">
        <f t="shared" si="25"/>
        <v>24.933743269894</v>
      </c>
      <c r="J494" s="262">
        <f t="shared" si="26"/>
        <v>0.0</v>
      </c>
      <c r="K494" s="277">
        <f>IF(AND(H494&gt;=CO2_trough_mt,H495&lt;CO2_trough_mt),EXP(LN(A494)+(LN(A495)-LN(A494))*(H494-CO2_trough_mt)/(H494-H495)),0)</f>
        <v>0.0</v>
      </c>
      <c r="L494" s="210">
        <f t="shared" si="27"/>
        <v>0.04287991509</v>
      </c>
      <c r="M494" s="199">
        <f t="shared" si="28"/>
        <v>0.958026427677</v>
      </c>
      <c r="N494" s="199">
        <f t="shared" si="29"/>
        <v>0.978863233167</v>
      </c>
      <c r="O494" s="199">
        <f t="shared" si="30"/>
        <v>0.492929307092</v>
      </c>
      <c r="P494" s="209">
        <f t="shared" si="31"/>
        <v>9.176923754507e-05</v>
      </c>
      <c r="Q494" s="212">
        <f t="shared" si="32"/>
        <v>19.040926278224</v>
      </c>
      <c r="R494" s="212">
        <f t="shared" si="33"/>
        <v>19.455014524589</v>
      </c>
      <c r="S494" s="262">
        <f t="shared" si="34"/>
        <v>0.0</v>
      </c>
    </row>
    <row r="495" x14ac:dyDescent="0.2">
      <c r="A495" s="212">
        <f t="shared" si="35"/>
        <v>10.218740349941</v>
      </c>
      <c r="B495" s="196">
        <f t="shared" si="18"/>
        <v>612.47442099644</v>
      </c>
      <c r="C495" s="209">
        <f t="shared" si="19"/>
        <v>0.008893677603</v>
      </c>
      <c r="D495" s="199">
        <f t="shared" si="20"/>
        <v>0.991145754163</v>
      </c>
      <c r="E495" s="199">
        <f t="shared" si="21"/>
        <v>0.995566314856</v>
      </c>
      <c r="F495" s="199">
        <f t="shared" si="22"/>
        <v>0.498521010276</v>
      </c>
      <c r="G495" s="199">
        <f t="shared" si="23"/>
        <v>-0.117523514912</v>
      </c>
      <c r="H495" s="212">
        <f t="shared" si="24"/>
        <v>24.422090831413</v>
      </c>
      <c r="I495" s="212">
        <f t="shared" si="25"/>
        <v>24.589950952227</v>
      </c>
      <c r="J495" s="262">
        <f t="shared" si="26"/>
        <v>0.0</v>
      </c>
      <c r="K495" s="277">
        <f>IF(AND(H495&gt;=CO2_trough_mt,H496&lt;CO2_trough_mt),EXP(LN(A495)+(LN(A496)-LN(A495))*(H495-CO2_trough_mt)/(H495-H496)),0)</f>
        <v>0.0</v>
      </c>
      <c r="L495" s="210">
        <f t="shared" si="27"/>
        <v>0.048034392383</v>
      </c>
      <c r="M495" s="199">
        <f t="shared" si="28"/>
        <v>0.953101007099</v>
      </c>
      <c r="N495" s="199">
        <f t="shared" si="29"/>
        <v>0.976362780382</v>
      </c>
      <c r="O495" s="199">
        <f t="shared" si="30"/>
        <v>0.492089489316</v>
      </c>
      <c r="P495" s="209">
        <f t="shared" si="31"/>
        <v>0.0001028005665531</v>
      </c>
      <c r="Q495" s="212">
        <f t="shared" si="32"/>
        <v>18.316350495978</v>
      </c>
      <c r="R495" s="212">
        <f t="shared" si="33"/>
        <v>18.763334609817</v>
      </c>
      <c r="S495" s="262">
        <f t="shared" si="34"/>
        <v>0.0</v>
      </c>
    </row>
    <row r="496" x14ac:dyDescent="0.2">
      <c r="A496" s="212">
        <f t="shared" si="35"/>
        <v>11.445648574919</v>
      </c>
      <c r="B496" s="196">
        <f t="shared" si="18"/>
        <v>686.088914495161</v>
      </c>
      <c r="C496" s="209">
        <f t="shared" si="19"/>
        <v>0.009962626035</v>
      </c>
      <c r="D496" s="199">
        <f t="shared" si="20"/>
        <v>0.990086836528</v>
      </c>
      <c r="E496" s="199">
        <f t="shared" si="21"/>
        <v>0.995035188183</v>
      </c>
      <c r="F496" s="199">
        <f t="shared" si="22"/>
        <v>0.498343689681</v>
      </c>
      <c r="G496" s="199">
        <f t="shared" si="23"/>
        <v>-0.131648895055</v>
      </c>
      <c r="H496" s="212">
        <f t="shared" si="24"/>
        <v>24.026035701021</v>
      </c>
      <c r="I496" s="212">
        <f t="shared" si="25"/>
        <v>24.212158931504</v>
      </c>
      <c r="J496" s="262">
        <f t="shared" si="26"/>
        <v>0.0</v>
      </c>
      <c r="K496" s="277">
        <f>IF(AND(H496&gt;=CO2_trough_mt,H497&lt;CO2_trough_mt),EXP(LN(A496)+(LN(A497)-LN(A496))*(H496-CO2_trough_mt)/(H496-H497)),0)</f>
        <v>0.0</v>
      </c>
      <c r="L496" s="210">
        <f t="shared" si="27"/>
        <v>0.053807739554</v>
      </c>
      <c r="M496" s="199">
        <f t="shared" si="28"/>
        <v>0.947614277732</v>
      </c>
      <c r="N496" s="199">
        <f t="shared" si="29"/>
        <v>0.973572253759</v>
      </c>
      <c r="O496" s="199">
        <f t="shared" si="30"/>
        <v>0.491151393095</v>
      </c>
      <c r="P496" s="209">
        <f t="shared" si="31"/>
        <v>0.0001151563668588</v>
      </c>
      <c r="Q496" s="212">
        <f t="shared" si="32"/>
        <v>17.563649466671</v>
      </c>
      <c r="R496" s="212">
        <f t="shared" si="33"/>
        <v>18.044711485962</v>
      </c>
      <c r="S496" s="262">
        <f t="shared" si="34"/>
        <v>0.0</v>
      </c>
    </row>
    <row r="497" x14ac:dyDescent="0.2">
      <c r="A497" s="212">
        <f t="shared" si="35"/>
        <v>12.819864955402</v>
      </c>
      <c r="B497" s="196">
        <f t="shared" si="18"/>
        <v>768.541897324101</v>
      </c>
      <c r="C497" s="210">
        <f t="shared" si="19"/>
        <v>0.011159917255</v>
      </c>
      <c r="D497" s="199">
        <f t="shared" si="20"/>
        <v>0.988902123616</v>
      </c>
      <c r="E497" s="199">
        <f t="shared" si="21"/>
        <v>0.994440740881</v>
      </c>
      <c r="F497" s="199">
        <f t="shared" si="22"/>
        <v>0.498145191553</v>
      </c>
      <c r="G497" s="199">
        <f t="shared" si="23"/>
        <v>-0.147470232281</v>
      </c>
      <c r="H497" s="212">
        <f t="shared" si="24"/>
        <v>23.591723803888</v>
      </c>
      <c r="I497" s="212">
        <f t="shared" si="25"/>
        <v>23.797865892003</v>
      </c>
      <c r="J497" s="262">
        <f t="shared" si="26"/>
        <v>0.0</v>
      </c>
      <c r="K497" s="277">
        <f>IF(AND(H497&gt;=CO2_trough_mt,H498&lt;CO2_trough_mt),EXP(LN(A497)+(LN(A498)-LN(A497))*(H497-CO2_trough_mt)/(H497-H498)),0)</f>
        <v>0.0</v>
      </c>
      <c r="L497" s="210">
        <f t="shared" si="27"/>
        <v>0.060274260922</v>
      </c>
      <c r="M497" s="199">
        <f t="shared" si="28"/>
        <v>0.941506279791</v>
      </c>
      <c r="N497" s="199">
        <f t="shared" si="29"/>
        <v>0.970459352204</v>
      </c>
      <c r="O497" s="199">
        <f t="shared" si="30"/>
        <v>0.490103857663</v>
      </c>
      <c r="P497" s="209">
        <f t="shared" si="31"/>
        <v>0.0001289956604819</v>
      </c>
      <c r="Q497" s="212">
        <f t="shared" si="32"/>
        <v>16.786268070515</v>
      </c>
      <c r="R497" s="212">
        <f t="shared" si="33"/>
        <v>17.302411278107</v>
      </c>
      <c r="S497" s="262">
        <f t="shared" si="34"/>
        <v>0.0</v>
      </c>
    </row>
    <row r="498" x14ac:dyDescent="0.2">
      <c r="A498" s="212">
        <f t="shared" si="35"/>
        <v>14.359075975377</v>
      </c>
      <c r="B498" s="196">
        <f t="shared" si="18"/>
        <v>860.89455852264</v>
      </c>
      <c r="C498" s="210">
        <f t="shared" si="19"/>
        <v>0.012500960679</v>
      </c>
      <c r="D498" s="199">
        <f t="shared" si="20"/>
        <v>0.987576851749</v>
      </c>
      <c r="E498" s="199">
        <f t="shared" si="21"/>
        <v>0.993775484134</v>
      </c>
      <c r="F498" s="199">
        <f t="shared" si="22"/>
        <v>0.497923001725</v>
      </c>
      <c r="G498" s="199">
        <f t="shared" si="23"/>
        <v>-0.165191150876</v>
      </c>
      <c r="H498" s="212">
        <f t="shared" si="24"/>
        <v>23.116544121837</v>
      </c>
      <c r="I498" s="212">
        <f t="shared" si="25"/>
        <v>23.344578427079</v>
      </c>
      <c r="J498" s="262">
        <f t="shared" si="26"/>
        <v>0.0</v>
      </c>
      <c r="K498" s="277">
        <f>IF(AND(H498&gt;=CO2_trough_mt,H499&lt;CO2_trough_mt),EXP(LN(A498)+(LN(A499)-LN(A498))*(H498-CO2_trough_mt)/(H498-H499)),0)</f>
        <v>0.0</v>
      </c>
      <c r="L498" s="210">
        <f t="shared" si="27"/>
        <v>0.067517182118</v>
      </c>
      <c r="M498" s="199">
        <f t="shared" si="28"/>
        <v>0.934711660152</v>
      </c>
      <c r="N498" s="199">
        <f t="shared" si="29"/>
        <v>0.966988517588</v>
      </c>
      <c r="O498" s="199">
        <f t="shared" si="30"/>
        <v>0.488934540463</v>
      </c>
      <c r="P498" s="209">
        <f t="shared" si="31"/>
        <v>0.0001444965623456</v>
      </c>
      <c r="Q498" s="212">
        <f t="shared" si="32"/>
        <v>15.988210489308</v>
      </c>
      <c r="R498" s="212">
        <f t="shared" si="33"/>
        <v>16.540231112838</v>
      </c>
      <c r="S498" s="262">
        <f t="shared" si="34"/>
        <v>0.0</v>
      </c>
    </row>
    <row r="499" x14ac:dyDescent="0.2">
      <c r="A499" s="212">
        <f t="shared" si="35"/>
        <v>16.083091638168</v>
      </c>
      <c r="B499" s="196">
        <f t="shared" si="18"/>
        <v>964.335498290055</v>
      </c>
      <c r="C499" s="210">
        <f t="shared" si="19"/>
        <v>0.014003015847</v>
      </c>
      <c r="D499" s="199">
        <f t="shared" si="20"/>
        <v>0.986094570348</v>
      </c>
      <c r="E499" s="199">
        <f t="shared" si="21"/>
        <v>0.993031058731</v>
      </c>
      <c r="F499" s="199">
        <f t="shared" si="22"/>
        <v>0.497674311383</v>
      </c>
      <c r="G499" s="199">
        <f t="shared" si="23"/>
        <v>-0.185039723176</v>
      </c>
      <c r="H499" s="212">
        <f t="shared" si="24"/>
        <v>22.597946006949</v>
      </c>
      <c r="I499" s="212">
        <f t="shared" si="25"/>
        <v>22.849860045247</v>
      </c>
      <c r="J499" s="262">
        <f t="shared" si="26"/>
        <v>0.0</v>
      </c>
      <c r="K499" s="277">
        <f>IF(AND(H499&gt;=CO2_trough_mt,H500&lt;CO2_trough_mt),EXP(LN(A499)+(LN(A500)-LN(A499))*(H499-CO2_trough_mt)/(H499-H500)),0)</f>
        <v>0.0</v>
      </c>
      <c r="L499" s="210">
        <f t="shared" si="27"/>
        <v>0.07562972122</v>
      </c>
      <c r="M499" s="199">
        <f t="shared" si="28"/>
        <v>0.927159450478</v>
      </c>
      <c r="N499" s="199">
        <f t="shared" si="29"/>
        <v>0.963120693126</v>
      </c>
      <c r="O499" s="199">
        <f t="shared" si="30"/>
        <v>0.487629813772</v>
      </c>
      <c r="P499" s="209">
        <f t="shared" si="31"/>
        <v>0.0001618585726571</v>
      </c>
      <c r="Q499" s="212">
        <f t="shared" si="32"/>
        <v>15.173972853626</v>
      </c>
      <c r="R499" s="212">
        <f t="shared" si="33"/>
        <v>15.762434694971</v>
      </c>
      <c r="S499" s="262">
        <f t="shared" si="34"/>
        <v>0.0</v>
      </c>
    </row>
    <row r="500" x14ac:dyDescent="0.2">
      <c r="A500" s="212">
        <f t="shared" si="35"/>
        <v>18.014100425769</v>
      </c>
      <c r="B500" s="222">
        <f t="shared" si="18"/>
        <v>1080.196025546147</v>
      </c>
      <c r="C500" s="210">
        <f t="shared" si="19"/>
        <v>0.015685414558</v>
      </c>
      <c r="D500" s="199">
        <f t="shared" si="20"/>
        <v>0.984436960885</v>
      </c>
      <c r="E500" s="199">
        <f t="shared" si="21"/>
        <v>0.992198137799</v>
      </c>
      <c r="F500" s="199">
        <f t="shared" si="22"/>
        <v>0.497395983508</v>
      </c>
      <c r="G500" s="199">
        <f t="shared" si="23"/>
        <v>-0.207271404918</v>
      </c>
      <c r="H500" s="212">
        <f t="shared" si="24"/>
        <v>22.033500516834</v>
      </c>
      <c r="I500" s="212">
        <f t="shared" si="25"/>
        <v>22.311389547921</v>
      </c>
      <c r="J500" s="262">
        <f t="shared" si="26"/>
        <v>0.0</v>
      </c>
      <c r="K500" s="277">
        <f>IF(AND(H500&gt;=CO2_trough_mt,H501&lt;CO2_trough_mt),EXP(LN(A500)+(LN(A501)-LN(A500))*(H500-CO2_trough_mt)/(H500-H501)),0)</f>
        <v>0.0</v>
      </c>
      <c r="L500" s="210">
        <f t="shared" si="27"/>
        <v>0.08471628849</v>
      </c>
      <c r="M500" s="199">
        <f t="shared" si="28"/>
        <v>0.918772913878</v>
      </c>
      <c r="N500" s="199">
        <f t="shared" si="29"/>
        <v>0.958813087414</v>
      </c>
      <c r="O500" s="199">
        <f t="shared" si="30"/>
        <v>0.48617465803</v>
      </c>
      <c r="P500" s="209">
        <f t="shared" si="31"/>
        <v>0.0001813051445215</v>
      </c>
      <c r="Q500" s="212">
        <f t="shared" si="32"/>
        <v>14.348452438396</v>
      </c>
      <c r="R500" s="212">
        <f t="shared" si="33"/>
        <v>14.973665508069</v>
      </c>
      <c r="S500" s="262">
        <f t="shared" si="34"/>
        <v>0.0</v>
      </c>
    </row>
    <row r="501" x14ac:dyDescent="0.2">
      <c r="A501" s="212">
        <f t="shared" si="35"/>
        <v>20.176954869771</v>
      </c>
      <c r="B501" s="222">
        <f t="shared" si="18"/>
        <v>1209.967292186248</v>
      </c>
      <c r="C501" s="210">
        <f t="shared" si="19"/>
        <v>0.017569809674</v>
      </c>
      <c r="D501" s="199">
        <f t="shared" si="20"/>
        <v>0.982583639427</v>
      </c>
      <c r="E501" s="199">
        <f t="shared" si="21"/>
        <v>0.991266319666</v>
      </c>
      <c r="F501" s="199">
        <f t="shared" si="22"/>
        <v>0.497084515747</v>
      </c>
      <c r="G501" s="199">
        <f t="shared" si="23"/>
        <v>-0.232172323009</v>
      </c>
      <c r="H501" s="212">
        <f t="shared" si="24"/>
        <v>21.42097157837</v>
      </c>
      <c r="I501" s="212">
        <f t="shared" si="25"/>
        <v>21.727028764717</v>
      </c>
      <c r="J501" s="262">
        <f t="shared" si="26"/>
        <v>0.0</v>
      </c>
      <c r="K501" s="277">
        <f>IF(AND(H501&gt;=CO2_trough_mt,H502&lt;CO2_trough_mt),EXP(LN(A501)+(LN(A502)-LN(A501))*(H501-CO2_trough_mt)/(H501-H502)),0)</f>
        <v>0.0</v>
      </c>
      <c r="L501" s="210">
        <f t="shared" si="27"/>
        <v>0.094893830161</v>
      </c>
      <c r="M501" s="199">
        <f t="shared" si="28"/>
        <v>0.909469487572</v>
      </c>
      <c r="N501" s="199">
        <f t="shared" si="29"/>
        <v>0.954018952283</v>
      </c>
      <c r="O501" s="199">
        <f t="shared" si="30"/>
        <v>0.484552553513</v>
      </c>
      <c r="P501" s="209">
        <f t="shared" si="31"/>
        <v>0.0002030865598355</v>
      </c>
      <c r="Q501" s="212">
        <f t="shared" si="32"/>
        <v>13.516836802482</v>
      </c>
      <c r="R501" s="212">
        <f t="shared" si="33"/>
        <v>14.178840871942</v>
      </c>
      <c r="S501" s="262">
        <f t="shared" si="34"/>
        <v>0.0</v>
      </c>
    </row>
    <row r="502" x14ac:dyDescent="0.2">
      <c r="A502" s="212">
        <f t="shared" si="35"/>
        <v>22.599491409207</v>
      </c>
      <c r="B502" s="222">
        <f t="shared" si="18"/>
        <v>1355.31948455244</v>
      </c>
      <c r="C502" s="210">
        <f t="shared" si="19"/>
        <v>0.019680453798</v>
      </c>
      <c r="D502" s="199">
        <f t="shared" si="20"/>
        <v>0.980511942119</v>
      </c>
      <c r="E502" s="199">
        <f t="shared" si="21"/>
        <v>0.990224010114</v>
      </c>
      <c r="F502" s="199">
        <f t="shared" si="22"/>
        <v>0.496735999397</v>
      </c>
      <c r="G502" s="199">
        <f t="shared" si="23"/>
        <v>-0.260062958049</v>
      </c>
      <c r="H502" s="212">
        <f t="shared" si="24"/>
        <v>20.758396391531</v>
      </c>
      <c r="I502" s="212">
        <f t="shared" si="25"/>
        <v>21.094899084536</v>
      </c>
      <c r="J502" s="262">
        <f t="shared" si="26"/>
        <v>0.0</v>
      </c>
      <c r="K502" s="277">
        <f>IF(AND(H502&gt;=CO2_trough_mt,H503&lt;CO2_trough_mt),EXP(LN(A502)+(LN(A503)-LN(A502))*(H502-CO2_trough_mt)/(H502-H503)),0)</f>
        <v>0.0</v>
      </c>
      <c r="L502" s="199">
        <f t="shared" si="27"/>
        <v>0.106293333557</v>
      </c>
      <c r="M502" s="199">
        <f t="shared" si="28"/>
        <v>0.899160855337</v>
      </c>
      <c r="N502" s="199">
        <f t="shared" si="29"/>
        <v>0.948687385082</v>
      </c>
      <c r="O502" s="199">
        <f t="shared" si="30"/>
        <v>0.482745372649</v>
      </c>
      <c r="P502" s="209">
        <f t="shared" si="31"/>
        <v>0.000227483150473</v>
      </c>
      <c r="Q502" s="212">
        <f t="shared" si="32"/>
        <v>12.68447795744</v>
      </c>
      <c r="R502" s="212">
        <f t="shared" si="33"/>
        <v>13.383031700278</v>
      </c>
      <c r="S502" s="262">
        <f t="shared" si="34"/>
        <v>0.0</v>
      </c>
    </row>
    <row r="503" x14ac:dyDescent="0.2">
      <c r="A503" s="212">
        <f t="shared" si="35"/>
        <v>25.312888651995</v>
      </c>
      <c r="B503" s="222">
        <f t="shared" si="18"/>
        <v>1518.123319119698</v>
      </c>
      <c r="C503" s="210">
        <f t="shared" si="19"/>
        <v>0.02204451141</v>
      </c>
      <c r="D503" s="199">
        <f t="shared" si="20"/>
        <v>0.978196693168</v>
      </c>
      <c r="E503" s="199">
        <f t="shared" si="21"/>
        <v>0.989058293304</v>
      </c>
      <c r="F503" s="199">
        <f t="shared" si="22"/>
        <v>0.496346074172</v>
      </c>
      <c r="G503" s="199">
        <f t="shared" si="23"/>
        <v>-0.291302268987</v>
      </c>
      <c r="H503" s="212">
        <f t="shared" si="24"/>
        <v>20.044173761915</v>
      </c>
      <c r="I503" s="212">
        <f t="shared" si="25"/>
        <v>20.41346553154</v>
      </c>
      <c r="J503" s="262">
        <f t="shared" si="26"/>
        <v>0.0</v>
      </c>
      <c r="K503" s="277">
        <f>IF(AND(H503&gt;=CO2_trough_mt,H504&lt;CO2_trough_mt),EXP(LN(A503)+(LN(A504)-LN(A503))*(H503-CO2_trough_mt)/(H503-H504)),0)</f>
        <v>0.0</v>
      </c>
      <c r="L503" s="199">
        <f t="shared" si="27"/>
        <v>0.119061512934</v>
      </c>
      <c r="M503" s="199">
        <f t="shared" si="28"/>
        <v>0.887753190779</v>
      </c>
      <c r="N503" s="199">
        <f t="shared" si="29"/>
        <v>0.942763168845</v>
      </c>
      <c r="O503" s="199">
        <f t="shared" si="30"/>
        <v>0.480733275977</v>
      </c>
      <c r="P503" s="209">
        <f t="shared" si="31"/>
        <v>0.0002548089062218</v>
      </c>
      <c r="Q503" s="212">
        <f t="shared" si="32"/>
        <v>11.856757971806</v>
      </c>
      <c r="R503" s="212">
        <f t="shared" si="33"/>
        <v>12.591334060517</v>
      </c>
      <c r="S503" s="262">
        <f t="shared" si="34"/>
        <v>0.0</v>
      </c>
    </row>
    <row r="504" x14ac:dyDescent="0.2">
      <c r="A504" s="212">
        <f t="shared" si="35"/>
        <v>28.352068650857</v>
      </c>
      <c r="B504" s="222">
        <f t="shared" ref="B504:B535" si="36">MAX(0,A504*60-spg_dur)</f>
        <v>1700.474119051411</v>
      </c>
      <c r="C504" s="210">
        <f t="shared" ref="C504:C535" si="37">k_eff_CO2*B504</f>
        <v>0.024692408481</v>
      </c>
      <c r="D504" s="199">
        <f t="shared" ref="D504:D535" si="38">EXP(-C504)</f>
        <v>0.975609955229</v>
      </c>
      <c r="E504" s="199">
        <f t="shared" ref="E504:E539" si="39">IF(C504&gt;x_series,(1-EXP(-C504))/C504,1-C504/2+C504^2/6-C504^3/24)</f>
        <v>0.987754790712</v>
      </c>
      <c r="F504" s="199">
        <f t="shared" ref="F504:F539" si="40">IF(C504&gt;x_series,(C504-1+EXP(-C504))/C504^2,1/2-C504/6+C504^2/24-C504^3/120)</f>
        <v>0.495909878433</v>
      </c>
      <c r="G504" s="199">
        <f t="shared" ref="G504:G539" si="41">(C_air_CO2/C_sat_CO2*F_vent_ex-CO2_fix_sched)*(B504/3600)/(V_L_CO2+Vg_CO2)</f>
        <v>-0.326292313012</v>
      </c>
      <c r="H504" s="212">
        <f t="shared" ref="H504:H535" si="42">(G504*E504+pool_b*D504)/(1-pool_ret*D504)</f>
        <v>19.27715819484</v>
      </c>
      <c r="I504" s="212">
        <f t="shared" ref="I504:I535" si="43">MIN(C_sat_CO2,MAX(C_air_CO2,(pool_ret*H504+pool_b)*E504+G504*F504))</f>
        <v>19.68162631944</v>
      </c>
      <c r="J504" s="262">
        <f t="shared" ref="J504:J535" si="44">IF(AND(I504&gt;=CO2_pH_hi_mt,I505&lt;CO2_pH_hi_mt),EXP(LN(A504)+(LN(A505)-LN(A504))*(I504-CO2_pH_hi_mt)/(I504-I505)),0)</f>
        <v>0.0</v>
      </c>
      <c r="K504" s="277">
        <f>IF(AND(H504&gt;=CO2_trough_mt,H505&lt;CO2_trough_mt),EXP(LN(A504)+(LN(A505)-LN(A504))*(H504-CO2_trough_mt)/(H504-H505)),0)</f>
        <v>0.0</v>
      </c>
      <c r="L504" s="199">
        <f t="shared" ref="L504:L539" si="45">k_eff_CO2_l*B504</f>
        <v>0.133362697726</v>
      </c>
      <c r="M504" s="199">
        <f t="shared" ref="M504:M535" si="46">EXP(-L504)</f>
        <v>0.875147620487</v>
      </c>
      <c r="N504" s="199">
        <f t="shared" ref="N504:N539" si="47">IF(L504&gt;x_series,(1-EXP(-L504))/L504,1-L504/2+L504^2/6-L504^3/24)</f>
        <v>0.936186667199</v>
      </c>
      <c r="O504" s="199">
        <f t="shared" ref="O504:O539" si="48">IF(L504&gt;x_series,(L504-1+EXP(-L504))/L504^2,1/2-L504/6+L504^2/24-L504^3/120)</f>
        <v>0.478494615731</v>
      </c>
      <c r="P504" s="209">
        <f t="shared" ref="P504:P539" si="49">(C_air_CO2/C_sat_CO2*F_vent_ex-CO2_fix_l)*(B504/3600)/(V_L_CO2+Vg_CO2)</f>
        <v>0.000285415515905</v>
      </c>
      <c r="Q504" s="212">
        <f t="shared" ref="Q504:Q535" si="50">(P504*N504+pool_b*M504)/(1-pool_ret*M504)</f>
        <v>11.03895319595</v>
      </c>
      <c r="R504" s="212">
        <f t="shared" ref="R504:R535" si="51">MIN(C_sat_CO2,MAX(C_air_CO2,(pool_ret*Q504+pool_b)*N504+P504*O504))</f>
        <v>11.80873938012</v>
      </c>
      <c r="S504" s="262">
        <f t="shared" ref="S504:S535" si="52">IF(AND(R504&gt;=CO2_pH_hi_mt,R505&lt;CO2_pH_hi_mt),EXP(LN(A504)+(LN(A505)-LN(A504))*(R504-CO2_pH_hi_mt)/(R504-R505)),0)</f>
        <v>0.0</v>
      </c>
    </row>
    <row r="505" x14ac:dyDescent="0.2">
      <c r="A505" s="212">
        <f t="shared" ref="A505:A539" si="53">A504*grid_ratio</f>
        <v>31.756146358252</v>
      </c>
      <c r="B505" s="222">
        <f t="shared" si="36"/>
        <v>1904.718781495146</v>
      </c>
      <c r="C505" s="210">
        <f t="shared" si="37"/>
        <v>0.027658224061</v>
      </c>
      <c r="D505" s="199">
        <f t="shared" si="38"/>
        <v>0.972720762548</v>
      </c>
      <c r="E505" s="199">
        <f t="shared" si="39"/>
        <v>0.98629750747</v>
      </c>
      <c r="F505" s="199">
        <f t="shared" si="40"/>
        <v>0.49542199454</v>
      </c>
      <c r="G505" s="199">
        <f t="shared" si="41"/>
        <v>-0.365483420118</v>
      </c>
      <c r="H505" s="212">
        <f t="shared" si="42"/>
        <v>18.456756634079</v>
      </c>
      <c r="I505" s="212">
        <f t="shared" si="43"/>
        <v>18.898804912261</v>
      </c>
      <c r="J505" s="262">
        <f t="shared" si="44"/>
        <v>0.0</v>
      </c>
      <c r="K505" s="277">
        <f>IF(AND(H505&gt;=CO2_trough_mt,H506&lt;CO2_trough_mt),EXP(LN(A505)+(LN(A506)-LN(A505))*(H505-CO2_trough_mt)/(H505-H506)),0)</f>
        <v>0.0</v>
      </c>
      <c r="L505" s="199">
        <f t="shared" si="45"/>
        <v>0.149380947504</v>
      </c>
      <c r="M505" s="199">
        <f t="shared" si="46"/>
        <v>0.861240964803</v>
      </c>
      <c r="N505" s="199">
        <f t="shared" si="47"/>
        <v>0.928893794794</v>
      </c>
      <c r="O505" s="199">
        <f t="shared" si="48"/>
        <v>0.476005852111</v>
      </c>
      <c r="P505" s="209">
        <f t="shared" si="49"/>
        <v>0.0003196968936979</v>
      </c>
      <c r="Q505" s="212">
        <f t="shared" si="50"/>
        <v>10.236104422493</v>
      </c>
      <c r="R505" s="212">
        <f t="shared" si="51"/>
        <v>11.040010267306</v>
      </c>
      <c r="S505" s="262">
        <f t="shared" si="52"/>
        <v>0.0</v>
      </c>
    </row>
    <row r="506" x14ac:dyDescent="0.2">
      <c r="A506" s="212">
        <f t="shared" si="53"/>
        <v>35.568933044901</v>
      </c>
      <c r="B506" s="222">
        <f t="shared" si="36"/>
        <v>2133.48598269403</v>
      </c>
      <c r="C506" s="210">
        <f t="shared" si="37"/>
        <v>0.030980128885</v>
      </c>
      <c r="D506" s="199">
        <f t="shared" si="38"/>
        <v>0.969494837828</v>
      </c>
      <c r="E506" s="199">
        <f t="shared" si="39"/>
        <v>0.984668665686</v>
      </c>
      <c r="F506" s="199">
        <f t="shared" si="40"/>
        <v>0.494876389028</v>
      </c>
      <c r="G506" s="199">
        <f t="shared" si="41"/>
        <v>-0.409379988953</v>
      </c>
      <c r="H506" s="212">
        <f t="shared" si="42"/>
        <v>17.583023750116</v>
      </c>
      <c r="I506" s="212">
        <f t="shared" si="43"/>
        <v>18.065040687364</v>
      </c>
      <c r="J506" s="262">
        <f t="shared" si="44"/>
        <v>0.0</v>
      </c>
      <c r="K506" s="277">
        <f>IF(AND(H506&gt;=CO2_trough_mt,H507&lt;CO2_trough_mt),EXP(LN(A506)+(LN(A507)-LN(A506))*(H506-CO2_trough_mt)/(H506-H507)),0)</f>
        <v>0.0</v>
      </c>
      <c r="L506" s="199">
        <f t="shared" si="45"/>
        <v>0.167322420862</v>
      </c>
      <c r="M506" s="199">
        <f t="shared" si="46"/>
        <v>0.845926822908</v>
      </c>
      <c r="N506" s="199">
        <f t="shared" si="47"/>
        <v>0.920816088474</v>
      </c>
      <c r="O506" s="199">
        <f t="shared" si="48"/>
        <v>0.473241488604</v>
      </c>
      <c r="P506" s="209">
        <f t="shared" si="49"/>
        <v>0.0003580942488947</v>
      </c>
      <c r="Q506" s="198">
        <f t="shared" si="50"/>
        <v>9.452899760523</v>
      </c>
      <c r="R506" s="212">
        <f t="shared" si="51"/>
        <v>10.289568403111</v>
      </c>
      <c r="S506" s="262">
        <f t="shared" si="52"/>
        <v>0.0</v>
      </c>
    </row>
    <row r="507" x14ac:dyDescent="0.2">
      <c r="A507" s="212">
        <f t="shared" si="53"/>
        <v>39.839500161009</v>
      </c>
      <c r="B507" s="222">
        <f t="shared" si="36"/>
        <v>2389.720009660524</v>
      </c>
      <c r="C507" s="210">
        <f t="shared" si="37"/>
        <v>0.034700876639</v>
      </c>
      <c r="D507" s="199">
        <f t="shared" si="38"/>
        <v>0.965894294598</v>
      </c>
      <c r="E507" s="199">
        <f t="shared" si="39"/>
        <v>0.982848524455</v>
      </c>
      <c r="F507" s="199">
        <f t="shared" si="40"/>
        <v>0.494266347307</v>
      </c>
      <c r="G507" s="199">
        <f t="shared" si="41"/>
        <v>-0.458546978556</v>
      </c>
      <c r="H507" s="212">
        <f t="shared" si="42"/>
        <v>16.656750770555</v>
      </c>
      <c r="I507" s="212">
        <f t="shared" si="43"/>
        <v>17.18107342696</v>
      </c>
      <c r="J507" s="262">
        <f t="shared" si="44"/>
        <v>0.0</v>
      </c>
      <c r="K507" s="277">
        <f>IF(AND(H507&gt;=CO2_trough_mt,H508&lt;CO2_trough_mt),EXP(LN(A507)+(LN(A508)-LN(A507))*(H507-CO2_trough_mt)/(H507-H508)),0)</f>
        <v>0.0</v>
      </c>
      <c r="L507" s="199">
        <f t="shared" si="45"/>
        <v>0.18741802873</v>
      </c>
      <c r="M507" s="199">
        <f t="shared" si="46"/>
        <v>0.829097077536</v>
      </c>
      <c r="N507" s="199">
        <f t="shared" si="47"/>
        <v>0.911880909338</v>
      </c>
      <c r="O507" s="199">
        <f t="shared" si="48"/>
        <v>0.470174034267</v>
      </c>
      <c r="P507" s="209">
        <f t="shared" si="49"/>
        <v>0.0004011017643751</v>
      </c>
      <c r="Q507" s="198">
        <f t="shared" si="50"/>
        <v>8.693575871972</v>
      </c>
      <c r="R507" s="198">
        <f t="shared" si="51"/>
        <v>9.561399885387</v>
      </c>
      <c r="S507" s="262">
        <f t="shared" si="52"/>
        <v>0.0</v>
      </c>
    </row>
    <row r="508" x14ac:dyDescent="0.2">
      <c r="A508" s="212">
        <f t="shared" si="53"/>
        <v>44.622810897235</v>
      </c>
      <c r="B508" s="222">
        <f t="shared" si="36"/>
        <v>2676.718653834111</v>
      </c>
      <c r="C508" s="210">
        <f t="shared" si="37"/>
        <v>0.038868354213</v>
      </c>
      <c r="D508" s="199">
        <f t="shared" si="38"/>
        <v>0.96187732791</v>
      </c>
      <c r="E508" s="199">
        <f t="shared" si="39"/>
        <v>0.980815186604</v>
      </c>
      <c r="F508" s="199">
        <f t="shared" si="40"/>
        <v>0.493584402654</v>
      </c>
      <c r="G508" s="199">
        <f t="shared" si="41"/>
        <v>-0.513617179502</v>
      </c>
      <c r="H508" s="212">
        <f t="shared" si="42"/>
        <v>15.679542118176</v>
      </c>
      <c r="I508" s="212">
        <f t="shared" si="43"/>
        <v>16.248416171199</v>
      </c>
      <c r="J508" s="262">
        <f t="shared" si="44"/>
        <v>0.0</v>
      </c>
      <c r="K508" s="277">
        <f>IF(AND(H508&gt;=CO2_trough_mt,H509&lt;CO2_trough_mt),EXP(LN(A508)+(LN(A509)-LN(A508))*(H508-CO2_trough_mt)/(H508-H509)),0)</f>
        <v>0.0</v>
      </c>
      <c r="L508" s="199">
        <f t="shared" si="45"/>
        <v>0.209926406247</v>
      </c>
      <c r="M508" s="199">
        <f t="shared" si="46"/>
        <v>0.810643902102</v>
      </c>
      <c r="N508" s="199">
        <f t="shared" si="47"/>
        <v>0.902011811106</v>
      </c>
      <c r="O508" s="199">
        <f t="shared" si="48"/>
        <v>0.466774002592</v>
      </c>
      <c r="P508" s="209">
        <f t="shared" si="49"/>
        <v>0.000449272956852</v>
      </c>
      <c r="Q508" s="198">
        <f t="shared" si="50"/>
        <v>7.961841646484</v>
      </c>
      <c r="R508" s="198">
        <f t="shared" si="51"/>
        <v>8.858981908195</v>
      </c>
      <c r="S508" s="262">
        <f t="shared" si="52"/>
        <v>0.0</v>
      </c>
    </row>
    <row r="509" x14ac:dyDescent="0.2">
      <c r="A509" s="212">
        <f t="shared" si="53"/>
        <v>49.980427573718</v>
      </c>
      <c r="B509" s="222">
        <f t="shared" si="36"/>
        <v>2998.175654423062</v>
      </c>
      <c r="C509" s="210">
        <f t="shared" si="37"/>
        <v>0.043536198009</v>
      </c>
      <c r="D509" s="199">
        <f t="shared" si="38"/>
        <v>0.957397897566</v>
      </c>
      <c r="E509" s="199">
        <f t="shared" si="39"/>
        <v>0.978544392535</v>
      </c>
      <c r="F509" s="199">
        <f t="shared" si="40"/>
        <v>0.492822259325</v>
      </c>
      <c r="G509" s="199">
        <f t="shared" si="41"/>
        <v>-0.575299358067</v>
      </c>
      <c r="H509" s="212">
        <f t="shared" si="42"/>
        <v>14.653873714966</v>
      </c>
      <c r="I509" s="212">
        <f t="shared" si="43"/>
        <v>15.269410577666</v>
      </c>
      <c r="J509" s="262">
        <f t="shared" si="44"/>
        <v>0.0</v>
      </c>
      <c r="K509" s="277">
        <f>IF(AND(H509&gt;=CO2_trough_mt,H510&lt;CO2_trough_mt),EXP(LN(A509)+(LN(A510)-LN(A509))*(H509-CO2_trough_mt)/(H509-H510)),0)</f>
        <v>0.0</v>
      </c>
      <c r="L509" s="199">
        <f t="shared" si="45"/>
        <v>0.235137241462</v>
      </c>
      <c r="M509" s="199">
        <f t="shared" si="46"/>
        <v>0.790462357975</v>
      </c>
      <c r="N509" s="199">
        <f t="shared" si="47"/>
        <v>0.891129115587</v>
      </c>
      <c r="O509" s="199">
        <f t="shared" si="48"/>
        <v>0.463009958509</v>
      </c>
      <c r="P509" s="209">
        <f t="shared" si="49"/>
        <v>0.0005032278007608</v>
      </c>
      <c r="Q509" s="198">
        <f t="shared" si="50"/>
        <v>7.260826577456</v>
      </c>
      <c r="R509" s="198">
        <f t="shared" si="51"/>
        <v>8.185232933183</v>
      </c>
      <c r="S509" s="262">
        <f t="shared" si="52"/>
        <v>0.0</v>
      </c>
    </row>
    <row r="510" x14ac:dyDescent="0.2">
      <c r="A510" s="212">
        <f t="shared" si="53"/>
        <v>55.981303961432</v>
      </c>
      <c r="B510" s="222">
        <f t="shared" si="36"/>
        <v>3358.228237685943</v>
      </c>
      <c r="C510" s="210">
        <f t="shared" si="37"/>
        <v>0.048764484263</v>
      </c>
      <c r="D510" s="199">
        <f t="shared" si="38"/>
        <v>0.952405409749</v>
      </c>
      <c r="E510" s="199">
        <f t="shared" si="39"/>
        <v>0.976009302069</v>
      </c>
      <c r="F510" s="199">
        <f t="shared" si="40"/>
        <v>0.491970709705</v>
      </c>
      <c r="G510" s="199">
        <f t="shared" si="41"/>
        <v>-0.644387378215</v>
      </c>
      <c r="H510" s="212">
        <f t="shared" si="42"/>
        <v>13.58312685676</v>
      </c>
      <c r="I510" s="212">
        <f t="shared" si="43"/>
        <v>14.247258976031</v>
      </c>
      <c r="J510" s="262">
        <f t="shared" si="44"/>
        <v>0.0</v>
      </c>
      <c r="K510" s="277">
        <f>IF(AND(H510&gt;=CO2_trough_mt,H511&lt;CO2_trough_mt),EXP(LN(A510)+(LN(A511)-LN(A510))*(H510-CO2_trough_mt)/(H510-H511)),0)</f>
        <v>0.0</v>
      </c>
      <c r="L510" s="199">
        <f t="shared" si="45"/>
        <v>0.263375003677</v>
      </c>
      <c r="M510" s="199">
        <f t="shared" si="46"/>
        <v>0.768453670319</v>
      </c>
      <c r="N510" s="199">
        <f t="shared" si="47"/>
        <v>0.879150741141</v>
      </c>
      <c r="O510" s="199">
        <f t="shared" si="48"/>
        <v>0.458848627137</v>
      </c>
      <c r="P510" s="209">
        <f t="shared" si="49"/>
        <v>0.000563660707474</v>
      </c>
      <c r="Q510" s="198">
        <f t="shared" si="50"/>
        <v>6.593054260885</v>
      </c>
      <c r="R510" s="198">
        <f t="shared" si="51"/>
        <v>7.542486757387</v>
      </c>
      <c r="S510" s="262">
        <f t="shared" si="52"/>
        <v>0.0</v>
      </c>
    </row>
    <row r="511" x14ac:dyDescent="0.2">
      <c r="A511" s="212">
        <f t="shared" si="53"/>
        <v>62.702672733241</v>
      </c>
      <c r="B511" s="222">
        <f t="shared" si="36"/>
        <v>3761.510363994471</v>
      </c>
      <c r="C511" s="210">
        <f t="shared" si="37"/>
        <v>0.054620502231</v>
      </c>
      <c r="D511" s="199">
        <f t="shared" si="38"/>
        <v>0.94684440512</v>
      </c>
      <c r="E511" s="199">
        <f t="shared" si="39"/>
        <v>0.973180265816</v>
      </c>
      <c r="F511" s="199">
        <f t="shared" si="40"/>
        <v>0.491019545574</v>
      </c>
      <c r="G511" s="199">
        <f t="shared" si="41"/>
        <v>-0.721770418813</v>
      </c>
      <c r="H511" s="212">
        <f t="shared" si="42"/>
        <v>12.471592172971</v>
      </c>
      <c r="I511" s="212">
        <f t="shared" si="43"/>
        <v>13.186027887483</v>
      </c>
      <c r="J511" s="262">
        <f t="shared" si="44"/>
        <v>0.0</v>
      </c>
      <c r="K511" s="277">
        <f>IF(AND(H511&gt;=CO2_trough_mt,H512&lt;CO2_trough_mt),EXP(LN(A511)+(LN(A512)-LN(A511))*(H511-CO2_trough_mt)/(H511-H512)),0)</f>
        <v>0.0</v>
      </c>
      <c r="L511" s="199">
        <f t="shared" si="45"/>
        <v>0.295003119452</v>
      </c>
      <c r="M511" s="199">
        <f t="shared" si="46"/>
        <v>0.744529264939</v>
      </c>
      <c r="N511" s="199">
        <f t="shared" si="47"/>
        <v>0.865993334361</v>
      </c>
      <c r="O511" s="199">
        <f t="shared" si="48"/>
        <v>0.454255080042</v>
      </c>
      <c r="P511" s="209">
        <f t="shared" si="49"/>
        <v>0.0006313494625371</v>
      </c>
      <c r="Q511" s="198">
        <f t="shared" si="50"/>
        <v>5.960439764593</v>
      </c>
      <c r="R511" s="198">
        <f t="shared" si="51"/>
        <v>6.932489289983</v>
      </c>
      <c r="S511" s="262">
        <f t="shared" si="52"/>
        <v>0.0</v>
      </c>
    </row>
    <row r="512" x14ac:dyDescent="0.2">
      <c r="A512" s="212">
        <f t="shared" si="53"/>
        <v>70.23103946633</v>
      </c>
      <c r="B512" s="222">
        <f t="shared" si="36"/>
        <v>4213.212367979772</v>
      </c>
      <c r="C512" s="210">
        <f t="shared" si="37"/>
        <v>0.061179620226</v>
      </c>
      <c r="D512" s="199">
        <f t="shared" si="38"/>
        <v>0.940654264069</v>
      </c>
      <c r="E512" s="199">
        <f t="shared" si="39"/>
        <v>0.970024588442</v>
      </c>
      <c r="F512" s="199">
        <f t="shared" si="40"/>
        <v>0.489957463732</v>
      </c>
      <c r="G512" s="199">
        <f t="shared" si="41"/>
        <v>-0.808444417565</v>
      </c>
      <c r="H512" s="212">
        <f t="shared" si="42"/>
        <v>11.324439419566</v>
      </c>
      <c r="I512" s="212">
        <f t="shared" si="43"/>
        <v>12.090618954013</v>
      </c>
      <c r="J512" s="262">
        <f t="shared" si="44"/>
        <v>0.0</v>
      </c>
      <c r="K512" s="277">
        <f>IF(AND(H512&gt;=CO2_trough_mt,H513&lt;CO2_trough_mt),EXP(LN(A512)+(LN(A513)-LN(A512))*(H512-CO2_trough_mt)/(H512-H513)),0)</f>
        <v>0.0</v>
      </c>
      <c r="L512" s="199">
        <f t="shared" si="45"/>
        <v>0.330428649982</v>
      </c>
      <c r="M512" s="199">
        <f t="shared" si="46"/>
        <v>0.718615632825</v>
      </c>
      <c r="N512" s="199">
        <f t="shared" si="47"/>
        <v>0.851573757876</v>
      </c>
      <c r="O512" s="199">
        <f t="shared" si="48"/>
        <v>0.449193016804</v>
      </c>
      <c r="P512" s="209">
        <f t="shared" si="49"/>
        <v>0.000707165235949</v>
      </c>
      <c r="Q512" s="198">
        <f t="shared" si="50"/>
        <v>5.364308255521</v>
      </c>
      <c r="R512" s="198">
        <f t="shared" si="51"/>
        <v>6.356415559637</v>
      </c>
      <c r="S512" s="262">
        <f t="shared" si="52"/>
        <v>0.0</v>
      </c>
    </row>
    <row r="513" x14ac:dyDescent="0.2">
      <c r="A513" s="212">
        <f t="shared" si="53"/>
        <v>78.663295989076</v>
      </c>
      <c r="B513" s="222">
        <f t="shared" si="36"/>
        <v>4719.147759344581</v>
      </c>
      <c r="C513" s="210">
        <f t="shared" si="37"/>
        <v>0.068526255619</v>
      </c>
      <c r="D513" s="199">
        <f t="shared" si="38"/>
        <v>0.9337689431</v>
      </c>
      <c r="E513" s="199">
        <f t="shared" si="39"/>
        <v>0.966506287286</v>
      </c>
      <c r="F513" s="199">
        <f t="shared" si="40"/>
        <v>0.488771966473</v>
      </c>
      <c r="G513" s="199">
        <f t="shared" si="41"/>
        <v>-0.905524888966</v>
      </c>
      <c r="H513" s="212">
        <f t="shared" si="42"/>
        <v>10.14765069776</v>
      </c>
      <c r="I513" s="212">
        <f t="shared" si="43"/>
        <v>10.966704979907</v>
      </c>
      <c r="J513" s="262">
        <f t="shared" si="44"/>
        <v>0.0</v>
      </c>
      <c r="K513" s="277">
        <f>IF(AND(H513&gt;=CO2_trough_mt,H514&lt;CO2_trough_mt),EXP(LN(A513)+(LN(A514)-LN(A513))*(H513-CO2_trough_mt)/(H513-H514)),0)</f>
        <v>0.0</v>
      </c>
      <c r="L513" s="199">
        <f t="shared" si="45"/>
        <v>0.370107530072</v>
      </c>
      <c r="M513" s="199">
        <f t="shared" si="46"/>
        <v>0.690660059918</v>
      </c>
      <c r="N513" s="199">
        <f t="shared" si="47"/>
        <v>0.835810987205</v>
      </c>
      <c r="O513" s="199">
        <f t="shared" si="48"/>
        <v>0.443625161483</v>
      </c>
      <c r="P513" s="209">
        <f t="shared" si="49"/>
        <v>0.0007920837943223</v>
      </c>
      <c r="Q513" s="198">
        <f t="shared" si="50"/>
        <v>4.805431313684</v>
      </c>
      <c r="R513" s="198">
        <f t="shared" si="51"/>
        <v>5.814903567289</v>
      </c>
      <c r="S513" s="262">
        <f t="shared" si="52"/>
        <v>0.0</v>
      </c>
    </row>
    <row r="514" x14ac:dyDescent="0.2">
      <c r="A514" s="212">
        <f t="shared" si="53"/>
        <v>88.107967401389</v>
      </c>
      <c r="B514" s="222">
        <f t="shared" si="36"/>
        <v>5285.828044083345</v>
      </c>
      <c r="C514" s="210">
        <f t="shared" si="37"/>
        <v>0.076754961315</v>
      </c>
      <c r="D514" s="199">
        <f t="shared" si="38"/>
        <v>0.926116760238</v>
      </c>
      <c r="E514" s="199">
        <f t="shared" si="39"/>
        <v>0.96258585108</v>
      </c>
      <c r="F514" s="199">
        <f t="shared" si="40"/>
        <v>0.48744925773</v>
      </c>
      <c r="G514" s="198">
        <f t="shared" si="41"/>
        <v>-1.014261281231</v>
      </c>
      <c r="H514" s="198">
        <f t="shared" si="42"/>
        <v>8.947917042744</v>
      </c>
      <c r="I514" s="198">
        <f t="shared" si="43"/>
        <v>9.820631028831</v>
      </c>
      <c r="J514" s="262">
        <f t="shared" si="44"/>
        <v>0.0</v>
      </c>
      <c r="K514" s="277">
        <f>IF(AND(H514&gt;=CO2_trough_mt,H515&lt;CO2_trough_mt),EXP(LN(A514)+(LN(A515)-LN(A514))*(H514-CO2_trough_mt)/(H514-H515)),0)</f>
        <v>0.0</v>
      </c>
      <c r="L514" s="199">
        <f t="shared" si="45"/>
        <v>0.414550436127</v>
      </c>
      <c r="M514" s="199">
        <f t="shared" si="46"/>
        <v>0.660637212579</v>
      </c>
      <c r="N514" s="199">
        <f t="shared" si="47"/>
        <v>0.818628465553</v>
      </c>
      <c r="O514" s="199">
        <f t="shared" si="48"/>
        <v>0.437513794802</v>
      </c>
      <c r="P514" s="209">
        <f t="shared" si="49"/>
        <v>0.0008871980592264</v>
      </c>
      <c r="Q514" s="198">
        <f t="shared" si="50"/>
        <v>4.284076826418</v>
      </c>
      <c r="R514" s="198">
        <f t="shared" si="51"/>
        <v>5.308101099597</v>
      </c>
      <c r="S514" s="262">
        <f t="shared" si="52"/>
        <v>0.0</v>
      </c>
    </row>
    <row r="515" x14ac:dyDescent="0.2">
      <c r="A515" s="212">
        <f t="shared" si="53"/>
        <v>98.686608817946</v>
      </c>
      <c r="B515" s="222">
        <f t="shared" si="36"/>
        <v>5920.546529076732</v>
      </c>
      <c r="C515" s="210">
        <f t="shared" si="37"/>
        <v>0.085971642667</v>
      </c>
      <c r="D515" s="199">
        <f t="shared" si="38"/>
        <v>0.917620252115</v>
      </c>
      <c r="E515" s="199">
        <f t="shared" si="39"/>
        <v>0.958220005227</v>
      </c>
      <c r="F515" s="199">
        <f t="shared" si="40"/>
        <v>0.485974136088</v>
      </c>
      <c r="G515" s="198">
        <f t="shared" si="41"/>
        <v>-1.136053056984</v>
      </c>
      <c r="H515" s="198">
        <f t="shared" si="42"/>
        <v>7.732500991017</v>
      </c>
      <c r="I515" s="198">
        <f t="shared" si="43"/>
        <v>8.659283058545</v>
      </c>
      <c r="J515" s="262">
        <f t="shared" si="44"/>
        <v>0.0</v>
      </c>
      <c r="K515" s="277">
        <f>IF(AND(H515&gt;=CO2_trough_mt,H516&lt;CO2_trough_mt),EXP(LN(A515)+(LN(A516)-LN(A515))*(H515-CO2_trough_mt)/(H515-H516)),0)</f>
        <v>0.0</v>
      </c>
      <c r="L515" s="199">
        <f t="shared" si="45"/>
        <v>0.464329358668</v>
      </c>
      <c r="M515" s="199">
        <f t="shared" si="46"/>
        <v>0.62855649984</v>
      </c>
      <c r="N515" s="199">
        <f t="shared" si="47"/>
        <v>0.79995695561</v>
      </c>
      <c r="O515" s="199">
        <f t="shared" si="48"/>
        <v>0.430821443133</v>
      </c>
      <c r="P515" s="209">
        <f t="shared" si="49"/>
        <v>0.0009937321733415</v>
      </c>
      <c r="Q515" s="198">
        <f t="shared" si="50"/>
        <v>3.800068215518</v>
      </c>
      <c r="R515" s="198">
        <f t="shared" si="51"/>
        <v>4.835721497962</v>
      </c>
      <c r="S515" s="262">
        <f t="shared" si="52"/>
        <v>0.0</v>
      </c>
    </row>
    <row r="516" x14ac:dyDescent="0.2">
      <c r="A516" s="196">
        <f t="shared" si="53"/>
        <v>110.535369810752</v>
      </c>
      <c r="B516" s="222">
        <f t="shared" si="36"/>
        <v>6631.472188645109</v>
      </c>
      <c r="C516" s="210">
        <f t="shared" si="37"/>
        <v>0.096294920504</v>
      </c>
      <c r="D516" s="199">
        <f t="shared" si="38"/>
        <v>0.908196130908</v>
      </c>
      <c r="E516" s="199">
        <f t="shared" si="39"/>
        <v>0.953361492091</v>
      </c>
      <c r="F516" s="199">
        <f t="shared" si="40"/>
        <v>0.48432988641</v>
      </c>
      <c r="G516" s="198">
        <f t="shared" si="41"/>
        <v>-1.272467704664</v>
      </c>
      <c r="H516" s="198">
        <f t="shared" si="42"/>
        <v>6.509070440471</v>
      </c>
      <c r="I516" s="198">
        <f t="shared" si="43"/>
        <v>7.489929153458</v>
      </c>
      <c r="J516" s="262">
        <f t="shared" si="44"/>
        <v>0.0</v>
      </c>
      <c r="K516" s="277">
        <f>IF(AND(H516&gt;=CO2_trough_mt,H517&lt;CO2_trough_mt),EXP(LN(A516)+(LN(A517)-LN(A516))*(H516-CO2_trough_mt)/(H516-H517)),0)</f>
        <v>0.0</v>
      </c>
      <c r="L516" s="199">
        <f t="shared" si="45"/>
        <v>0.52008496399</v>
      </c>
      <c r="M516" s="199">
        <f t="shared" si="46"/>
        <v>0.594470037278</v>
      </c>
      <c r="N516" s="199">
        <f t="shared" si="47"/>
        <v>0.779737909765</v>
      </c>
      <c r="O516" s="199">
        <f t="shared" si="48"/>
        <v>0.423511744206</v>
      </c>
      <c r="P516" s="209">
        <f t="shared" si="49"/>
        <v>0.001113057255</v>
      </c>
      <c r="Q516" s="198">
        <f t="shared" si="50"/>
        <v>3.352848933715</v>
      </c>
      <c r="R516" s="198">
        <f t="shared" si="51"/>
        <v>4.397104572644</v>
      </c>
      <c r="S516" s="262">
        <f t="shared" si="52"/>
        <v>0.0</v>
      </c>
    </row>
    <row r="517" x14ac:dyDescent="0.2">
      <c r="A517" s="196">
        <f t="shared" si="53"/>
        <v>123.806746685756</v>
      </c>
      <c r="B517" s="222">
        <f t="shared" si="36"/>
        <v>7427.75480114535</v>
      </c>
      <c r="C517" s="199">
        <f t="shared" si="37"/>
        <v>0.10785765781</v>
      </c>
      <c r="D517" s="199">
        <f t="shared" si="38"/>
        <v>0.897755375803</v>
      </c>
      <c r="E517" s="199">
        <f t="shared" si="39"/>
        <v>0.947958877225</v>
      </c>
      <c r="F517" s="199">
        <f t="shared" si="40"/>
        <v>0.48249817242</v>
      </c>
      <c r="G517" s="198">
        <f t="shared" si="41"/>
        <v>-1.425260912472</v>
      </c>
      <c r="H517" s="198">
        <f t="shared" si="42"/>
        <v>5.285511551942</v>
      </c>
      <c r="I517" s="198">
        <f t="shared" si="43"/>
        <v>6.320040735058</v>
      </c>
      <c r="J517" s="262">
        <f t="shared" si="44"/>
        <v>0.0</v>
      </c>
      <c r="K517" s="277">
        <f>IF(AND(H517&gt;=CO2_trough_mt,H518&lt;CO2_trough_mt),EXP(LN(A517)+(LN(A518)-LN(A517))*(H517-CO2_trough_mt)/(H517-H518)),0)</f>
        <v>0.0</v>
      </c>
      <c r="L517" s="199">
        <f t="shared" si="45"/>
        <v>0.582534839684</v>
      </c>
      <c r="M517" s="199">
        <f t="shared" si="46"/>
        <v>0.558480911237</v>
      </c>
      <c r="N517" s="199">
        <f t="shared" si="47"/>
        <v>0.75792735247</v>
      </c>
      <c r="O517" s="199">
        <f t="shared" si="48"/>
        <v>0.415550506235</v>
      </c>
      <c r="P517" s="209">
        <f t="shared" si="49"/>
        <v>0.001246709047</v>
      </c>
      <c r="Q517" s="198">
        <f t="shared" si="50"/>
        <v>2.941548585849</v>
      </c>
      <c r="R517" s="198">
        <f t="shared" si="51"/>
        <v>3.991279276827</v>
      </c>
      <c r="S517" s="262">
        <f t="shared" si="52"/>
        <v>0.0</v>
      </c>
    </row>
    <row r="518" x14ac:dyDescent="0.2">
      <c r="A518" s="196">
        <f t="shared" si="53"/>
        <v>138.671545145724</v>
      </c>
      <c r="B518" s="222">
        <f t="shared" si="36"/>
        <v>8319.642708743411</v>
      </c>
      <c r="C518" s="199">
        <f t="shared" si="37"/>
        <v>0.120808669699</v>
      </c>
      <c r="D518" s="199">
        <f t="shared" si="38"/>
        <v>0.886203500956</v>
      </c>
      <c r="E518" s="199">
        <f t="shared" si="39"/>
        <v>0.941956395413</v>
      </c>
      <c r="F518" s="199">
        <f t="shared" si="40"/>
        <v>0.480458933387</v>
      </c>
      <c r="G518" s="198">
        <f t="shared" si="41"/>
        <v>-1.59639916448</v>
      </c>
      <c r="H518" s="198">
        <f t="shared" si="42"/>
        <v>4.069730298742</v>
      </c>
      <c r="I518" s="198">
        <f t="shared" si="43"/>
        <v>5.157102900591</v>
      </c>
      <c r="J518" s="262">
        <f t="shared" si="44"/>
        <v>0.0</v>
      </c>
      <c r="K518" s="277">
        <f>IF(AND(H518&gt;=CO2_trough_mt,H519&lt;CO2_trough_mt),EXP(LN(A518)+(LN(A519)-LN(A518))*(H518-CO2_trough_mt)/(H518-H519)),0)</f>
        <v>0.0</v>
      </c>
      <c r="L518" s="199">
        <f t="shared" si="45"/>
        <v>0.652482730154</v>
      </c>
      <c r="M518" s="199">
        <f t="shared" si="46"/>
        <v>0.52075128557</v>
      </c>
      <c r="N518" s="199">
        <f t="shared" si="47"/>
        <v>0.73450022856</v>
      </c>
      <c r="O518" s="199">
        <f t="shared" si="48"/>
        <v>0.406906971127</v>
      </c>
      <c r="P518" s="209">
        <f t="shared" si="49"/>
        <v>0.001396407678</v>
      </c>
      <c r="Q518" s="198">
        <f t="shared" si="50"/>
        <v>2.565047589469</v>
      </c>
      <c r="R518" s="198">
        <f t="shared" si="51"/>
        <v>3.617025323192</v>
      </c>
      <c r="S518" s="262">
        <f t="shared" si="52"/>
        <v>0.0</v>
      </c>
    </row>
    <row r="519" x14ac:dyDescent="0.2">
      <c r="A519" s="196">
        <f t="shared" si="53"/>
        <v>155.321078599304</v>
      </c>
      <c r="B519" s="222">
        <f t="shared" si="36"/>
        <v>9318.614715958256</v>
      </c>
      <c r="C519" s="199">
        <f t="shared" si="37"/>
        <v>0.135314638703</v>
      </c>
      <c r="D519" s="199">
        <f t="shared" si="38"/>
        <v>0.87344105009</v>
      </c>
      <c r="E519" s="199">
        <f t="shared" si="39"/>
        <v>0.935293853813</v>
      </c>
      <c r="F519" s="199">
        <f t="shared" si="40"/>
        <v>0.478190288995</v>
      </c>
      <c r="G519" s="198">
        <f t="shared" si="41"/>
        <v>-1.788085049738</v>
      </c>
      <c r="H519" s="198">
        <f t="shared" si="42"/>
        <v>2.869453305677</v>
      </c>
      <c r="I519" s="198">
        <f t="shared" si="43"/>
        <v>4.008424026644</v>
      </c>
      <c r="J519" s="262">
        <f t="shared" si="44"/>
        <v>0.0</v>
      </c>
      <c r="K519" s="277">
        <f>IF(AND(H519&gt;=CO2_trough_mt,H520&lt;CO2_trough_mt),EXP(LN(A519)+(LN(A520)-LN(A519))*(H519-CO2_trough_mt)/(H519-H520)),0)</f>
        <v>0.0</v>
      </c>
      <c r="L519" s="199">
        <f t="shared" si="45"/>
        <v>0.730828880997</v>
      </c>
      <c r="M519" s="199">
        <f t="shared" si="46"/>
        <v>0.481509710387</v>
      </c>
      <c r="N519" s="199">
        <f t="shared" si="47"/>
        <v>0.709455117464</v>
      </c>
      <c r="O519" s="199">
        <f t="shared" si="48"/>
        <v>0.3975552829</v>
      </c>
      <c r="P519" s="209">
        <f t="shared" si="49"/>
        <v>0.001564079804</v>
      </c>
      <c r="Q519" s="198">
        <f t="shared" si="50"/>
        <v>2.222037902772</v>
      </c>
      <c r="R519" s="198">
        <f t="shared" si="51"/>
        <v>3.272931554843</v>
      </c>
      <c r="S519" s="262">
        <f t="shared" si="52"/>
        <v>0.0</v>
      </c>
    </row>
    <row r="520" x14ac:dyDescent="0.2">
      <c r="A520" s="196">
        <f t="shared" si="53"/>
        <v>173.969630409034</v>
      </c>
      <c r="B520" s="222">
        <f t="shared" si="36"/>
        <v>10437.52782454</v>
      </c>
      <c r="C520" s="199">
        <f t="shared" si="37"/>
        <v>0.151562260012</v>
      </c>
      <c r="D520" s="199">
        <f t="shared" si="38"/>
        <v>0.859364376571</v>
      </c>
      <c r="E520" s="199">
        <f t="shared" si="39"/>
        <v>0.927906613546</v>
      </c>
      <c r="F520" s="199">
        <f t="shared" si="40"/>
        <v>0.475668457626</v>
      </c>
      <c r="G520" s="198">
        <f t="shared" si="41"/>
        <v>-2.00278561011</v>
      </c>
      <c r="H520" s="198">
        <f t="shared" si="42"/>
        <v>1.692038689563</v>
      </c>
      <c r="I520" s="198">
        <f t="shared" si="43"/>
        <v>2.88095484167</v>
      </c>
      <c r="J520" s="262">
        <f t="shared" si="44"/>
        <v>0.0</v>
      </c>
      <c r="K520" s="277">
        <f>IF(AND(H520&gt;=CO2_trough_mt,H521&lt;CO2_trough_mt),EXP(LN(A520)+(LN(A521)-LN(A520))*(H520-CO2_trough_mt)/(H520-H521)),0)</f>
        <v>0.0</v>
      </c>
      <c r="L520" s="199">
        <f t="shared" si="45"/>
        <v>0.81858162537</v>
      </c>
      <c r="M520" s="199">
        <f t="shared" si="46"/>
        <v>0.441056794828</v>
      </c>
      <c r="N520" s="199">
        <f t="shared" si="47"/>
        <v>0.682819144541</v>
      </c>
      <c r="O520" s="199">
        <f t="shared" si="48"/>
        <v>0.387476148534</v>
      </c>
      <c r="P520" s="209">
        <f t="shared" si="49"/>
        <v>0.001751883404</v>
      </c>
      <c r="Q520" s="198">
        <f t="shared" si="50"/>
        <v>1.911077944383</v>
      </c>
      <c r="R520" s="198">
        <f t="shared" si="51"/>
        <v>2.957449507497</v>
      </c>
      <c r="S520" s="262">
        <f t="shared" si="52"/>
        <v>0.0</v>
      </c>
    </row>
    <row r="521" x14ac:dyDescent="0.2">
      <c r="A521" s="196">
        <f t="shared" si="53"/>
        <v>194.857211767982</v>
      </c>
      <c r="B521" s="222">
        <f t="shared" si="36"/>
        <v>11690.78270608</v>
      </c>
      <c r="C521" s="199">
        <f t="shared" si="37"/>
        <v>0.169760644286</v>
      </c>
      <c r="D521" s="199">
        <f t="shared" si="38"/>
        <v>0.84386677676</v>
      </c>
      <c r="E521" s="199">
        <f t="shared" si="39"/>
        <v>0.919725675504</v>
      </c>
      <c r="F521" s="199">
        <f t="shared" si="40"/>
        <v>0.472867694595</v>
      </c>
      <c r="G521" s="198">
        <f t="shared" si="41"/>
        <v>-2.243264091676</v>
      </c>
      <c r="H521" s="199">
        <f t="shared" si="42"/>
        <v>0.544306709581</v>
      </c>
      <c r="I521" s="198">
        <f t="shared" si="43"/>
        <v>1.781126310687</v>
      </c>
      <c r="J521" s="196">
        <f t="shared" si="44"/>
        <v>212.486056390007</v>
      </c>
      <c r="K521" s="196">
        <f>IF(AND(H521&gt;=CO2_trough_mt,H522&lt;CO2_trough_mt),EXP(LN(A521)+(LN(A522)-LN(A521))*(H521-CO2_trough_mt)/(H521-H522)),0)</f>
        <v>203.888850304762</v>
      </c>
      <c r="L521" s="199">
        <f t="shared" si="45"/>
        <v>0.916870361474</v>
      </c>
      <c r="M521" s="199">
        <f t="shared" si="46"/>
        <v>0.399768215341</v>
      </c>
      <c r="N521" s="199">
        <f t="shared" si="47"/>
        <v>0.654652838482</v>
      </c>
      <c r="O521" s="199">
        <f t="shared" si="48"/>
        <v>0.376658659751</v>
      </c>
      <c r="P521" s="209">
        <f t="shared" si="49"/>
        <v>0.001962235555</v>
      </c>
      <c r="Q521" s="198">
        <f t="shared" si="50"/>
        <v>1.630640359152</v>
      </c>
      <c r="R521" s="198">
        <f t="shared" si="51"/>
        <v>2.668941173049</v>
      </c>
      <c r="S521" s="262">
        <f t="shared" si="52"/>
        <v>0.0</v>
      </c>
    </row>
    <row r="522" x14ac:dyDescent="0.2">
      <c r="A522" s="196">
        <f t="shared" si="53"/>
        <v>218.252650699547</v>
      </c>
      <c r="B522" s="222">
        <f t="shared" si="36"/>
        <v>13094.50904197</v>
      </c>
      <c r="C522" s="199">
        <f t="shared" si="37"/>
        <v>0.190144008956</v>
      </c>
      <c r="D522" s="199">
        <f t="shared" si="38"/>
        <v>0.826840052996</v>
      </c>
      <c r="E522" s="199">
        <f t="shared" si="39"/>
        <v>0.910677901209</v>
      </c>
      <c r="F522" s="199">
        <f t="shared" si="40"/>
        <v>0.469760258453</v>
      </c>
      <c r="G522" s="198">
        <f t="shared" si="41"/>
        <v>-2.512615508345</v>
      </c>
      <c r="H522" s="199">
        <f t="shared" si="42"/>
        <v>-0.567601718558</v>
      </c>
      <c r="I522" s="199">
        <f t="shared" si="43"/>
        <v>0.714714004445</v>
      </c>
      <c r="J522" s="262">
        <f t="shared" si="44"/>
        <v>0.0</v>
      </c>
      <c r="K522" s="277">
        <f>IF(AND(H522&gt;=CO2_trough_mt,H523&lt;CO2_trough_mt),EXP(LN(A522)+(LN(A523)-LN(A522))*(H522-CO2_trough_mt)/(H522-H523)),0)</f>
        <v>0.0</v>
      </c>
      <c r="L522" s="198">
        <f t="shared" si="45"/>
        <v>1.026960088173</v>
      </c>
      <c r="M522" s="199">
        <f t="shared" si="46"/>
        <v>0.358093881486</v>
      </c>
      <c r="N522" s="199">
        <f t="shared" si="47"/>
        <v>0.625054591612</v>
      </c>
      <c r="O522" s="199">
        <f t="shared" si="48"/>
        <v>0.365102220336</v>
      </c>
      <c r="P522" s="209">
        <f t="shared" si="49"/>
        <v>0.002197843538</v>
      </c>
      <c r="Q522" s="198">
        <f t="shared" si="50"/>
        <v>1.37915171855</v>
      </c>
      <c r="R522" s="198">
        <f t="shared" si="51"/>
        <v>2.405720466362</v>
      </c>
      <c r="S522" s="262">
        <f t="shared" si="52"/>
        <v>0.0</v>
      </c>
    </row>
    <row r="523" x14ac:dyDescent="0.2">
      <c r="A523" s="196">
        <f t="shared" si="53"/>
        <v>244.457051936558</v>
      </c>
      <c r="B523" s="222">
        <f t="shared" si="36"/>
        <v>14666.77311619</v>
      </c>
      <c r="C523" s="199">
        <f t="shared" si="37"/>
        <v>0.212974692661</v>
      </c>
      <c r="D523" s="199">
        <f t="shared" si="38"/>
        <v>0.808176589756</v>
      </c>
      <c r="E523" s="199">
        <f t="shared" si="39"/>
        <v>0.900686404787</v>
      </c>
      <c r="F523" s="199">
        <f t="shared" si="40"/>
        <v>0.466316415216</v>
      </c>
      <c r="G523" s="198">
        <f t="shared" si="41"/>
        <v>-2.814306475409</v>
      </c>
      <c r="H523" s="198">
        <f t="shared" si="42"/>
        <v>-1.638332962118</v>
      </c>
      <c r="I523" s="210">
        <f t="shared" si="43"/>
        <v>0.011558836641</v>
      </c>
      <c r="J523" s="262">
        <f t="shared" si="44"/>
        <v>0.0</v>
      </c>
      <c r="K523" s="277">
        <f>IF(AND(H523&gt;=CO2_trough_mt,H524&lt;CO2_trough_mt),EXP(LN(A523)+(LN(A524)-LN(A523))*(H523-CO2_trough_mt)/(H523-H524)),0)</f>
        <v>0.0</v>
      </c>
      <c r="L523" s="198">
        <f t="shared" si="45"/>
        <v>1.150267685817</v>
      </c>
      <c r="M523" s="199">
        <f t="shared" si="46"/>
        <v>0.31655202155</v>
      </c>
      <c r="N523" s="199">
        <f t="shared" si="47"/>
        <v>0.594164286172</v>
      </c>
      <c r="O523" s="199">
        <f t="shared" si="48"/>
        <v>0.352818495062</v>
      </c>
      <c r="P523" s="209">
        <f t="shared" si="49"/>
        <v>0.002461739681</v>
      </c>
      <c r="Q523" s="198">
        <f t="shared" si="50"/>
        <v>1.155023576163</v>
      </c>
      <c r="R523" s="198">
        <f t="shared" si="51"/>
        <v>2.166088293399</v>
      </c>
      <c r="S523" s="262">
        <f t="shared" si="52"/>
        <v>0.0</v>
      </c>
    </row>
    <row r="524" x14ac:dyDescent="0.2">
      <c r="A524" s="196">
        <f t="shared" si="53"/>
        <v>273.807672209119</v>
      </c>
      <c r="B524" s="222">
        <f t="shared" si="36"/>
        <v>16427.81033255</v>
      </c>
      <c r="C524" s="199">
        <f t="shared" si="37"/>
        <v>0.238546531603</v>
      </c>
      <c r="D524" s="199">
        <f t="shared" si="38"/>
        <v>0.787772031109</v>
      </c>
      <c r="E524" s="199">
        <f t="shared" si="39"/>
        <v>0.88967115751</v>
      </c>
      <c r="F524" s="199">
        <f t="shared" si="40"/>
        <v>0.462504492306</v>
      </c>
      <c r="G524" s="198">
        <f t="shared" si="41"/>
        <v>-3.152219825684</v>
      </c>
      <c r="H524" s="198">
        <f t="shared" si="42"/>
        <v>-2.663392070583</v>
      </c>
      <c r="I524" s="210">
        <f t="shared" si="43"/>
        <v>0.011558836641</v>
      </c>
      <c r="J524" s="262">
        <f t="shared" si="44"/>
        <v>0.0</v>
      </c>
      <c r="K524" s="277">
        <f>IF(AND(H524&gt;=CO2_trough_mt,H525&lt;CO2_trough_mt),EXP(LN(A524)+(LN(A525)-LN(A524))*(H524-CO2_trough_mt)/(H524-H525)),0)</f>
        <v>0.0</v>
      </c>
      <c r="L524" s="198">
        <f t="shared" si="45"/>
        <v>1.288380151827</v>
      </c>
      <c r="M524" s="199">
        <f t="shared" si="46"/>
        <v>0.275717041303</v>
      </c>
      <c r="N524" s="199">
        <f t="shared" si="47"/>
        <v>0.562165567104</v>
      </c>
      <c r="O524" s="199">
        <f t="shared" si="48"/>
        <v>0.339833264487</v>
      </c>
      <c r="P524" s="209">
        <f t="shared" si="49"/>
        <v>0.00275732039</v>
      </c>
      <c r="Q524" s="199">
        <f t="shared" si="50"/>
        <v>0.956674542781</v>
      </c>
      <c r="R524" s="198">
        <f t="shared" si="51"/>
        <v>1.948361417733</v>
      </c>
      <c r="S524" s="262">
        <f t="shared" si="52"/>
        <v>0.0</v>
      </c>
    </row>
    <row r="525" x14ac:dyDescent="0.2">
      <c r="A525" s="196">
        <f t="shared" si="53"/>
        <v>306.682260817057</v>
      </c>
      <c r="B525" s="222">
        <f t="shared" si="36"/>
        <v>18400.28564902</v>
      </c>
      <c r="C525" s="199">
        <f t="shared" si="37"/>
        <v>0.267188641287</v>
      </c>
      <c r="D525" s="199">
        <f t="shared" si="38"/>
        <v>0.765528647534</v>
      </c>
      <c r="E525" s="199">
        <f t="shared" si="39"/>
        <v>0.877549851432</v>
      </c>
      <c r="F525" s="199">
        <f t="shared" si="40"/>
        <v>0.458290996123</v>
      </c>
      <c r="G525" s="198">
        <f t="shared" si="41"/>
        <v>-3.530704582472</v>
      </c>
      <c r="H525" s="198">
        <f t="shared" si="42"/>
        <v>-3.639177332218</v>
      </c>
      <c r="I525" s="210">
        <f t="shared" si="43"/>
        <v>0.011558836641</v>
      </c>
      <c r="J525" s="262">
        <f t="shared" si="44"/>
        <v>0.0</v>
      </c>
      <c r="K525" s="277">
        <f>IF(AND(H525&gt;=CO2_trough_mt,H526&lt;CO2_trough_mt),EXP(LN(A525)+(LN(A526)-LN(A525))*(H525-CO2_trough_mt)/(H525-H526)),0)</f>
        <v>0.0</v>
      </c>
      <c r="L525" s="198">
        <f t="shared" si="45"/>
        <v>1.443075025719</v>
      </c>
      <c r="M525" s="199">
        <f t="shared" si="46"/>
        <v>0.236200318752</v>
      </c>
      <c r="N525" s="199">
        <f t="shared" si="47"/>
        <v>0.529286189308</v>
      </c>
      <c r="O525" s="199">
        <f t="shared" si="48"/>
        <v>0.326188037561</v>
      </c>
      <c r="P525" s="209">
        <f t="shared" si="49"/>
        <v>0.003088389857</v>
      </c>
      <c r="Q525" s="199">
        <f t="shared" si="50"/>
        <v>0.782543238562</v>
      </c>
      <c r="R525" s="198">
        <f t="shared" si="51"/>
        <v>1.750895530624</v>
      </c>
      <c r="S525" s="262">
        <f t="shared" si="52"/>
        <v>0.0</v>
      </c>
    </row>
    <row r="526" x14ac:dyDescent="0.2">
      <c r="A526" s="196">
        <f t="shared" si="53"/>
        <v>343.503921351145</v>
      </c>
      <c r="B526" s="222">
        <f t="shared" si="36"/>
        <v>20609.58528107</v>
      </c>
      <c r="C526" s="199">
        <f t="shared" si="37"/>
        <v>0.299269652318</v>
      </c>
      <c r="D526" s="199">
        <f t="shared" si="38"/>
        <v>0.741359473179</v>
      </c>
      <c r="E526" s="199">
        <f t="shared" si="39"/>
        <v>0.864239072748</v>
      </c>
      <c r="F526" s="199">
        <f t="shared" si="40"/>
        <v>0.453640809219</v>
      </c>
      <c r="G526" s="198">
        <f t="shared" si="41"/>
        <v>-3.954631932498</v>
      </c>
      <c r="H526" s="198">
        <f t="shared" si="42"/>
        <v>-4.56298010098</v>
      </c>
      <c r="I526" s="210">
        <f t="shared" si="43"/>
        <v>0.011558836641</v>
      </c>
      <c r="J526" s="262">
        <f t="shared" si="44"/>
        <v>0.0</v>
      </c>
      <c r="K526" s="277">
        <f>IF(AND(H526&gt;=CO2_trough_mt,H527&lt;CO2_trough_mt),EXP(LN(A526)+(LN(A527)-LN(A526))*(H526-CO2_trough_mt)/(H526-H527)),0)</f>
        <v>0.0</v>
      </c>
      <c r="L526" s="198">
        <f t="shared" si="45"/>
        <v>1.616343266449</v>
      </c>
      <c r="M526" s="199">
        <f t="shared" si="46"/>
        <v>0.198623686632</v>
      </c>
      <c r="N526" s="199">
        <f t="shared" si="47"/>
        <v>0.495795868367</v>
      </c>
      <c r="O526" s="199">
        <f t="shared" si="48"/>
        <v>0.311941245464</v>
      </c>
      <c r="P526" s="209">
        <f t="shared" si="49"/>
        <v>0.003459209023</v>
      </c>
      <c r="Q526" s="199">
        <f t="shared" si="50"/>
        <v>0.631092183044</v>
      </c>
      <c r="R526" s="198">
        <f t="shared" si="51"/>
        <v>1.572103058991</v>
      </c>
      <c r="S526" s="262">
        <f t="shared" si="52"/>
        <v>0.0</v>
      </c>
    </row>
    <row r="527" x14ac:dyDescent="0.2">
      <c r="A527" s="196">
        <f t="shared" si="53"/>
        <v>384.746557134586</v>
      </c>
      <c r="B527" s="222">
        <f t="shared" si="36"/>
        <v>23084.14342808</v>
      </c>
      <c r="C527" s="199">
        <f t="shared" si="37"/>
        <v>0.335202454759</v>
      </c>
      <c r="D527" s="199">
        <f t="shared" si="38"/>
        <v>0.715193277412</v>
      </c>
      <c r="E527" s="199">
        <f t="shared" si="39"/>
        <v>0.849655837971</v>
      </c>
      <c r="F527" s="199">
        <f t="shared" si="40"/>
        <v>0.448517485163</v>
      </c>
      <c r="G527" s="198">
        <f t="shared" si="41"/>
        <v>-4.429457919218</v>
      </c>
      <c r="H527" s="198">
        <f t="shared" si="42"/>
        <v>-5.432953939697</v>
      </c>
      <c r="I527" s="210">
        <f t="shared" si="43"/>
        <v>0.011558836641</v>
      </c>
      <c r="J527" s="262">
        <f t="shared" si="44"/>
        <v>0.0</v>
      </c>
      <c r="K527" s="277">
        <f>IF(AND(H527&gt;=CO2_trough_mt,H528&lt;CO2_trough_mt),EXP(LN(A527)+(LN(A528)-LN(A527))*(H527-CO2_trough_mt)/(H527-H528)),0)</f>
        <v>0.0</v>
      </c>
      <c r="L527" s="198">
        <f t="shared" si="45"/>
        <v>1.810414876518</v>
      </c>
      <c r="M527" s="199">
        <f t="shared" si="46"/>
        <v>0.163586254627</v>
      </c>
      <c r="N527" s="199">
        <f t="shared" si="47"/>
        <v>0.462001144722</v>
      </c>
      <c r="O527" s="199">
        <f t="shared" si="48"/>
        <v>0.297168821498</v>
      </c>
      <c r="P527" s="209">
        <f t="shared" si="49"/>
        <v>0.003874550416</v>
      </c>
      <c r="Q527" s="199">
        <f t="shared" si="50"/>
        <v>0.500802984417</v>
      </c>
      <c r="R527" s="198">
        <f t="shared" si="51"/>
        <v>1.410466310027</v>
      </c>
      <c r="S527" s="262">
        <f t="shared" si="52"/>
        <v>0.0</v>
      </c>
    </row>
    <row r="528" x14ac:dyDescent="0.2">
      <c r="A528" s="196">
        <f t="shared" si="53"/>
        <v>430.940970468848</v>
      </c>
      <c r="B528" s="222">
        <f t="shared" si="36"/>
        <v>25855.80822813</v>
      </c>
      <c r="C528" s="199">
        <f t="shared" si="37"/>
        <v>0.375449512123</v>
      </c>
      <c r="D528" s="199">
        <f t="shared" si="38"/>
        <v>0.686980403355</v>
      </c>
      <c r="E528" s="199">
        <f t="shared" si="39"/>
        <v>0.833719545606</v>
      </c>
      <c r="F528" s="199">
        <f t="shared" si="40"/>
        <v>0.442883660853</v>
      </c>
      <c r="G528" s="198">
        <f t="shared" si="41"/>
        <v>-4.961293663363</v>
      </c>
      <c r="H528" s="198">
        <f t="shared" si="42"/>
        <v>-6.248058460054</v>
      </c>
      <c r="I528" s="210">
        <f t="shared" si="43"/>
        <v>0.011558836641</v>
      </c>
      <c r="J528" s="262">
        <f t="shared" si="44"/>
        <v>0.0</v>
      </c>
      <c r="K528" s="277">
        <f>IF(AND(H528&gt;=CO2_trough_mt,H529&lt;CO2_trough_mt),EXP(LN(A528)+(LN(A529)-LN(A528))*(H528-CO2_trough_mt)/(H528-H529)),0)</f>
        <v>0.0</v>
      </c>
      <c r="L528" s="198">
        <f t="shared" si="45"/>
        <v>2.027787602622</v>
      </c>
      <c r="M528" s="199">
        <f t="shared" si="46"/>
        <v>0.131626409172</v>
      </c>
      <c r="N528" s="199">
        <f t="shared" si="47"/>
        <v>0.42823695623</v>
      </c>
      <c r="O528" s="199">
        <f t="shared" si="48"/>
        <v>0.281963970502</v>
      </c>
      <c r="P528" s="209">
        <f t="shared" si="49"/>
        <v>0.004339759578</v>
      </c>
      <c r="Q528" s="199">
        <f t="shared" si="50"/>
        <v>0.390163695327</v>
      </c>
      <c r="R528" s="198">
        <f t="shared" si="51"/>
        <v>1.264546566102</v>
      </c>
      <c r="S528" s="262">
        <f t="shared" si="52"/>
        <v>0.0</v>
      </c>
    </row>
    <row r="529" x14ac:dyDescent="0.2">
      <c r="A529" s="196">
        <f t="shared" si="53"/>
        <v>482.681694182569</v>
      </c>
      <c r="B529" s="222">
        <f t="shared" si="36"/>
        <v>28960.25165095</v>
      </c>
      <c r="C529" s="199">
        <f t="shared" si="37"/>
        <v>0.420528813386</v>
      </c>
      <c r="D529" s="199">
        <f t="shared" si="38"/>
        <v>0.656699456515</v>
      </c>
      <c r="E529" s="199">
        <f t="shared" si="39"/>
        <v>0.816354391322</v>
      </c>
      <c r="F529" s="199">
        <f t="shared" si="40"/>
        <v>0.436701607196</v>
      </c>
      <c r="G529" s="198">
        <f t="shared" si="41"/>
        <v>-5.556984014484</v>
      </c>
      <c r="H529" s="198">
        <f t="shared" si="42"/>
        <v>-7.007983952381</v>
      </c>
      <c r="I529" s="210">
        <f t="shared" si="43"/>
        <v>0.011558836641</v>
      </c>
      <c r="J529" s="262">
        <f t="shared" si="44"/>
        <v>0.0</v>
      </c>
      <c r="K529" s="277">
        <f>IF(AND(H529&gt;=CO2_trough_mt,H530&lt;CO2_trough_mt),EXP(LN(A529)+(LN(A530)-LN(A529))*(H529-CO2_trough_mt)/(H529-H530)),0)</f>
        <v>0.0</v>
      </c>
      <c r="L529" s="198">
        <f t="shared" si="45"/>
        <v>2.271259082233</v>
      </c>
      <c r="M529" s="199">
        <f t="shared" si="46"/>
        <v>0.103182183408</v>
      </c>
      <c r="N529" s="199">
        <f t="shared" si="47"/>
        <v>0.394854917084</v>
      </c>
      <c r="O529" s="199">
        <f t="shared" si="48"/>
        <v>0.266435955127</v>
      </c>
      <c r="P529" s="209">
        <f t="shared" si="49"/>
        <v>0.004860823857</v>
      </c>
      <c r="Q529" s="199">
        <f t="shared" si="50"/>
        <v>0.297650023818</v>
      </c>
      <c r="R529" s="198">
        <f t="shared" si="51"/>
        <v>1.132989724189</v>
      </c>
      <c r="S529" s="262">
        <f t="shared" si="52"/>
        <v>0.0</v>
      </c>
    </row>
    <row r="530" x14ac:dyDescent="0.2">
      <c r="A530" s="196">
        <f t="shared" si="53"/>
        <v>540.634643407146</v>
      </c>
      <c r="B530" s="222">
        <f t="shared" si="36"/>
        <v>32437.42860443</v>
      </c>
      <c r="C530" s="199">
        <f t="shared" si="37"/>
        <v>0.471020539625</v>
      </c>
      <c r="D530" s="199">
        <f t="shared" si="38"/>
        <v>0.624364754062</v>
      </c>
      <c r="E530" s="199">
        <f t="shared" si="39"/>
        <v>0.797492283961</v>
      </c>
      <c r="F530" s="199">
        <f t="shared" si="40"/>
        <v>0.429933939187</v>
      </c>
      <c r="G530" s="198">
        <f t="shared" si="41"/>
        <v>-6.224195645753</v>
      </c>
      <c r="H530" s="198">
        <f t="shared" si="42"/>
        <v>-7.713063041303</v>
      </c>
      <c r="I530" s="210">
        <f t="shared" si="43"/>
        <v>0.011558836641</v>
      </c>
      <c r="J530" s="262">
        <f t="shared" si="44"/>
        <v>0.0</v>
      </c>
      <c r="K530" s="277">
        <f>IF(AND(H530&gt;=CO2_trough_mt,H531&lt;CO2_trough_mt),EXP(LN(A530)+(LN(A531)-LN(A530))*(H530-CO2_trough_mt)/(H530-H531)),0)</f>
        <v>0.0</v>
      </c>
      <c r="L530" s="198">
        <f t="shared" si="45"/>
        <v>2.543962849842</v>
      </c>
      <c r="M530" s="210">
        <f t="shared" si="46"/>
        <v>0.07855448254</v>
      </c>
      <c r="N530" s="199">
        <f t="shared" si="47"/>
        <v>0.362208716027</v>
      </c>
      <c r="O530" s="199">
        <f t="shared" si="48"/>
        <v>0.250707782157</v>
      </c>
      <c r="P530" s="209">
        <f t="shared" si="49"/>
        <v>0.005444449472</v>
      </c>
      <c r="Q530" s="199">
        <f t="shared" si="50"/>
        <v>0.221703291573</v>
      </c>
      <c r="R530" s="198">
        <f t="shared" si="51"/>
        <v>1.014529035169</v>
      </c>
      <c r="S530" s="196">
        <f t="shared" si="52"/>
        <v>568.953730792824</v>
      </c>
    </row>
    <row r="531" x14ac:dyDescent="0.2">
      <c r="A531" s="196">
        <f t="shared" si="53"/>
        <v>605.54568605914</v>
      </c>
      <c r="B531" s="222">
        <f t="shared" si="36"/>
        <v>36332.09116355</v>
      </c>
      <c r="C531" s="199">
        <f t="shared" si="37"/>
        <v>0.527574531084</v>
      </c>
      <c r="D531" s="199">
        <f t="shared" si="38"/>
        <v>0.590034345489</v>
      </c>
      <c r="E531" s="199">
        <f t="shared" si="39"/>
        <v>0.777076280898</v>
      </c>
      <c r="F531" s="199">
        <f t="shared" si="40"/>
        <v>0.422544505027</v>
      </c>
      <c r="G531" s="198">
        <f t="shared" si="41"/>
        <v>-6.971515725829</v>
      </c>
      <c r="H531" s="198">
        <f t="shared" si="42"/>
        <v>-8.364175283562</v>
      </c>
      <c r="I531" s="210">
        <f t="shared" si="43"/>
        <v>0.011558836641</v>
      </c>
      <c r="J531" s="262">
        <f t="shared" si="44"/>
        <v>0.0</v>
      </c>
      <c r="K531" s="277">
        <f>IF(AND(H531&gt;=CO2_trough_mt,H532&lt;CO2_trough_mt),EXP(LN(A531)+(LN(A532)-LN(A531))*(H531-CO2_trough_mt)/(H531-H532)),0)</f>
        <v>0.0</v>
      </c>
      <c r="L531" s="198">
        <f t="shared" si="45"/>
        <v>2.849408666275</v>
      </c>
      <c r="M531" s="210">
        <f t="shared" si="46"/>
        <v>0.057878536288</v>
      </c>
      <c r="N531" s="199">
        <f t="shared" si="47"/>
        <v>0.330637537136</v>
      </c>
      <c r="O531" s="199">
        <f t="shared" si="48"/>
        <v>0.234912763054</v>
      </c>
      <c r="P531" s="209">
        <f t="shared" si="49"/>
        <v>0.006098147821</v>
      </c>
      <c r="Q531" s="199">
        <f t="shared" si="50"/>
        <v>0.160709559305</v>
      </c>
      <c r="R531" s="199">
        <f t="shared" si="51"/>
        <v>0.907985454209</v>
      </c>
      <c r="S531" s="262">
        <f t="shared" si="52"/>
        <v>0.0</v>
      </c>
    </row>
    <row r="532" x14ac:dyDescent="0.2">
      <c r="A532" s="196">
        <f t="shared" si="53"/>
        <v>678.250242333597</v>
      </c>
      <c r="B532" s="222">
        <f t="shared" si="36"/>
        <v>40694.36454002</v>
      </c>
      <c r="C532" s="199">
        <f t="shared" si="37"/>
        <v>0.590918650769</v>
      </c>
      <c r="D532" s="199">
        <f t="shared" si="38"/>
        <v>0.55381828538</v>
      </c>
      <c r="E532" s="199">
        <f t="shared" si="39"/>
        <v>0.755064532215</v>
      </c>
      <c r="F532" s="199">
        <f t="shared" si="40"/>
        <v>0.414499470387</v>
      </c>
      <c r="G532" s="198">
        <f t="shared" si="41"/>
        <v>-7.808562437716</v>
      </c>
      <c r="H532" s="198">
        <f t="shared" si="42"/>
        <v>-8.962649975935</v>
      </c>
      <c r="I532" s="210">
        <f t="shared" si="43"/>
        <v>0.011558836641</v>
      </c>
      <c r="J532" s="262">
        <f t="shared" si="44"/>
        <v>0.0</v>
      </c>
      <c r="K532" s="277">
        <f>IF(AND(H532&gt;=CO2_trough_mt,H533&lt;CO2_trough_mt),EXP(LN(A532)+(LN(A533)-LN(A532))*(H532-CO2_trough_mt)/(H532-H533)),0)</f>
        <v>0.0</v>
      </c>
      <c r="L532" s="198">
        <f t="shared" si="45"/>
        <v>3.191527690132</v>
      </c>
      <c r="M532" s="210">
        <f t="shared" si="46"/>
        <v>0.041109021098</v>
      </c>
      <c r="N532" s="199">
        <f t="shared" si="47"/>
        <v>0.300448898459</v>
      </c>
      <c r="O532" s="199">
        <f t="shared" si="48"/>
        <v>0.219190046104</v>
      </c>
      <c r="P532" s="209">
        <f t="shared" si="49"/>
        <v>0.006830332152</v>
      </c>
      <c r="Q532" s="199">
        <f t="shared" si="50"/>
        <v>0.112985896799</v>
      </c>
      <c r="R532" s="199">
        <f t="shared" si="51"/>
        <v>0.812266076665</v>
      </c>
      <c r="S532" s="262">
        <f t="shared" si="52"/>
        <v>0.0</v>
      </c>
    </row>
    <row r="533" x14ac:dyDescent="0.2">
      <c r="A533" s="196">
        <f t="shared" si="53"/>
        <v>759.68403675599</v>
      </c>
      <c r="B533" s="222">
        <f t="shared" si="36"/>
        <v>45580.39220536</v>
      </c>
      <c r="C533" s="199">
        <f t="shared" si="37"/>
        <v>0.661868152211</v>
      </c>
      <c r="D533" s="199">
        <f t="shared" si="38"/>
        <v>0.515886678871</v>
      </c>
      <c r="E533" s="199">
        <f t="shared" si="39"/>
        <v>0.731434681533</v>
      </c>
      <c r="F533" s="199">
        <f t="shared" si="40"/>
        <v>0.405768607494</v>
      </c>
      <c r="G533" s="198">
        <f t="shared" si="41"/>
        <v>-8.746108767005</v>
      </c>
      <c r="H533" s="198">
        <f t="shared" si="42"/>
        <v>-9.510171602629</v>
      </c>
      <c r="I533" s="210">
        <f t="shared" si="43"/>
        <v>0.011558836641</v>
      </c>
      <c r="J533" s="262">
        <f t="shared" si="44"/>
        <v>0.0</v>
      </c>
      <c r="K533" s="277">
        <f>IF(AND(H533&gt;=CO2_trough_mt,H534&lt;CO2_trough_mt),EXP(LN(A533)+(LN(A534)-LN(A533))*(H533-CO2_trough_mt)/(H533-H534)),0)</f>
        <v>0.0</v>
      </c>
      <c r="L533" s="198">
        <f t="shared" si="45"/>
        <v>3.574723072711</v>
      </c>
      <c r="M533" s="210">
        <f t="shared" si="46"/>
        <v>0.028023185084</v>
      </c>
      <c r="N533" s="199">
        <f t="shared" si="47"/>
        <v>0.271902688724</v>
      </c>
      <c r="O533" s="199">
        <f t="shared" si="48"/>
        <v>0.203679361021</v>
      </c>
      <c r="P533" s="209">
        <f t="shared" si="49"/>
        <v>0.007650425849</v>
      </c>
      <c r="Q533" s="210">
        <f t="shared" si="50"/>
        <v>0.076780739194</v>
      </c>
      <c r="R533" s="199">
        <f t="shared" si="51"/>
        <v>0.726361113416</v>
      </c>
      <c r="S533" s="262">
        <f t="shared" si="52"/>
        <v>0.0</v>
      </c>
    </row>
    <row r="534" x14ac:dyDescent="0.2">
      <c r="A534" s="196">
        <f t="shared" si="53"/>
        <v>850.895141174193</v>
      </c>
      <c r="B534" s="222">
        <f t="shared" si="36"/>
        <v>51053.05847045</v>
      </c>
      <c r="C534" s="199">
        <f t="shared" si="37"/>
        <v>0.741336171973</v>
      </c>
      <c r="D534" s="199">
        <f t="shared" si="38"/>
        <v>0.476476834998</v>
      </c>
      <c r="E534" s="199">
        <f t="shared" si="39"/>
        <v>0.706188615629</v>
      </c>
      <c r="F534" s="199">
        <f t="shared" si="40"/>
        <v>0.396326788681</v>
      </c>
      <c r="G534" s="198">
        <f t="shared" si="41"/>
        <v>-9.796221152707</v>
      </c>
      <c r="H534" s="212">
        <f t="shared" si="42"/>
        <v>-10.008691447985</v>
      </c>
      <c r="I534" s="210">
        <f t="shared" si="43"/>
        <v>0.011558836641</v>
      </c>
      <c r="J534" s="262">
        <f t="shared" si="44"/>
        <v>0.0</v>
      </c>
      <c r="K534" s="277">
        <f>IF(AND(H534&gt;=CO2_trough_mt,H535&lt;CO2_trough_mt),EXP(LN(A534)+(LN(A535)-LN(A534))*(H534-CO2_trough_mt)/(H534-H535)),0)</f>
        <v>0.0</v>
      </c>
      <c r="L534" s="198">
        <f t="shared" si="45"/>
        <v>4.003926627584</v>
      </c>
      <c r="M534" s="210">
        <f t="shared" si="46"/>
        <v>0.01824386121</v>
      </c>
      <c r="N534" s="199">
        <f t="shared" si="47"/>
        <v>0.245198334062</v>
      </c>
      <c r="O534" s="199">
        <f t="shared" si="48"/>
        <v>0.188515359082</v>
      </c>
      <c r="P534" s="209">
        <f t="shared" si="49"/>
        <v>0.008568983708</v>
      </c>
      <c r="Q534" s="210">
        <f t="shared" si="50"/>
        <v>0.050294720584</v>
      </c>
      <c r="R534" s="199">
        <f t="shared" si="51"/>
        <v>0.649339855951</v>
      </c>
      <c r="S534" s="262">
        <f t="shared" si="52"/>
        <v>0.0</v>
      </c>
    </row>
    <row r="535" x14ac:dyDescent="0.2">
      <c r="A535" s="196">
        <f t="shared" si="53"/>
        <v>953.057463686584</v>
      </c>
      <c r="B535" s="222">
        <f t="shared" si="36"/>
        <v>57182.7978212</v>
      </c>
      <c r="C535" s="199">
        <f t="shared" si="37"/>
        <v>0.830345481927</v>
      </c>
      <c r="D535" s="199">
        <f t="shared" si="38"/>
        <v>0.435898665194</v>
      </c>
      <c r="E535" s="199">
        <f t="shared" si="39"/>
        <v>0.679357384467</v>
      </c>
      <c r="F535" s="199">
        <f t="shared" si="40"/>
        <v>0.386155669552</v>
      </c>
      <c r="G535" s="212">
        <f t="shared" si="41"/>
        <v>-10.972414785124</v>
      </c>
      <c r="H535" s="212">
        <f t="shared" si="42"/>
        <v>-10.460348031796</v>
      </c>
      <c r="I535" s="210">
        <f t="shared" si="43"/>
        <v>0.011558836641</v>
      </c>
      <c r="J535" s="262">
        <f t="shared" si="44"/>
        <v>0.0</v>
      </c>
      <c r="K535" s="277">
        <f>IF(AND(H535&gt;=CO2_trough_mt,H536&lt;CO2_trough_mt),EXP(LN(A535)+(LN(A536)-LN(A535))*(H535-CO2_trough_mt)/(H535-H536)),0)</f>
        <v>0.0</v>
      </c>
      <c r="L535" s="198">
        <f t="shared" si="45"/>
        <v>4.48466230419</v>
      </c>
      <c r="M535" s="210">
        <f t="shared" si="46"/>
        <v>0.011280696321</v>
      </c>
      <c r="N535" s="199">
        <f t="shared" si="47"/>
        <v>0.220466834873</v>
      </c>
      <c r="O535" s="199">
        <f t="shared" si="48"/>
        <v>0.173822043278</v>
      </c>
      <c r="P535" s="209">
        <f t="shared" si="49"/>
        <v>0.009597827781</v>
      </c>
      <c r="Q535" s="210">
        <f t="shared" si="50"/>
        <v>0.031725391294</v>
      </c>
      <c r="R535" s="199">
        <f t="shared" si="51"/>
        <v>0.580346083295</v>
      </c>
      <c r="S535" s="262">
        <f t="shared" si="52"/>
        <v>0.0</v>
      </c>
    </row>
    <row r="536" x14ac:dyDescent="0.2">
      <c r="A536" s="222">
        <f t="shared" si="53"/>
        <v>1067.485857111924</v>
      </c>
      <c r="B536" s="222">
        <f t="shared" ref="B536:B567" si="54">MAX(0,A536*60-spg_dur)</f>
        <v>64048.50142672</v>
      </c>
      <c r="C536" s="199">
        <f t="shared" ref="C536:C567" si="55">k_eff_CO2*B536</f>
        <v>0.930041652564</v>
      </c>
      <c r="D536" s="199">
        <f t="shared" ref="D536:D567" si="56">EXP(-C536)</f>
        <v>0.39453727654</v>
      </c>
      <c r="E536" s="199">
        <f t="shared" si="39"/>
        <v>0.651006029451</v>
      </c>
      <c r="F536" s="199">
        <f t="shared" si="40"/>
        <v>0.375245527538</v>
      </c>
      <c r="G536" s="212">
        <f t="shared" si="41"/>
        <v>-12.289827549484</v>
      </c>
      <c r="H536" s="212">
        <f t="shared" ref="H536:H567" si="57">(G536*E536+pool_b*D536)/(1-pool_ret*D536)</f>
        <v>-10.867398261194</v>
      </c>
      <c r="I536" s="210">
        <f t="shared" ref="I536:I567" si="58">MIN(C_sat_CO2,MAX(C_air_CO2,(pool_ret*H536+pool_b)*E536+G536*F536))</f>
        <v>0.011558836641</v>
      </c>
      <c r="J536" s="262">
        <f t="shared" ref="J536:J567" si="59">IF(AND(I536&gt;=CO2_pH_hi_mt,I537&lt;CO2_pH_hi_mt),EXP(LN(A536)+(LN(A537)-LN(A536))*(I536-CO2_pH_hi_mt)/(I536-I537)),0)</f>
        <v>0.0</v>
      </c>
      <c r="K536" s="277">
        <f>IF(AND(H536&gt;=CO2_trough_mt,H537&lt;CO2_trough_mt),EXP(LN(A536)+(LN(A537)-LN(A536))*(H536-CO2_trough_mt)/(H536-H537)),0)</f>
        <v>0.0</v>
      </c>
      <c r="L536" s="198">
        <f t="shared" si="45"/>
        <v>5.023117282341</v>
      </c>
      <c r="M536" s="209">
        <f t="shared" ref="M536:M567" si="60">EXP(-L536)</f>
        <v>0.006583970591</v>
      </c>
      <c r="N536" s="199">
        <f t="shared" si="47"/>
        <v>0.197768830304</v>
      </c>
      <c r="O536" s="199">
        <f t="shared" si="48"/>
        <v>0.159707831732</v>
      </c>
      <c r="P536" s="210">
        <f t="shared" si="49"/>
        <v>0.010750199531</v>
      </c>
      <c r="Q536" s="210">
        <f t="shared" ref="Q536:Q567" si="61">(P536*N536+pool_b*M536)/(1-pool_ret*M536)</f>
        <v>0.019333515078</v>
      </c>
      <c r="R536" s="199">
        <f t="shared" ref="R536:R567" si="62">MIN(C_sat_CO2,MAX(C_air_CO2,(pool_ret*Q536+pool_b)*N536+P536*O536))</f>
        <v>0.518593345206</v>
      </c>
      <c r="S536" s="262">
        <f t="shared" ref="S536:S567" si="63">IF(AND(R536&gt;=CO2_pH_hi_mt,R537&lt;CO2_pH_hi_mt),EXP(LN(A536)+(LN(A537)-LN(A536))*(R536-CO2_pH_hi_mt)/(R536-R537)),0)</f>
        <v>0.0</v>
      </c>
    </row>
    <row r="537" x14ac:dyDescent="0.2">
      <c r="A537" s="222">
        <f t="shared" si="53"/>
        <v>1195.653041450516</v>
      </c>
      <c r="B537" s="222">
        <f t="shared" si="54"/>
        <v>71738.53248703</v>
      </c>
      <c r="C537" s="198">
        <f t="shared" si="55"/>
        <v>1.041707796756</v>
      </c>
      <c r="D537" s="199">
        <f t="shared" si="56"/>
        <v>0.352851568344</v>
      </c>
      <c r="E537" s="199">
        <f t="shared" si="39"/>
        <v>0.62123796488</v>
      </c>
      <c r="F537" s="199">
        <f t="shared" si="40"/>
        <v>0.363597197122</v>
      </c>
      <c r="G537" s="212">
        <f t="shared" si="41"/>
        <v>-13.765414854046</v>
      </c>
      <c r="H537" s="212">
        <f t="shared" si="57"/>
        <v>-11.232160572788</v>
      </c>
      <c r="I537" s="210">
        <f t="shared" si="58"/>
        <v>0.011558836641</v>
      </c>
      <c r="J537" s="262">
        <f t="shared" si="59"/>
        <v>0.0</v>
      </c>
      <c r="K537" s="277">
        <f>IF(AND(H537&gt;=CO2_trough_mt,H538&lt;CO2_trough_mt),EXP(LN(A537)+(LN(A538)-LN(A537))*(H537-CO2_trough_mt)/(H537-H538)),0)</f>
        <v>0.0</v>
      </c>
      <c r="L537" s="198">
        <f t="shared" si="45"/>
        <v>5.626221602666</v>
      </c>
      <c r="M537" s="209">
        <f t="shared" si="60"/>
        <v>0.003602160039</v>
      </c>
      <c r="N537" s="199">
        <f t="shared" si="47"/>
        <v>0.177098932521</v>
      </c>
      <c r="O537" s="199">
        <f t="shared" si="48"/>
        <v>0.146261758884</v>
      </c>
      <c r="P537" s="210">
        <f t="shared" si="49"/>
        <v>0.01204093025</v>
      </c>
      <c r="Q537" s="210">
        <f t="shared" si="61"/>
        <v>0.011521282843</v>
      </c>
      <c r="R537" s="199">
        <f t="shared" si="62"/>
        <v>0.463360488663</v>
      </c>
      <c r="S537" s="262">
        <f t="shared" si="63"/>
        <v>0.0</v>
      </c>
    </row>
    <row r="538" x14ac:dyDescent="0.2">
      <c r="A538" s="222">
        <f t="shared" si="53"/>
        <v>1339.208558132662</v>
      </c>
      <c r="B538" s="222">
        <f t="shared" si="54"/>
        <v>80351.86348796</v>
      </c>
      <c r="C538" s="198">
        <f t="shared" si="55"/>
        <v>1.166781083714</v>
      </c>
      <c r="D538" s="199">
        <f t="shared" si="56"/>
        <v>0.311367596115</v>
      </c>
      <c r="E538" s="199">
        <f t="shared" si="39"/>
        <v>0.590198464388</v>
      </c>
      <c r="F538" s="199">
        <f t="shared" si="40"/>
        <v>0.351224013941</v>
      </c>
      <c r="G538" s="212">
        <f t="shared" si="41"/>
        <v>-15.418167850135</v>
      </c>
      <c r="H538" s="212">
        <f t="shared" si="57"/>
        <v>-11.556970868165</v>
      </c>
      <c r="I538" s="210">
        <f t="shared" si="58"/>
        <v>0.011558836641</v>
      </c>
      <c r="J538" s="262">
        <f t="shared" si="59"/>
        <v>0.0</v>
      </c>
      <c r="K538" s="277">
        <f>IF(AND(H538&gt;=CO2_trough_mt,H539&lt;CO2_trough_mt),EXP(LN(A538)+(LN(A539)-LN(A538))*(H538-CO2_trough_mt)/(H538-H539)),0)</f>
        <v>0.0</v>
      </c>
      <c r="L538" s="198">
        <f t="shared" si="45"/>
        <v>6.301737357844</v>
      </c>
      <c r="M538" s="209">
        <f t="shared" si="60"/>
        <v>0.001833117228</v>
      </c>
      <c r="N538" s="199">
        <f t="shared" si="47"/>
        <v>0.158395506841</v>
      </c>
      <c r="O538" s="199">
        <f t="shared" si="48"/>
        <v>0.133551185232</v>
      </c>
      <c r="P538" s="210">
        <f t="shared" si="49"/>
        <v>0.013486631942</v>
      </c>
      <c r="Q538" s="209">
        <f t="shared" si="61"/>
        <v>0.006906471999</v>
      </c>
      <c r="R538" s="199">
        <f t="shared" si="62"/>
        <v>0.413987659751</v>
      </c>
      <c r="S538" s="262">
        <f t="shared" si="63"/>
        <v>0.0</v>
      </c>
    </row>
    <row r="539" x14ac:dyDescent="0.2">
      <c r="A539" s="222">
        <f t="shared" si="53"/>
        <v>1499.999999999992</v>
      </c>
      <c r="B539" s="222">
        <f t="shared" si="54"/>
        <v>89999.35</v>
      </c>
      <c r="C539" s="198">
        <f t="shared" si="55"/>
        <v>1.306871235691</v>
      </c>
      <c r="D539" s="199">
        <f t="shared" si="56"/>
        <v>0.270665581782</v>
      </c>
      <c r="E539" s="199">
        <f t="shared" si="39"/>
        <v>0.55807672424</v>
      </c>
      <c r="F539" s="199">
        <f t="shared" si="40"/>
        <v>0.338153647958</v>
      </c>
      <c r="G539" s="212">
        <f t="shared" si="41"/>
        <v>-17.269357852677</v>
      </c>
      <c r="H539" s="212">
        <f t="shared" si="57"/>
        <v>-11.844151699632</v>
      </c>
      <c r="I539" s="210">
        <f t="shared" si="58"/>
        <v>0.011558836641</v>
      </c>
      <c r="J539" s="262">
        <f>0</f>
        <v>0.0</v>
      </c>
      <c r="K539" s="277">
        <f>0</f>
        <v>0.0</v>
      </c>
      <c r="L539" s="198">
        <f t="shared" si="45"/>
        <v>7.058358592538</v>
      </c>
      <c r="M539" s="209">
        <f t="shared" si="60"/>
        <v>0.0008601888562468</v>
      </c>
      <c r="N539" s="199">
        <f t="shared" si="47"/>
        <v>0.141554130191</v>
      </c>
      <c r="O539" s="199">
        <f t="shared" si="48"/>
        <v>0.121621175597</v>
      </c>
      <c r="P539" s="210">
        <f t="shared" si="49"/>
        <v>0.015105911124</v>
      </c>
      <c r="Q539" s="209">
        <f t="shared" si="61"/>
        <v>0.004374764077</v>
      </c>
      <c r="R539" s="199">
        <f t="shared" si="62"/>
        <v>0.369872825948</v>
      </c>
      <c r="S539" s="262">
        <f>0</f>
        <v>0.0</v>
      </c>
    </row>
    <row r="541" x14ac:dyDescent="0.2">
      <c r="A541" t="s" s="278">
        <v>3034</v>
      </c>
      <c r="B541" s="278"/>
      <c r="C541" s="278"/>
      <c r="D541" s="278"/>
      <c r="E541" s="278"/>
    </row>
    <row r="542" x14ac:dyDescent="0.2" ht="27" customHeight="1">
      <c r="A542" t="s" s="265">
        <v>3035</v>
      </c>
      <c r="B542" t="s" s="266">
        <v>3036</v>
      </c>
      <c r="C542" t="s" s="265">
        <v>108</v>
      </c>
      <c r="D542" s="201" t="e">
        <f>IF(DO_target-DO_surf_excess_su&gt;0,(DO_target-DO_surf_excess_su)/(H_O2_T*P_dry),NA())</f>
        <v>#N/A</v>
      </c>
      <c r="E542" t="s" s="306">
        <v>3037</v>
      </c>
    </row>
    <row r="543" x14ac:dyDescent="0.2">
      <c r="A543" t="s" s="265">
        <v>3038</v>
      </c>
      <c r="B543" t="s" s="266">
        <v>3039</v>
      </c>
      <c r="C543" t="s" s="265">
        <v>108</v>
      </c>
      <c r="D543" s="201" t="e">
        <f>IF(ISNUMBER(y_O2_star_l),MAX(0,((O2_src_su+y_O2_air*F_vent_ex)*saw_factor/y_O2_star_l-F_dil-O2_src_su-H2_src_su+CO2_fix_l)/CO2_rate_full),NA())</f>
        <v>#N/A</v>
      </c>
      <c r="E543" t="s" s="306">
        <v>3040</v>
      </c>
    </row>
    <row r="544" x14ac:dyDescent="0.2" ht="27" customHeight="1">
      <c r="A544" t="s" s="265">
        <v>3041</v>
      </c>
      <c r="B544" t="s" s="266">
        <v>3042</v>
      </c>
      <c r="C544" t="s" s="265">
        <v>61</v>
      </c>
      <c r="D544" s="201" t="str">
        <f>IF(ISNUMBER(duty_DO_l),IF(duty_DO_l&gt;0,spg_dur_eq_opt/(60*duty_DO_l),spg_int_carbon),"lag DO target unreachable at this surface kLa")</f>
        <v>lag DO target unreachable at this surface kLa</v>
      </c>
      <c r="E544" t="s" s="306">
        <v>3043</v>
      </c>
    </row>
    <row r="545" x14ac:dyDescent="0.2">
      <c r="A545" t="s" s="265">
        <v>3044</v>
      </c>
      <c r="B545" t="s" s="266">
        <v>3045</v>
      </c>
      <c r="C545" t="s" s="265">
        <v>61</v>
      </c>
      <c r="D545" s="198">
        <f>Biology!spg_int_H2safe_saw</f>
        <v>2.312402310074</v>
      </c>
      <c r="E545" t="s" s="310">
        <v>3046</v>
      </c>
    </row>
    <row r="546" x14ac:dyDescent="0.2" ht="77" customHeight="1">
      <c r="A546" t="s" s="265">
        <v>3047</v>
      </c>
      <c r="B546" t="s" s="266">
        <v>3048</v>
      </c>
      <c r="C546" t="s" s="265">
        <v>61</v>
      </c>
      <c r="D546" s="198">
        <f>IF(ph_unreach_l,NA(),MIN(spg_int_carbon,IF(ISNUMBER(spg_int_DO_l),spg_int_DO_l,spg_int_max_su),IF(ISNUMBER(spg_int_H2safe_su_opt),spg_int_H2safe_su_opt,spg_int_carbon),IF(ISNUMBER(spg_int_pH_l),spg_int_pH_l*spg_dur_eq_opt/spg_dur_eq,spg_int_carbon)))</f>
        <v>1.20664768662</v>
      </c>
      <c r="E546" t="s" s="306">
        <v>3049</v>
      </c>
    </row>
    <row r="547" x14ac:dyDescent="0.2" ht="27" customHeight="1">
      <c r="A547" t="s" s="265">
        <v>3050</v>
      </c>
      <c r="B547" t="s" s="266">
        <v>3051</v>
      </c>
      <c r="C547" t="s" s="265">
        <v>61</v>
      </c>
      <c r="D547" s="198">
        <f>IF(FLOOR(spg_int_su_opt*spg_dur_eq/spg_dur_eq_opt,interval_res)*60&gt;spg_dur,FLOOR(spg_int_su_opt*spg_dur_eq/spg_dur_eq_opt,interval_res),NA())</f>
        <v>1.16</v>
      </c>
      <c r="E547" t="s" s="306">
        <v>3052</v>
      </c>
    </row>
    <row r="548" x14ac:dyDescent="0.2">
      <c r="A548" t="s" s="265">
        <v>3053</v>
      </c>
      <c r="B548" t="s" s="266">
        <v>3054</v>
      </c>
      <c r="C548" t="s" s="265">
        <v>108</v>
      </c>
      <c r="D548" s="201" t="str">
        <f>IF(ph_unreach_l,"pH ceiling unreachable in lag",IF(spg_int_su_opt=IF(ISNUMBER(spg_int_H2safe_su_opt),spg_int_H2safe_su_opt,spg_int_carbon),"the start-up hazard screen (D581)",IF(spg_int_su_opt=IF(ISNUMBER(spg_int_pH_l),spg_int_pH_l*spg_dur_eq_opt/spg_dur_eq,spg_int_carbon),"the pH ceiling (lag)",IF(spg_int_su_opt=spg_int_carbon,"carbon supply",IF(ISNUMBER(spg_int_DO_l),"lag O₂ dilution","the legacy O₂ flush guard (lag DO target unreachable)")))))</f>
        <v>the legacy O₂ flush guard (lag DO target unreachable)</v>
      </c>
      <c r="E548" t="s" s="306">
        <v>3055</v>
      </c>
    </row>
    <row r="549" x14ac:dyDescent="0.2">
      <c r="A549" t="s" s="265">
        <v>3056</v>
      </c>
      <c r="B549" t="s" s="266">
        <v>3057</v>
      </c>
      <c r="C549" t="s" s="265">
        <v>994</v>
      </c>
      <c r="D549" s="210">
        <f>MAX(0,spg_int_su_run*60-spg_dur)/3600</f>
        <v>0.019152777778</v>
      </c>
      <c r="E549" t="s" s="306">
        <v>3058</v>
      </c>
    </row>
    <row r="550" x14ac:dyDescent="0.2">
      <c r="A550" t="s" s="265">
        <v>3059</v>
      </c>
      <c r="B550" t="s" s="266">
        <v>3060</v>
      </c>
      <c r="C550" t="s" s="265">
        <v>108</v>
      </c>
      <c r="D550" s="210">
        <f>F_gap_su*t_gap_su_h/n_hs_gas</f>
        <v>0.037192064462</v>
      </c>
      <c r="E550" t="s" s="306">
        <v>3061</v>
      </c>
    </row>
    <row r="551" x14ac:dyDescent="0.2">
      <c r="A551" t="s" s="265">
        <v>3062</v>
      </c>
      <c r="B551" t="s" s="266">
        <v>3063</v>
      </c>
      <c r="C551" t="s" s="265">
        <v>108</v>
      </c>
      <c r="D551" s="199">
        <f>IF(x_su&gt;x_series,(1-EXP(-x_su))/x_su,1-x_su/2+x_su^2/6-x_su^3/24)</f>
        <v>0.981632381646</v>
      </c>
      <c r="E551" t="s" s="306">
        <v>3064</v>
      </c>
    </row>
    <row r="552" x14ac:dyDescent="0.2">
      <c r="A552" t="s" s="265">
        <v>3065</v>
      </c>
      <c r="B552" t="s" s="266">
        <v>3066</v>
      </c>
      <c r="C552" t="s" s="265">
        <v>108</v>
      </c>
      <c r="D552" s="199">
        <f>IF(x_su&gt;x_series,(x_su-1+EXP(-x_su))/x_su^2,1/2-x_su/6+x_su^2/24-x_su^3/120)</f>
        <v>0.49385853192</v>
      </c>
      <c r="E552" t="s" s="306">
        <v>3067</v>
      </c>
    </row>
    <row r="553" x14ac:dyDescent="0.2">
      <c r="A553" t="s" s="265">
        <v>3068</v>
      </c>
      <c r="B553" t="s" s="266">
        <v>3069</v>
      </c>
      <c r="C553" t="s" s="265">
        <v>108</v>
      </c>
      <c r="D553" s="210">
        <f>S_O2_su*t_gap_su_h/n_hs_gas</f>
        <v>0.011544614242</v>
      </c>
      <c r="E553" t="s" s="306">
        <v>3070</v>
      </c>
    </row>
    <row r="554" x14ac:dyDescent="0.2">
      <c r="A554" t="s" s="265">
        <v>3071</v>
      </c>
      <c r="B554" t="s" s="266">
        <v>3072</v>
      </c>
      <c r="C554" t="s" s="265">
        <v>108</v>
      </c>
      <c r="D554" s="210">
        <f>dy_O2_su*phi_su/(1-flush_ret*EXP(-x_su))</f>
        <v>0.017443301407</v>
      </c>
      <c r="E554" t="s" s="306">
        <v>3073</v>
      </c>
    </row>
    <row r="555" x14ac:dyDescent="0.2">
      <c r="A555" t="s" s="265">
        <v>3074</v>
      </c>
      <c r="B555" t="s" s="266">
        <v>3075</v>
      </c>
      <c r="C555" t="s" s="265">
        <v>108</v>
      </c>
      <c r="D555" s="210">
        <f>y_O2_end_su*flush_ret*phi_su+dy_O2_su*psi_su</f>
        <v>0.011927197861</v>
      </c>
      <c r="E555" t="s" s="306">
        <v>3076</v>
      </c>
    </row>
    <row r="556" x14ac:dyDescent="0.2">
      <c r="A556" t="s" s="265">
        <v>3077</v>
      </c>
      <c r="B556" t="s" s="266">
        <v>3078</v>
      </c>
      <c r="C556" t="s" s="265">
        <v>83</v>
      </c>
      <c r="D556" s="198">
        <f>(DO_surf_excess_su+H_O2_T*P_dry*y_O2_avg_su)*M_O2</f>
        <v>4.499880552063</v>
      </c>
      <c r="E556" t="s" s="306">
        <v>3079</v>
      </c>
    </row>
    <row r="557" x14ac:dyDescent="0.2">
      <c r="A557" t="s" s="265">
        <v>3080</v>
      </c>
      <c r="B557" t="s" s="266">
        <v>3081</v>
      </c>
      <c r="C557" t="s" s="265">
        <v>83</v>
      </c>
      <c r="D557" s="198">
        <f>(DO_surf_excess_su+H_O2_T*P_dry*z_peak_su)*M_O2</f>
        <v>4.515479521662</v>
      </c>
      <c r="E557" t="s" s="306">
        <v>3082</v>
      </c>
    </row>
    <row r="558" x14ac:dyDescent="0.2">
      <c r="A558" t="s" s="265">
        <v>3083</v>
      </c>
      <c r="B558" t="s" s="266">
        <v>3084</v>
      </c>
      <c r="C558" t="s" s="265">
        <v>108</v>
      </c>
      <c r="D558" s="210">
        <f>H2_src_su*t_gap_su_h/n_hs_gas*phi_su/(1-flush_ret*EXP(-x_su))</f>
        <v>0.030527042916</v>
      </c>
      <c r="E558" t="s" s="306">
        <v>3085</v>
      </c>
    </row>
    <row r="560" x14ac:dyDescent="0.2" ht="52" customHeight="1">
      <c r="A560" t="s" s="265">
        <v>3086</v>
      </c>
      <c r="B560" t="s" s="266">
        <v>3087</v>
      </c>
      <c r="C560" t="s" s="265">
        <v>571</v>
      </c>
      <c r="D560" s="209">
        <f>F_gap_su/3600/n_hs_gas*Vg_CO2/(V_L_CO2+Vg_CO2)</f>
        <v>7.842677299934e-05</v>
      </c>
      <c r="E560" t="s" s="306">
        <v>3088</v>
      </c>
    </row>
    <row r="561" x14ac:dyDescent="0.2">
      <c r="A561" t="s" s="265">
        <v>3089</v>
      </c>
      <c r="B561" t="s" s="266">
        <v>3090</v>
      </c>
      <c r="C561" t="s" s="265">
        <v>61</v>
      </c>
      <c r="D561" s="196">
        <f>IF(CO2_pH_hi_mt&lt;=0,"no pH bound",IF(INDEX(pHg_C_l,1)&lt;CO2_pH_hi_mt,"pH above the band ceiling at any interval in lag",IF(MAX(pHg_x_l)&gt;0,MAX(pHg_x_l),"no pH bound")))</f>
        <v>568.953730792824</v>
      </c>
      <c r="E561" t="s" s="306">
        <v>3091</v>
      </c>
    </row>
    <row r="562" x14ac:dyDescent="0.2">
      <c r="A562" t="s" s="265">
        <v>3092</v>
      </c>
      <c r="B562" t="s" s="266">
        <v>3093</v>
      </c>
      <c r="C562" t="s" s="265">
        <v>108</v>
      </c>
      <c r="D562" s="201" t="b">
        <f>AND(CO2_pH_hi_mt&gt;0,INDEX(pHg_C_l,1)&lt;CO2_pH_hi_mt)</f>
        <v>0</v>
      </c>
      <c r="E562" t="s" s="306">
        <v>3094</v>
      </c>
    </row>
    <row r="563" x14ac:dyDescent="0.2" ht="27" customHeight="1">
      <c r="A563" t="s" s="265">
        <v>3095</v>
      </c>
      <c r="B563" t="s" s="266">
        <v>3096</v>
      </c>
      <c r="C563" t="s" s="265">
        <v>61</v>
      </c>
      <c r="D563" s="198">
        <f>IF(ISNUMBER(spg_int_H2safe_mt),spg_int_H2safe_mt*spg_dur_eq_opt/spg_dur_eq,"any interval")</f>
        <v>2.385360196994</v>
      </c>
      <c r="E563" t="s" s="306">
        <v>3097</v>
      </c>
    </row>
    <row r="564" x14ac:dyDescent="0.2" ht="39.5" customHeight="1">
      <c r="A564" t="s" s="265">
        <v>3098</v>
      </c>
      <c r="B564" t="s" s="266">
        <v>3099</v>
      </c>
      <c r="C564" t="s" s="265">
        <v>108</v>
      </c>
      <c r="D564" s="199">
        <f>y_H2_end_l*flush_ret*phi_hs_l+H2_src_l*t_gap_h/n_hs_gas*psi_hs_l</f>
        <v>0.100100748644</v>
      </c>
      <c r="E564" t="s" s="306">
        <v>3100</v>
      </c>
    </row>
    <row r="565" x14ac:dyDescent="0.2" ht="39.5" customHeight="1">
      <c r="A565" t="s" s="265">
        <v>3101</v>
      </c>
      <c r="B565" t="s" s="266">
        <v>3102</v>
      </c>
      <c r="C565" t="s" s="265">
        <v>401</v>
      </c>
      <c r="D565" s="199">
        <f>IF(ISNUMBER(DO_toxic),MIN(O2_ceil_C,DO_toxic/M_O2),O2_ceil_C)</f>
        <v>0.314742903798</v>
      </c>
      <c r="E565" t="s" s="306">
        <v>3103</v>
      </c>
    </row>
    <row r="566" x14ac:dyDescent="0.2" ht="77" customHeight="1">
      <c r="A566" t="s" s="265">
        <v>3104</v>
      </c>
      <c r="B566" t="s" s="266">
        <v>3105</v>
      </c>
      <c r="C566" t="s" s="265">
        <v>108</v>
      </c>
      <c r="D566" s="210">
        <f>y_O2_post_g*IF(ABS((1/tau_L_h)-(F_gap_g/n_hs_gas))&lt;=rate_tol_rel*(1/tau_L_h),((1/tau_L_h)*t_gap_h)*EXP(-((1/tau_L_h)*t_gap_h)),(1/tau_L_h)/((1/tau_L_h)-(F_gap_g/n_hs_gas))*(EXP(-((F_gap_g/n_hs_gas)*t_gap_h))-EXP(-((1/tau_L_h)*t_gap_h))))/(1-EXP(-((1/tau_L_h)*t_gap_h)))+S_O2_g/n_hs_gas*IF(ABS((1/tau_L_h)-(F_gap_g/n_hs_gas))&lt;=rate_tol_rel*(1/tau_L_h),(1-(1+((1/tau_L_h)*t_gap_h))*EXP(-((1/tau_L_h)*t_gap_h)))/(1/tau_L_h),(((1/tau_L_h)*t_gap_h)*IF(((F_gap_g/n_hs_gas)*t_gap_h)&gt;x_series,(1-EXP(-((F_gap_g/n_hs_gas)*t_gap_h)))/((F_gap_g/n_hs_gas)*t_gap_h),1-((F_gap_g/n_hs_gas)*t_gap_h)/2+((F_gap_g/n_hs_gas)*t_gap_h)^2/6-((F_gap_g/n_hs_gas)*t_gap_h)^3/24)-(1-EXP(-((1/tau_L_h)*t_gap_h))))/((1/tau_L_h)-(F_gap_g/n_hs_gas)))/(1-EXP(-((1/tau_L_h)*t_gap_h)))</f>
        <v>0.035988377729</v>
      </c>
      <c r="E566" t="s" s="306">
        <v>3106</v>
      </c>
    </row>
    <row r="567" x14ac:dyDescent="0.2">
      <c r="A567" t="s" s="265">
        <v>3107</v>
      </c>
      <c r="B567" t="s" s="266">
        <v>3108</v>
      </c>
      <c r="C567" t="s" s="265">
        <v>108</v>
      </c>
      <c r="D567" s="210">
        <f>y_O2_post_l*IF(ABS((1/tau_L_h)-(F_gap_l/n_hs_gas))&lt;=rate_tol_rel*(1/tau_L_h),((1/tau_L_h)*t_gap_h)*EXP(-((1/tau_L_h)*t_gap_h)),(1/tau_L_h)/((1/tau_L_h)-(F_gap_l/n_hs_gas))*(EXP(-((F_gap_l/n_hs_gas)*t_gap_h))-EXP(-((1/tau_L_h)*t_gap_h))))/(1-EXP(-((1/tau_L_h)*t_gap_h)))+S_O2_l/n_hs_gas*IF(ABS((1/tau_L_h)-(F_gap_l/n_hs_gas))&lt;=rate_tol_rel*(1/tau_L_h),(1-(1+((1/tau_L_h)*t_gap_h))*EXP(-((1/tau_L_h)*t_gap_h)))/(1/tau_L_h),(((1/tau_L_h)*t_gap_h)*IF(((F_gap_l/n_hs_gas)*t_gap_h)&gt;x_series,(1-EXP(-((F_gap_l/n_hs_gas)*t_gap_h)))/((F_gap_l/n_hs_gas)*t_gap_h),1-((F_gap_l/n_hs_gas)*t_gap_h)/2+((F_gap_l/n_hs_gas)*t_gap_h)^2/6-((F_gap_l/n_hs_gas)*t_gap_h)^3/24)-(1-EXP(-((1/tau_L_h)*t_gap_h))))/((1/tau_L_h)-(F_gap_l/n_hs_gas)))/(1-EXP(-((1/tau_L_h)*t_gap_h)))</f>
        <v>0.070079461273</v>
      </c>
      <c r="E567" t="s" s="306">
        <v>3109</v>
      </c>
    </row>
    <row r="568" x14ac:dyDescent="0.2">
      <c r="A568" t="s" s="265">
        <v>3110</v>
      </c>
      <c r="B568" t="s" s="266">
        <v>3111</v>
      </c>
      <c r="C568" t="s" s="265">
        <v>108</v>
      </c>
      <c r="D568" s="210">
        <f>y_O2_end_su*flush_ret*IF(ABS((1/tau_L_h)-(F_gap_su/n_hs_gas))&lt;=rate_tol_rel*(1/tau_L_h),((1/tau_L_h)*t_gap_su_h)*EXP(-((1/tau_L_h)*t_gap_su_h)),(1/tau_L_h)/((1/tau_L_h)-(F_gap_su/n_hs_gas))*(EXP(-((F_gap_su/n_hs_gas)*t_gap_su_h))-EXP(-((1/tau_L_h)*t_gap_su_h))))/(1-EXP(-((1/tau_L_h)*t_gap_su_h)))+S_O2_su/n_hs_gas*IF(ABS((1/tau_L_h)-(F_gap_su/n_hs_gas))&lt;=rate_tol_rel*(1/tau_L_h),(1-(1+((1/tau_L_h)*t_gap_su_h))*EXP(-((1/tau_L_h)*t_gap_su_h)))/(1/tau_L_h),(((1/tau_L_h)*t_gap_su_h)*IF(((F_gap_su/n_hs_gas)*t_gap_su_h)&gt;x_series,(1-EXP(-((F_gap_su/n_hs_gas)*t_gap_su_h)))/((F_gap_su/n_hs_gas)*t_gap_su_h),1-((F_gap_su/n_hs_gas)*t_gap_su_h)/2+((F_gap_su/n_hs_gas)*t_gap_su_h)^2/6-((F_gap_su/n_hs_gas)*t_gap_su_h)^3/24)-(1-EXP(-((1/tau_L_h)*t_gap_su_h))))/((1/tau_L_h)-(F_gap_su/n_hs_gas)))/(1-EXP(-((1/tau_L_h)*t_gap_su_h)))</f>
        <v>0.012412137716</v>
      </c>
      <c r="E568" t="s" s="306">
        <v>3112</v>
      </c>
    </row>
    <row r="569" x14ac:dyDescent="0.2" ht="39.5" customHeight="1">
      <c r="A569" t="s" s="265">
        <v>3113</v>
      </c>
      <c r="B569" t="s" s="266">
        <v>3114</v>
      </c>
      <c r="C569" t="s" s="265">
        <v>108</v>
      </c>
      <c r="D569" s="268">
        <v>1.0000000000000001E-9</v>
      </c>
      <c r="E569" t="s" s="306">
        <v>3115</v>
      </c>
    </row>
    <row r="570" x14ac:dyDescent="0.2">
      <c r="A570" t="s" s="265">
        <v>3116</v>
      </c>
      <c r="B570" t="s" s="266">
        <v>3117</v>
      </c>
      <c r="C570" t="s" s="265">
        <v>302</v>
      </c>
      <c r="D570" s="209">
        <f>Electrochemistry!O2_net_su_max</f>
        <v>5.307542491154e-05</v>
      </c>
      <c r="E570" t="s" s="306">
        <v>3118</v>
      </c>
    </row>
    <row r="571" x14ac:dyDescent="0.2">
      <c r="A571" t="s" s="265">
        <v>3119</v>
      </c>
      <c r="B571" t="s" s="266">
        <v>3120</v>
      </c>
      <c r="C571" t="s" s="265">
        <v>302</v>
      </c>
      <c r="D571" s="209">
        <f>Electrochemistry!rH2_su_max</f>
        <v>0.0001061508498231</v>
      </c>
      <c r="E571" t="s" s="306">
        <v>3121</v>
      </c>
    </row>
    <row r="572" x14ac:dyDescent="0.2" ht="52" customHeight="1">
      <c r="A572" t="s" s="265">
        <v>3122</v>
      </c>
      <c r="B572" t="s" s="266">
        <v>3123</v>
      </c>
      <c r="C572" t="s" s="265">
        <v>302</v>
      </c>
      <c r="D572" s="209">
        <f>IF(O2_sizing_phase=phase_name_2,O2_src_l,O2_net_su_mt)</f>
        <v>5.307542491154e-05</v>
      </c>
      <c r="E572" t="s" s="306">
        <v>3124</v>
      </c>
    </row>
    <row r="573" x14ac:dyDescent="0.2">
      <c r="A573" t="s" s="265">
        <v>3125</v>
      </c>
      <c r="B573" t="s" s="266">
        <v>3126</v>
      </c>
      <c r="C573" t="s" s="265">
        <v>302</v>
      </c>
      <c r="D573" s="209">
        <f>IF(O2_sizing_phase=phase_name_2,H2_src_l,MAX(0,rH2_su_mt-H2_HOR_mt))</f>
        <v>0.0001061508498231</v>
      </c>
      <c r="E573" t="s" s="306">
        <v>3127</v>
      </c>
    </row>
    <row r="574" x14ac:dyDescent="0.2">
      <c r="A574" t="s" s="265">
        <v>3128</v>
      </c>
      <c r="B574" t="s" s="266">
        <v>3129</v>
      </c>
      <c r="C574" t="s" s="265">
        <v>302</v>
      </c>
      <c r="D574" s="209">
        <f>O2_src_su+y_O2_air*F_vent_ex</f>
        <v>6.065511399778e-05</v>
      </c>
      <c r="E574" t="s" s="306">
        <v>3130</v>
      </c>
    </row>
    <row r="575" x14ac:dyDescent="0.2">
      <c r="A575" t="s" s="265">
        <v>3131</v>
      </c>
      <c r="B575" t="s" s="266">
        <v>3132</v>
      </c>
      <c r="C575" t="s" s="265">
        <v>302</v>
      </c>
      <c r="D575" s="209">
        <f>F_dil+MAX(0,O2_src_su+H2_src_su-CO2_fix_l)</f>
        <v>0.0001954061749076</v>
      </c>
      <c r="E575" t="s" s="306">
        <v>3133</v>
      </c>
    </row>
    <row r="576" x14ac:dyDescent="0.2">
      <c r="A576" t="s" s="265">
        <v>3134</v>
      </c>
      <c r="B576" t="s" s="266">
        <v>3135</v>
      </c>
      <c r="C576" t="s" s="265">
        <v>401</v>
      </c>
      <c r="D576" s="199">
        <f>O2_src_su/(kLa_surf_used*3600*(V_charge/1000000))</f>
        <v>0.128639934046</v>
      </c>
      <c r="E576" t="s" s="306">
        <v>3136</v>
      </c>
    </row>
    <row r="577" x14ac:dyDescent="0.2">
      <c r="A577" t="s" s="265">
        <v>3137</v>
      </c>
      <c r="B577" t="s" s="266">
        <v>3138</v>
      </c>
      <c r="C577" t="s" s="265">
        <v>108</v>
      </c>
      <c r="D577" s="210">
        <f>Biology!H2_LFL</f>
        <v>0.04</v>
      </c>
      <c r="E577" t="s" s="306">
        <v>3139</v>
      </c>
    </row>
    <row r="578" x14ac:dyDescent="0.2">
      <c r="A578" t="s" s="265">
        <v>3140</v>
      </c>
      <c r="B578" t="s" s="266">
        <v>3141</v>
      </c>
      <c r="C578" t="s" s="265">
        <v>108</v>
      </c>
      <c r="D578" s="210">
        <f>Biology!O2_LOC_H2*Biology!LOC_margin</f>
        <v>0.0312</v>
      </c>
      <c r="E578" t="s" s="306">
        <v>3142</v>
      </c>
    </row>
    <row r="579" x14ac:dyDescent="0.2">
      <c r="A579" t="s" s="265">
        <v>3143</v>
      </c>
      <c r="B579" t="s" s="266">
        <v>3144</v>
      </c>
      <c r="C579" t="s" s="265">
        <v>61</v>
      </c>
      <c r="D579" s="198">
        <f>IF(H2_src_su&gt;H2_LFL_mt*F_gap_su,n_hs_gas/F_gap_su*LN((1-H2_LFL_mt*F_gap_su/H2_src_su*flush_ret)/(1-H2_LFL_mt*F_gap_su/H2_src_su))*60,"none needed")</f>
        <v>1.524751128368</v>
      </c>
      <c r="E579" t="s" s="306">
        <v>3145</v>
      </c>
    </row>
    <row r="580" x14ac:dyDescent="0.2">
      <c r="A580" t="s" s="265">
        <v>3146</v>
      </c>
      <c r="B580" t="s" s="266">
        <v>3147</v>
      </c>
      <c r="C580" t="s" s="265">
        <v>61</v>
      </c>
      <c r="D580" s="198">
        <f>IF(S_O2_su&gt;O2_LOC_lim_mt*F_gap_su,n_hs_gas/F_gap_su*LN((1-O2_LOC_lim_mt*F_gap_su/S_O2_su*flush_ret)/(1-O2_LOC_lim_mt*F_gap_su/S_O2_su))*60,"none needed")</f>
        <v>2.122727097897</v>
      </c>
      <c r="E580" t="s" s="306">
        <v>3148</v>
      </c>
    </row>
    <row r="581" x14ac:dyDescent="0.2" ht="27" customHeight="1">
      <c r="A581" t="s" s="265">
        <v>3149</v>
      </c>
      <c r="B581" t="s" s="266">
        <v>3150</v>
      </c>
      <c r="C581" t="s" s="265">
        <v>61</v>
      </c>
      <c r="D581" s="198">
        <f>IF(OR(ISTEXT(t_gap_H2_su),ISTEXT(t_gap_O2_su)),"any interval",MAX(t_gap_H2_su,t_gap_O2_su)+spg_dur/60)</f>
        <v>2.13356043123</v>
      </c>
      <c r="E581" t="s" s="306">
        <v>3151</v>
      </c>
    </row>
    <row r="582" x14ac:dyDescent="0.2">
      <c r="A582" t="s" s="265">
        <v>3152</v>
      </c>
      <c r="B582" t="s" s="266">
        <v>3153</v>
      </c>
      <c r="C582" t="s" s="265">
        <v>61</v>
      </c>
      <c r="D582" s="198">
        <f>IF(ISNUMBER(spg_int_H2safe_su),spg_int_H2safe_su*spg_dur_eq_opt/spg_dur_eq,"any interval")</f>
        <v>2.200875733589</v>
      </c>
      <c r="E582" t="s" s="306">
        <v>3154</v>
      </c>
    </row>
    <row r="583" x14ac:dyDescent="0.2">
      <c r="A583" t="s" s="265">
        <v>3155</v>
      </c>
      <c r="B583" t="s" s="266">
        <v>3156</v>
      </c>
      <c r="C583" t="s" s="265">
        <v>61</v>
      </c>
      <c r="D583" s="198">
        <f>IF(O2_sizing_phase=phase_name_2,spg_int_max,target_DO_frac*O2_ceil_org*(V_charge/1000000)/MAX(O2_src_guard,O2_src_su)*60)</f>
        <v>1.20664768662</v>
      </c>
      <c r="E583" t="s" s="306">
        <v>3157</v>
      </c>
    </row>
    <row r="584" x14ac:dyDescent="0.2" ht="64.5" customHeight="1">
      <c r="A584" t="s" s="265">
        <v>3158</v>
      </c>
      <c r="B584" t="s" s="266">
        <v>3159</v>
      </c>
      <c r="C584" t="s" s="265">
        <v>108</v>
      </c>
      <c r="D584" s="268">
        <v>1E-3</v>
      </c>
      <c r="E584" t="s" s="306">
        <v>3160</v>
      </c>
    </row>
    <row r="586">
      <c r="A586" t="inlineStr" s="278">
        <is>
          <t>PULSE-LENGTH RULE (Summary D18) AND THE CARBON-TROUGH BOUND</t>
        </is>
      </c>
      <c r="B586" s="278"/>
      <c r="C586" s="278"/>
      <c r="D586" s="278"/>
      <c r="E586" s="278"/>
    </row>
    <row r="587">
      <c r="A587" t="inlineStr" s="265">
        <is>
          <t>(import) Pulse-length rule</t>
        </is>
      </c>
      <c r="B587" t="inlineStr" s="266">
        <is>
          <t>pulse_rule_sel</t>
        </is>
      </c>
      <c r="C587" t="inlineStr" s="265">
        <is>
          <t>-</t>
        </is>
      </c>
      <c r="D587" s="277" t="str">
        <f>Summary!pulse_rule_sel</f>
        <v>Headspace flush</v>
      </c>
      <c r="E587" t="inlineStr" s="310">
        <is>
          <t>Import from Summary!D18 (pulse_rule_sel).</t>
        </is>
      </c>
    </row>
    <row r="588">
      <c r="A588" t="inlineStr" s="265">
        <is>
          <t>Pulse rule option 1</t>
        </is>
      </c>
      <c r="B588" t="inlineStr" s="266">
        <is>
          <t>pulse_rule_1</t>
        </is>
      </c>
      <c r="C588" t="inlineStr" s="265">
        <is>
          <t>-</t>
        </is>
      </c>
      <c r="D588" t="inlineStr" s="268">
        <is>
          <t>Headspace flush</t>
        </is>
      </c>
      <c r="E588" t="inlineStr" s="310">
        <is>
          <t>Defined: about flush_factor headspace volumes per pulse (D90).</t>
        </is>
      </c>
    </row>
    <row r="589">
      <c r="A589" t="inlineStr" s="265">
        <is>
          <t>Pulse rule option 2</t>
        </is>
      </c>
      <c r="B589" t="inlineStr" s="266">
        <is>
          <t>pulse_rule_2</t>
        </is>
      </c>
      <c r="C589" t="inlineStr" s="265">
        <is>
          <t>-</t>
        </is>
      </c>
      <c r="D589" t="inlineStr" s="268">
        <is>
          <t>Shortest reliable pulse</t>
        </is>
      </c>
      <c r="E589" t="inlineStr" s="310">
        <is>
          <t>Defined: the solenoid floor in use (D99).</t>
        </is>
      </c>
    </row>
    <row r="590">
      <c r="A590" t="inlineStr" s="265">
        <is>
          <t>Pulse rule in use (1–2)</t>
        </is>
      </c>
      <c r="B590" t="inlineStr" s="266">
        <is>
          <t>pulse_rule_idx</t>
        </is>
      </c>
      <c r="C590" t="inlineStr" s="265">
        <is>
          <t>-</t>
        </is>
      </c>
      <c r="D590" s="277">
        <f>IF(pulse_rule_sel=pulse_rule_1,1,IF(pulse_rule_sel=pulse_rule_2,2,NA()))</f>
        <v>1.0</v>
      </c>
      <c r="E590" t="inlineStr" s="310">
        <is>
          <t>Selector: #N/A for anything but the two listed rules.</t>
        </is>
      </c>
    </row>
    <row r="591">
      <c r="A591" t="inlineStr" s="265">
        <is>
          <t>(import) RuBisCO Km for CO₂</t>
        </is>
      </c>
      <c r="B591" t="inlineStr" s="266">
        <is>
          <t>Km_CO2_mt</t>
        </is>
      </c>
      <c r="C591" t="inlineStr" s="265">
        <is>
          <t>µM</t>
        </is>
      </c>
      <c r="D591" s="277">
        <f>Biology!Km_CO2</f>
        <v>50.0</v>
      </c>
      <c r="E591" t="inlineStr" s="310">
        <is>
          <t>Import from Biology!D34 (Km_CO2).</t>
        </is>
      </c>
    </row>
    <row r="592">
      <c r="A592" t="inlineStr" s="265">
        <is>
          <t>Carbon-trough margin over Km</t>
        </is>
      </c>
      <c r="B592" t="inlineStr" s="266">
        <is>
          <t>carbon_trough_min</t>
        </is>
      </c>
      <c r="C592" t="inlineStr" s="265">
        <is>
          <t>×</t>
        </is>
      </c>
      <c r="D592" s="268">
        <v>2</v>
      </c>
      <c r="E592" t="inlineStr" s="314">
        <is>
          <t>Owner decision pending: the lowest dissolved CO₂ of the cycle (just before a pulse) as a multiple of RuBisCO Km. 2× mirrors the supply margin carbon_margin_min (D85).</t>
        </is>
      </c>
    </row>
    <row r="593">
      <c r="A593" t="inlineStr" s="265">
        <is>
          <t>Dissolved CO₂ floor at the cycle trough</t>
        </is>
      </c>
      <c r="B593" t="inlineStr" s="266">
        <is>
          <t>CO2_trough_mt</t>
        </is>
      </c>
      <c r="C593" t="inlineStr" s="265">
        <is>
          <t>mol/m³</t>
        </is>
      </c>
      <c r="D593" s="199">
        <f>carbon_trough_min*Km_CO2_mt/1000</f>
        <v>0.1</v>
      </c>
      <c r="E593" t="inlineStr" s="310">
        <is>
          <t>µM ÷ 1000 = mol/m³.</t>
        </is>
      </c>
    </row>
    <row r="594">
      <c r="A594" t="inlineStr" s="265">
        <is>
          <t>Carbon-trough interval (pulse in use)</t>
        </is>
      </c>
      <c r="B594" t="inlineStr" s="266">
        <is>
          <t>spg_int_trough</t>
        </is>
      </c>
      <c r="C594" t="inlineStr" s="265">
        <is>
          <t>min</t>
        </is>
      </c>
      <c r="D594" s="196">
        <f>IF(INDEX(pHg_start,1)&lt;CO2_trough_mt,"carbon trough under the margin at any interval",IF(MAX(trg_x)&gt;0,MAX(trg_x),"no carbon-trough bound"))</f>
        <v>203.888850304762</v>
      </c>
      <c r="E594" t="inlineStr" s="310">
        <is>
          <t>Longest interval, for the pulse in use, keeping the CO₂ at each pulse start (grid column H, the cycle trough) at or above D593. Searched over the same grid as the pH ceiling (D430–D436), ln-interpolated in column K.</t>
        </is>
      </c>
    </row>
    <row r="595">
      <c r="A595" t="inlineStr" s="265">
        <is>
          <t>Carbon-trough interval on the optimal-pulse basis</t>
        </is>
      </c>
      <c r="B595" t="inlineStr" s="266">
        <is>
          <t>spg_int_trough_opt</t>
        </is>
      </c>
      <c r="C595" t="inlineStr" s="265">
        <is>
          <t>min</t>
        </is>
      </c>
      <c r="D595" s="196">
        <f>IF(ISNUMBER(spg_int_trough),spg_int_trough*spg_dur_eq_opt/spg_dur_eq,spg_int_trough)</f>
        <v>210.321684081091</v>
      </c>
      <c r="E595" t="inlineStr" s="310">
        <is>
          <t>D594 restated on the basis of D91, as D433.</t>
        </is>
      </c>
    </row>
    <row r="596">
      <c r="A596" t="inlineStr" s="265">
        <is>
          <t>Carbon trough unreachable?</t>
        </is>
      </c>
      <c r="B596" t="inlineStr" s="266">
        <is>
          <t>trough_unreach</t>
        </is>
      </c>
      <c r="C596" t="inlineStr" s="265">
        <is>
          <t>-</t>
        </is>
      </c>
      <c r="D596" s="277" t="b">
        <f>INDEX(pHg_start,1)&lt;CO2_trough_mt</f>
        <v>0</v>
      </c>
      <c r="E596" t="inlineStr" s="310">
        <is>
          <t>TRUE = even the shortest interval leaves the trough under the margin; D91 then returns #N/A.</t>
        </is>
      </c>
    </row>
  </sheetData>
  <conditionalFormatting sqref="D33 D34 D35 D36 D37 D38 D58 D82 D83 D103 D139 D142 D169 D172 D173 D174 D203 D211 D213 D214 D216 D231 D385 D396 D419 D436">
    <cfRule type="expression" dxfId="48" priority="1" stopIfTrue="1">
      <formula>OR(ISBLANK(D33),NOT(ISNUMBER(D33)),D33&lt;=0)</formula>
    </cfRule>
  </conditionalFormatting>
  <conditionalFormatting sqref="D31 D44 D45 D61 D85 D101 D106 D167 D168 D170 D171 D175 D204 D205 D212 D307 D316 D390 D406 D569 D584 D592">
    <cfRule type="expression" dxfId="48" priority="2" stopIfTrue="1">
      <formula>OR(ISBLANK(D31),NOT(ISNUMBER(D31)))</formula>
    </cfRule>
  </conditionalFormatting>
  <conditionalFormatting sqref="D59">
    <cfRule type="cellIs" dxfId="46" priority="3" operator="equal">
      <formula>"OK"</formula>
    </cfRule>
    <cfRule type="cellIs" dxfId="48" priority="4" operator="equal">
      <formula>"RISK"</formula>
    </cfRule>
  </conditionalFormatting>
  <conditionalFormatting sqref="D64">
    <cfRule type="expression" dxfId="48" priority="5">
      <formula>ISNUMBER(SEARCH("OOR",D64))</formula>
    </cfRule>
  </conditionalFormatting>
  <conditionalFormatting sqref="D95">
    <cfRule type="cellIs" dxfId="46" priority="6" operator="equal">
      <formula>"OK"</formula>
    </cfRule>
    <cfRule type="cellIs" dxfId="47" priority="7" operator="equal">
      <formula>"TIGHT"</formula>
    </cfRule>
  </conditionalFormatting>
  <conditionalFormatting sqref="D110:D112">
    <cfRule type="expression" dxfId="48" priority="8">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46" priority="9">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sheetPr>
    <tabColor theme="9"/>
  </sheetPr>
  <dimension ref="A1:O46"/>
  <sheetViews>
    <sheetView workbookViewId="0">
      <pane ySplit="3" topLeftCell="A4" activePane="bottomLeft" state="frozen"/>
      <selection pane="bottomLeft" activeCell="A4" sqref="A4"/>
    </sheetView>
  </sheetViews>
  <sheetFormatPr defaultRowHeight="15"/>
  <cols>
    <col min="1" max="1" width="10" customWidth="1"/>
    <col min="2" max="2" width="11" customWidth="1"/>
    <col min="3" max="12" width="13" customWidth="1"/>
    <col min="13" max="13" width="3" customWidth="1"/>
    <col min="14" max="14" width="10" customWidth="1"/>
    <col min="15" max="15" width="70" customWidth="1"/>
  </cols>
  <sheetData>
    <row r="1">
      <c r="A1" s="263" t="inlineStr">
        <is>
          <t xml:space="preserve">CO₂ DOSING FLOW RATES – one row per measurement; the model fits every row of the table</t>
        </is>
      </c>
      <c r="B1" s="263"/>
      <c r="C1" s="263"/>
      <c r="D1" s="263"/>
      <c r="E1" s="263"/>
      <c r="F1" s="263"/>
      <c r="G1" s="263"/>
      <c r="H1" s="263"/>
      <c r="I1" s="263"/>
      <c r="J1" s="263"/>
      <c r="K1" s="263"/>
      <c r="L1" s="263"/>
    </row>
    <row r="2">
      <c r="A2" s="269" t="inlineStr">
        <is>
          <t xml:space="preserve">Add a measurement: type it in the first empty row under the table (it grows on its own; nothing is ignored however long it gets). Mass Transfer reads each column by its heading.</t>
        </is>
      </c>
      <c r="O2" s="263" t="inlineStr">
        <is>
          <t xml:space="preserve">KEY (as the Summary Key)</t>
        </is>
      </c>
    </row>
    <row r="3" ht="45" customHeight="1">
      <c r="A3" s="264" t="inlineStr">
        <is>
          <t xml:space="preserve">Reactor</t>
        </is>
      </c>
      <c r="B3" s="264" t="inlineStr">
        <is>
          <t xml:space="preserve">Date</t>
        </is>
      </c>
      <c r="C3" s="264" t="inlineStr">
        <is>
          <t xml:space="preserve">Cylinder size (mL)</t>
        </is>
      </c>
      <c r="D3" s="264" t="inlineStr">
        <is>
          <t xml:space="preserve">Observed volume* (mL)</t>
        </is>
      </c>
      <c r="E3" s="264" t="inlineStr">
        <is>
          <t xml:space="preserve">Volume (mL)</t>
        </is>
      </c>
      <c r="F3" s="264" t="inlineStr">
        <is>
          <t xml:space="preserve">Time (s)</t>
        </is>
      </c>
      <c r="G3" s="264" t="inlineStr">
        <is>
          <t xml:space="preserve">Flow rate (mL/s)</t>
        </is>
      </c>
      <c r="H3" s="264" t="inlineStr">
        <is>
          <t xml:space="preserve">Average flow rate (mL/s)</t>
        </is>
      </c>
      <c r="I3" s="264" t="inlineStr">
        <is>
          <t xml:space="preserve">Minimum sparge (s)</t>
        </is>
      </c>
      <c r="J3" s="264" t="inlineStr">
        <is>
          <t xml:space="preserve">Nominal flow rate (mL/s)</t>
        </is>
      </c>
      <c r="K3" s="264" t="inlineStr">
        <is>
          <t xml:space="preserve">Max flow without carryover (mL/s)</t>
        </is>
      </c>
      <c r="L3" s="264" t="inlineStr">
        <is>
          <t xml:space="preserve">Excluded from pulse fit (1 = yes)</t>
        </is>
      </c>
      <c r="O3" s="327" t="inlineStr">
        <is>
          <t xml:space="preserve">Weak estimate: J4 nominal flow and F5 timing set by inspection. E5 is a calculated volume. Input and formula fonts follow the Summary Key; confidence is recorded here.</t>
        </is>
      </c>
    </row>
    <row r="4">
      <c r="A4" s="268" t="inlineStr">
        <is>
          <t xml:space="preserve">ed04</t>
        </is>
      </c>
      <c r="B4" s="227">
        <v>46190.0</v>
      </c>
      <c r="C4" s="268">
        <v>50.0</v>
      </c>
      <c r="D4" s="268">
        <v>0.0</v>
      </c>
      <c r="E4" s="271"/>
      <c r="F4" s="271"/>
      <c r="G4" s="271"/>
      <c r="H4" s="271"/>
      <c r="I4" s="268">
        <v>0.25</v>
      </c>
      <c r="J4" s="268">
        <v>3.33</v>
      </c>
      <c r="K4" s="271"/>
      <c r="L4" s="271"/>
      <c r="O4" s="265" t="inlineStr">
        <is>
          <t xml:space="preserve">Problem: point excluded from the pulse fit as a suspect outlier (column L = 1)</t>
        </is>
      </c>
    </row>
    <row r="5">
      <c r="A5" s="268" t="inlineStr">
        <is>
          <t xml:space="preserve">ed04</t>
        </is>
      </c>
      <c r="B5" s="227">
        <v>46190.0</v>
      </c>
      <c r="C5" s="268">
        <v>50.0</v>
      </c>
      <c r="D5" s="268">
        <v>50.0</v>
      </c>
      <c r="E5" s="277">
        <f>D5-D4</f>
        <v>50.0</v>
      </c>
      <c r="F5" s="268">
        <v>15.0</v>
      </c>
      <c r="G5" s="198">
        <f>E5/F5</f>
        <v>3.333333333333</v>
      </c>
      <c r="H5" s="198">
        <f>AVERAGE(G5)</f>
        <v>3.333333333333</v>
      </c>
      <c r="I5" s="271"/>
      <c r="J5" s="271"/>
      <c r="K5" s="271"/>
      <c r="L5" s="331"/>
    </row>
    <row r="6">
      <c r="A6" s="268" t="inlineStr">
        <is>
          <t xml:space="preserve">ed04</t>
        </is>
      </c>
      <c r="B6" s="227">
        <v>46190.0</v>
      </c>
      <c r="C6" s="268">
        <v>50.0</v>
      </c>
      <c r="D6" s="268">
        <v>0.0</v>
      </c>
      <c r="E6" s="271"/>
      <c r="F6" s="271"/>
      <c r="G6" s="271"/>
      <c r="H6" s="271"/>
      <c r="I6" s="271"/>
      <c r="J6" s="271"/>
      <c r="K6" s="271"/>
      <c r="L6" s="271"/>
      <c r="N6" s="263" t="inlineStr">
        <is>
          <t xml:space="preserve">Point</t>
        </is>
      </c>
      <c r="O6" s="263" t="inlineStr">
        <is>
          <t xml:space="preserve">Note</t>
        </is>
      </c>
    </row>
    <row r="7">
      <c r="A7" s="268" t="inlineStr">
        <is>
          <t xml:space="preserve">ed04</t>
        </is>
      </c>
      <c r="B7" s="227">
        <v>46190.0</v>
      </c>
      <c r="C7" s="268">
        <v>50.0</v>
      </c>
      <c r="D7" s="268">
        <v>12.0</v>
      </c>
      <c r="E7" s="277">
        <f>D7-D6</f>
        <v>12.0</v>
      </c>
      <c r="F7" s="268">
        <v>4.0</v>
      </c>
      <c r="G7" s="277">
        <f>E7/F7</f>
        <v>3.0</v>
      </c>
      <c r="H7" s="198">
        <f>AVERAGE(G7:G9)</f>
        <v>3.333333333333</v>
      </c>
      <c r="I7" s="271"/>
      <c r="J7" s="271"/>
      <c r="K7" s="271"/>
      <c r="L7" s="328"/>
      <c r="N7" s="269" t="inlineStr">
        <is>
          <t xml:space="preserve">*</t>
        </is>
      </c>
      <c r="O7" s="269" t="inlineStr">
        <is>
          <t xml:space="preserve">CO2 collected in measuring cylinder over CO2-saturated water</t>
        </is>
      </c>
    </row>
    <row r="8">
      <c r="A8" s="268" t="inlineStr">
        <is>
          <t xml:space="preserve">ed04</t>
        </is>
      </c>
      <c r="B8" s="227">
        <v>46190.0</v>
      </c>
      <c r="C8" s="268">
        <v>50.0</v>
      </c>
      <c r="D8" s="268">
        <v>26.0</v>
      </c>
      <c r="E8" s="277">
        <f>D8-D7</f>
        <v>14.0</v>
      </c>
      <c r="F8" s="268">
        <v>4.0</v>
      </c>
      <c r="G8" s="198">
        <f>E8/F8</f>
        <v>3.5</v>
      </c>
      <c r="H8" s="271"/>
      <c r="I8" s="271"/>
      <c r="J8" s="271"/>
      <c r="K8" s="271"/>
      <c r="L8" s="271"/>
      <c r="N8" s="227">
        <v>46190.0</v>
      </c>
      <c r="O8" s="269" t="inlineStr">
        <is>
          <t xml:space="preserve">Collected using inlet CO2 tube rather than outlet as MEP vialcap leaking</t>
        </is>
      </c>
    </row>
    <row r="9">
      <c r="A9" s="268" t="inlineStr">
        <is>
          <t xml:space="preserve">ed04</t>
        </is>
      </c>
      <c r="B9" s="227">
        <v>46190.0</v>
      </c>
      <c r="C9" s="268">
        <v>50.0</v>
      </c>
      <c r="D9" s="268">
        <v>40.0</v>
      </c>
      <c r="E9" s="277">
        <f>D9-D8</f>
        <v>14.0</v>
      </c>
      <c r="F9" s="268">
        <v>4.0</v>
      </c>
      <c r="G9" s="198">
        <f>E9/F9</f>
        <v>3.5</v>
      </c>
      <c r="H9" s="271"/>
      <c r="I9" s="271"/>
      <c r="J9" s="271"/>
      <c r="K9" s="271"/>
      <c r="L9" s="271"/>
      <c r="N9" s="227">
        <v>46190.0</v>
      </c>
      <c r="O9" s="269" t="inlineStr">
        <is>
          <t xml:space="preserve">Collected over saturated NaHCO3 solution</t>
        </is>
      </c>
    </row>
    <row r="10">
      <c r="A10" s="268" t="inlineStr">
        <is>
          <t xml:space="preserve">ed04</t>
        </is>
      </c>
      <c r="B10" s="227">
        <v>46190.0</v>
      </c>
      <c r="C10" s="268">
        <v>50.0</v>
      </c>
      <c r="D10" s="268">
        <v>0.0</v>
      </c>
      <c r="E10" s="271"/>
      <c r="F10" s="271"/>
      <c r="G10" s="271"/>
      <c r="H10" s="271"/>
      <c r="I10" s="271"/>
      <c r="J10" s="271"/>
      <c r="K10" s="271"/>
      <c r="L10" s="271"/>
      <c r="O10" s="269" t="inlineStr">
        <is>
          <t xml:space="preserve">Column K: highest steady flow at which no liquid is carried into the vial neck or vent for this reactor (measured; blank = not measured, and Mass Transfer carry_flag then reads "not measured"). If the lowest entry for the reactor is below the pulse flow, carry_flag reads RISK.</t>
        </is>
      </c>
    </row>
    <row r="11">
      <c r="A11" s="268" t="inlineStr">
        <is>
          <t xml:space="preserve">ed04</t>
        </is>
      </c>
      <c r="B11" s="227">
        <v>46190.0</v>
      </c>
      <c r="C11" s="268">
        <v>50.0</v>
      </c>
      <c r="D11" s="268">
        <v>6.0</v>
      </c>
      <c r="E11" s="277">
        <f>D11-D10</f>
        <v>6.0</v>
      </c>
      <c r="F11" s="268">
        <v>2.0</v>
      </c>
      <c r="G11" s="277">
        <f>E11/F11</f>
        <v>3.0</v>
      </c>
      <c r="H11" s="198">
        <f>AVERAGE(G11:G16)</f>
        <v>3.75</v>
      </c>
      <c r="I11" s="271"/>
      <c r="J11" s="271"/>
      <c r="K11" s="271"/>
      <c r="L11" s="271"/>
      <c r="O11" s="269" t="inlineStr">
        <is>
          <t xml:space="preserve">Column L: 1 = point excluded from the pulse-volume fit V = V₀ + Q·t on Mass Transfer (rows 401–408); 1 is set on the two red outliers (G36, G46). Blank = used.</t>
        </is>
      </c>
    </row>
    <row r="12">
      <c r="A12" s="268" t="inlineStr">
        <is>
          <t xml:space="preserve">ed04</t>
        </is>
      </c>
      <c r="B12" s="227">
        <v>46190.0</v>
      </c>
      <c r="C12" s="268">
        <v>50.0</v>
      </c>
      <c r="D12" s="268">
        <v>15.0</v>
      </c>
      <c r="E12" s="277">
        <f>D12-D11</f>
        <v>9.0</v>
      </c>
      <c r="F12" s="268">
        <v>2.0</v>
      </c>
      <c r="G12" s="198">
        <f>E12/F12</f>
        <v>4.5</v>
      </c>
      <c r="H12" s="271"/>
      <c r="I12" s="271"/>
      <c r="J12" s="271"/>
      <c r="K12" s="271"/>
      <c r="L12" s="271"/>
    </row>
    <row r="13">
      <c r="A13" s="268" t="inlineStr">
        <is>
          <t xml:space="preserve">ed04</t>
        </is>
      </c>
      <c r="B13" s="227">
        <v>46190.0</v>
      </c>
      <c r="C13" s="268">
        <v>50.0</v>
      </c>
      <c r="D13" s="268">
        <v>21.0</v>
      </c>
      <c r="E13" s="277">
        <f>D13-D12</f>
        <v>6.0</v>
      </c>
      <c r="F13" s="268">
        <v>2.0</v>
      </c>
      <c r="G13" s="277">
        <f>E13/F13</f>
        <v>3.0</v>
      </c>
      <c r="H13" s="271"/>
      <c r="I13" s="271"/>
      <c r="J13" s="271"/>
      <c r="K13" s="271"/>
      <c r="L13" s="271"/>
    </row>
    <row r="14">
      <c r="A14" s="268" t="inlineStr">
        <is>
          <t xml:space="preserve">ed04</t>
        </is>
      </c>
      <c r="B14" s="227">
        <v>46190.0</v>
      </c>
      <c r="C14" s="268">
        <v>50.0</v>
      </c>
      <c r="D14" s="268">
        <v>29.0</v>
      </c>
      <c r="E14" s="277">
        <f>D14-D13</f>
        <v>8.0</v>
      </c>
      <c r="F14" s="268">
        <v>2.0</v>
      </c>
      <c r="G14" s="277">
        <f>E14/F14</f>
        <v>4.0</v>
      </c>
      <c r="H14" s="271"/>
      <c r="I14" s="271"/>
      <c r="J14" s="271"/>
      <c r="K14" s="271"/>
      <c r="L14" s="271"/>
    </row>
    <row r="15">
      <c r="A15" s="268" t="inlineStr">
        <is>
          <t xml:space="preserve">ed04</t>
        </is>
      </c>
      <c r="B15" s="227">
        <v>46190.0</v>
      </c>
      <c r="C15" s="268">
        <v>50.0</v>
      </c>
      <c r="D15" s="268">
        <v>35.0</v>
      </c>
      <c r="E15" s="277">
        <f>D15-D14</f>
        <v>6.0</v>
      </c>
      <c r="F15" s="268">
        <v>2.0</v>
      </c>
      <c r="G15" s="277">
        <f>E15/F15</f>
        <v>3.0</v>
      </c>
      <c r="H15" s="271"/>
      <c r="I15" s="271"/>
      <c r="J15" s="271"/>
      <c r="K15" s="271"/>
      <c r="L15" s="271"/>
    </row>
    <row r="16">
      <c r="A16" s="268" t="inlineStr">
        <is>
          <t xml:space="preserve">ed04</t>
        </is>
      </c>
      <c r="B16" s="227">
        <v>46190.0</v>
      </c>
      <c r="C16" s="268">
        <v>50.0</v>
      </c>
      <c r="D16" s="268">
        <v>45.0</v>
      </c>
      <c r="E16" s="277">
        <f>D16-D15</f>
        <v>10.0</v>
      </c>
      <c r="F16" s="268">
        <v>2.0</v>
      </c>
      <c r="G16" s="277">
        <f>E16/F16</f>
        <v>5.0</v>
      </c>
      <c r="H16" s="271"/>
      <c r="I16" s="271"/>
      <c r="J16" s="271"/>
      <c r="K16" s="271"/>
      <c r="L16" s="271"/>
    </row>
    <row r="17">
      <c r="A17" s="268" t="inlineStr">
        <is>
          <t xml:space="preserve">ed04</t>
        </is>
      </c>
      <c r="B17" s="227">
        <v>46190.0</v>
      </c>
      <c r="C17" s="268">
        <v>50.0</v>
      </c>
      <c r="D17" s="268">
        <v>0.0</v>
      </c>
      <c r="E17" s="271"/>
      <c r="F17" s="271"/>
      <c r="G17" s="271"/>
      <c r="H17" s="271"/>
      <c r="I17" s="271"/>
      <c r="J17" s="271"/>
      <c r="K17" s="271"/>
      <c r="L17" s="271"/>
    </row>
    <row r="18">
      <c r="A18" s="268" t="inlineStr">
        <is>
          <t xml:space="preserve">ed04</t>
        </is>
      </c>
      <c r="B18" s="227">
        <v>46190.0</v>
      </c>
      <c r="C18" s="268">
        <v>50.0</v>
      </c>
      <c r="D18" s="268">
        <v>4.0</v>
      </c>
      <c r="E18" s="277">
        <f>D18-D17</f>
        <v>4.0</v>
      </c>
      <c r="F18" s="268">
        <v>1.0</v>
      </c>
      <c r="G18" s="277">
        <f>E18/F18</f>
        <v>4.0</v>
      </c>
      <c r="H18" s="198">
        <f>AVERAGE(G18:G23)</f>
        <v>3.833333333333</v>
      </c>
      <c r="I18" s="271"/>
      <c r="J18" s="271"/>
      <c r="K18" s="271"/>
      <c r="L18" s="271"/>
    </row>
    <row r="19">
      <c r="A19" s="268" t="inlineStr">
        <is>
          <t xml:space="preserve">ed04</t>
        </is>
      </c>
      <c r="B19" s="227">
        <v>46190.0</v>
      </c>
      <c r="C19" s="268">
        <v>50.0</v>
      </c>
      <c r="D19" s="268">
        <v>8.0</v>
      </c>
      <c r="E19" s="277">
        <f>D19-D18</f>
        <v>4.0</v>
      </c>
      <c r="F19" s="268">
        <v>1.0</v>
      </c>
      <c r="G19" s="277">
        <f>E19/F19</f>
        <v>4.0</v>
      </c>
      <c r="H19" s="271"/>
      <c r="I19" s="271"/>
      <c r="J19" s="271"/>
      <c r="K19" s="271"/>
      <c r="L19" s="271"/>
    </row>
    <row r="20">
      <c r="A20" s="268" t="inlineStr">
        <is>
          <t xml:space="preserve">ed04</t>
        </is>
      </c>
      <c r="B20" s="227">
        <v>46190.0</v>
      </c>
      <c r="C20" s="268">
        <v>50.0</v>
      </c>
      <c r="D20" s="268">
        <v>11.0</v>
      </c>
      <c r="E20" s="277">
        <f>D20-D19</f>
        <v>3.0</v>
      </c>
      <c r="F20" s="268">
        <v>1.0</v>
      </c>
      <c r="G20" s="277">
        <f>E20/F20</f>
        <v>3.0</v>
      </c>
      <c r="H20" s="271"/>
      <c r="I20" s="271"/>
      <c r="J20" s="271"/>
      <c r="K20" s="271"/>
      <c r="L20" s="271"/>
    </row>
    <row r="21">
      <c r="A21" s="268" t="inlineStr">
        <is>
          <t xml:space="preserve">ed04</t>
        </is>
      </c>
      <c r="B21" s="227">
        <v>46190.0</v>
      </c>
      <c r="C21" s="268">
        <v>50.0</v>
      </c>
      <c r="D21" s="268">
        <v>15.0</v>
      </c>
      <c r="E21" s="277">
        <f>D21-D20</f>
        <v>4.0</v>
      </c>
      <c r="F21" s="268">
        <v>1.0</v>
      </c>
      <c r="G21" s="277">
        <f>E21/F21</f>
        <v>4.0</v>
      </c>
      <c r="H21" s="271"/>
      <c r="I21" s="271"/>
      <c r="J21" s="271"/>
      <c r="K21" s="271"/>
      <c r="L21" s="271"/>
    </row>
    <row r="22">
      <c r="A22" s="268" t="inlineStr">
        <is>
          <t xml:space="preserve">ed04</t>
        </is>
      </c>
      <c r="B22" s="227">
        <v>46190.0</v>
      </c>
      <c r="C22" s="268">
        <v>50.0</v>
      </c>
      <c r="D22" s="268">
        <v>19.0</v>
      </c>
      <c r="E22" s="277">
        <f>D22-D21</f>
        <v>4.0</v>
      </c>
      <c r="F22" s="268">
        <v>1.0</v>
      </c>
      <c r="G22" s="277">
        <f>E22/F22</f>
        <v>4.0</v>
      </c>
      <c r="H22" s="271"/>
      <c r="I22" s="271"/>
      <c r="J22" s="271"/>
      <c r="K22" s="271"/>
      <c r="L22" s="271"/>
    </row>
    <row r="23">
      <c r="A23" s="268" t="inlineStr">
        <is>
          <t xml:space="preserve">ed04</t>
        </is>
      </c>
      <c r="B23" s="227">
        <v>46190.0</v>
      </c>
      <c r="C23" s="268">
        <v>50.0</v>
      </c>
      <c r="D23" s="268">
        <v>23.0</v>
      </c>
      <c r="E23" s="277">
        <f>D23-D22</f>
        <v>4.0</v>
      </c>
      <c r="F23" s="268">
        <v>1.0</v>
      </c>
      <c r="G23" s="277">
        <f>E23/F23</f>
        <v>4.0</v>
      </c>
      <c r="H23" s="271"/>
      <c r="I23" s="271"/>
      <c r="J23" s="271"/>
      <c r="K23" s="271"/>
      <c r="L23" s="271"/>
    </row>
    <row r="24">
      <c r="A24" s="268" t="inlineStr">
        <is>
          <t xml:space="preserve">ed04</t>
        </is>
      </c>
      <c r="B24" s="227">
        <v>46190.0</v>
      </c>
      <c r="C24" s="268">
        <v>50.0</v>
      </c>
      <c r="D24" s="268">
        <v>31.0</v>
      </c>
      <c r="E24" s="271"/>
      <c r="F24" s="271"/>
      <c r="G24" s="271"/>
      <c r="H24" s="271"/>
      <c r="I24" s="271"/>
      <c r="J24" s="271"/>
      <c r="K24" s="271"/>
      <c r="L24" s="271"/>
    </row>
    <row r="25">
      <c r="A25" s="268" t="inlineStr">
        <is>
          <t xml:space="preserve">ed04</t>
        </is>
      </c>
      <c r="B25" s="227">
        <v>46190.0</v>
      </c>
      <c r="C25" s="268">
        <v>50.0</v>
      </c>
      <c r="D25" s="268">
        <v>33.0</v>
      </c>
      <c r="E25" s="277">
        <f>D25-D24</f>
        <v>2.0</v>
      </c>
      <c r="F25" s="268">
        <v>0.5</v>
      </c>
      <c r="G25" s="277">
        <f>E25/F25</f>
        <v>4.0</v>
      </c>
      <c r="H25" s="277">
        <f>AVERAGE(G25:G29)</f>
        <v>4.0</v>
      </c>
      <c r="I25" s="271"/>
      <c r="J25" s="271"/>
      <c r="K25" s="271"/>
      <c r="L25" s="271"/>
    </row>
    <row r="26">
      <c r="A26" s="268" t="inlineStr">
        <is>
          <t xml:space="preserve">ed04</t>
        </is>
      </c>
      <c r="B26" s="227">
        <v>46190.0</v>
      </c>
      <c r="C26" s="268">
        <v>50.0</v>
      </c>
      <c r="D26" s="268">
        <v>35.0</v>
      </c>
      <c r="E26" s="277">
        <f>D26-D25</f>
        <v>2.0</v>
      </c>
      <c r="F26" s="268">
        <v>0.5</v>
      </c>
      <c r="G26" s="277">
        <f>E26/F26</f>
        <v>4.0</v>
      </c>
      <c r="H26" s="271"/>
      <c r="I26" s="271"/>
      <c r="J26" s="271"/>
      <c r="K26" s="271"/>
      <c r="L26" s="271"/>
    </row>
    <row r="27">
      <c r="A27" s="268" t="inlineStr">
        <is>
          <t xml:space="preserve">ed04</t>
        </is>
      </c>
      <c r="B27" s="227">
        <v>46190.0</v>
      </c>
      <c r="C27" s="268">
        <v>50.0</v>
      </c>
      <c r="D27" s="268">
        <v>37.0</v>
      </c>
      <c r="E27" s="277">
        <f>D27-D26</f>
        <v>2.0</v>
      </c>
      <c r="F27" s="268">
        <v>0.5</v>
      </c>
      <c r="G27" s="277">
        <f>E27/F27</f>
        <v>4.0</v>
      </c>
      <c r="H27" s="271"/>
      <c r="I27" s="271"/>
      <c r="J27" s="271"/>
      <c r="K27" s="271"/>
      <c r="L27" s="271"/>
    </row>
    <row r="28">
      <c r="A28" s="268" t="inlineStr">
        <is>
          <t xml:space="preserve">ed04</t>
        </is>
      </c>
      <c r="B28" s="227">
        <v>46190.0</v>
      </c>
      <c r="C28" s="268">
        <v>50.0</v>
      </c>
      <c r="D28" s="268">
        <v>39.0</v>
      </c>
      <c r="E28" s="277">
        <f>D28-D27</f>
        <v>2.0</v>
      </c>
      <c r="F28" s="268">
        <v>0.5</v>
      </c>
      <c r="G28" s="277">
        <f>E28/F28</f>
        <v>4.0</v>
      </c>
      <c r="H28" s="271"/>
      <c r="I28" s="271"/>
      <c r="J28" s="271"/>
      <c r="K28" s="271"/>
      <c r="L28" s="271"/>
    </row>
    <row r="29">
      <c r="A29" s="268" t="inlineStr">
        <is>
          <t xml:space="preserve">ed04</t>
        </is>
      </c>
      <c r="B29" s="227">
        <v>46190.0</v>
      </c>
      <c r="C29" s="268">
        <v>50.0</v>
      </c>
      <c r="D29" s="268">
        <v>41.0</v>
      </c>
      <c r="E29" s="277">
        <f>D29-D28</f>
        <v>2.0</v>
      </c>
      <c r="F29" s="268">
        <v>0.5</v>
      </c>
      <c r="G29" s="277">
        <f>E29/F29</f>
        <v>4.0</v>
      </c>
      <c r="H29" s="271"/>
      <c r="I29" s="271"/>
      <c r="J29" s="271"/>
      <c r="K29" s="271"/>
      <c r="L29" s="271"/>
    </row>
    <row r="30">
      <c r="A30" s="268" t="inlineStr">
        <is>
          <t xml:space="preserve">ed04</t>
        </is>
      </c>
      <c r="B30" s="227">
        <v>46190.0</v>
      </c>
      <c r="C30" s="268">
        <v>50.0</v>
      </c>
      <c r="D30" s="268">
        <v>42.0</v>
      </c>
      <c r="E30" s="277">
        <f>D30-D29</f>
        <v>1.0</v>
      </c>
      <c r="F30" s="268">
        <v>0.25</v>
      </c>
      <c r="G30" s="277">
        <f>E30/F30</f>
        <v>4.0</v>
      </c>
      <c r="H30" s="277">
        <f>AVERAGE(G30:G34)</f>
        <v>4.0</v>
      </c>
      <c r="I30" s="271"/>
      <c r="J30" s="271"/>
      <c r="K30" s="271"/>
      <c r="L30" s="271"/>
    </row>
    <row r="31">
      <c r="A31" s="268" t="inlineStr">
        <is>
          <t xml:space="preserve">ed04</t>
        </is>
      </c>
      <c r="B31" s="227">
        <v>46190.0</v>
      </c>
      <c r="C31" s="268">
        <v>50.0</v>
      </c>
      <c r="D31" s="268">
        <v>43.0</v>
      </c>
      <c r="E31" s="277">
        <f>D31-D30</f>
        <v>1.0</v>
      </c>
      <c r="F31" s="268">
        <v>0.25</v>
      </c>
      <c r="G31" s="277">
        <f>E31/F31</f>
        <v>4.0</v>
      </c>
      <c r="H31" s="271"/>
      <c r="I31" s="271"/>
      <c r="J31" s="271"/>
      <c r="K31" s="271"/>
      <c r="L31" s="271"/>
    </row>
    <row r="32">
      <c r="A32" s="268" t="inlineStr">
        <is>
          <t xml:space="preserve">ed04</t>
        </is>
      </c>
      <c r="B32" s="227">
        <v>46190.0</v>
      </c>
      <c r="C32" s="268">
        <v>50.0</v>
      </c>
      <c r="D32" s="268">
        <v>44.0</v>
      </c>
      <c r="E32" s="277">
        <f>D32-D31</f>
        <v>1.0</v>
      </c>
      <c r="F32" s="268">
        <v>0.25</v>
      </c>
      <c r="G32" s="277">
        <f>E32/F32</f>
        <v>4.0</v>
      </c>
      <c r="H32" s="271"/>
      <c r="I32" s="271"/>
      <c r="J32" s="271"/>
      <c r="K32" s="271"/>
      <c r="L32" s="271"/>
    </row>
    <row r="33">
      <c r="A33" s="268" t="inlineStr">
        <is>
          <t xml:space="preserve">ed04</t>
        </is>
      </c>
      <c r="B33" s="227">
        <v>46190.0</v>
      </c>
      <c r="C33" s="268">
        <v>50.0</v>
      </c>
      <c r="D33" s="268">
        <v>45.0</v>
      </c>
      <c r="E33" s="277">
        <f>D33-D32</f>
        <v>1.0</v>
      </c>
      <c r="F33" s="268">
        <v>0.25</v>
      </c>
      <c r="G33" s="277">
        <f>E33/F33</f>
        <v>4.0</v>
      </c>
      <c r="H33" s="271"/>
      <c r="I33" s="271"/>
      <c r="J33" s="271"/>
      <c r="K33" s="271"/>
      <c r="L33" s="271"/>
    </row>
    <row r="34">
      <c r="A34" s="268" t="inlineStr">
        <is>
          <t xml:space="preserve">ed04</t>
        </is>
      </c>
      <c r="B34" s="227">
        <v>46190.0</v>
      </c>
      <c r="C34" s="268">
        <v>50.0</v>
      </c>
      <c r="D34" s="268">
        <v>46.0</v>
      </c>
      <c r="E34" s="277">
        <f>D34-D33</f>
        <v>1.0</v>
      </c>
      <c r="F34" s="268">
        <v>0.25</v>
      </c>
      <c r="G34" s="277">
        <f>E34/F34</f>
        <v>4.0</v>
      </c>
      <c r="H34" s="271"/>
      <c r="I34" s="271"/>
      <c r="J34" s="271"/>
      <c r="K34" s="271"/>
      <c r="L34" s="271"/>
    </row>
    <row r="35">
      <c r="A35" s="268" t="inlineStr">
        <is>
          <t xml:space="preserve">ed04</t>
        </is>
      </c>
      <c r="B35" s="227">
        <v>46190.0</v>
      </c>
      <c r="C35" s="268">
        <v>10.0</v>
      </c>
      <c r="D35" s="268">
        <v>0.0</v>
      </c>
      <c r="E35" s="277">
        <f>D35-D34</f>
        <v>-46.0</v>
      </c>
      <c r="F35" s="271"/>
      <c r="G35" s="271"/>
      <c r="H35" s="271"/>
      <c r="I35" s="271"/>
      <c r="J35" s="271"/>
      <c r="K35" s="271"/>
      <c r="L35" s="271"/>
    </row>
    <row r="36">
      <c r="A36" s="268" t="inlineStr">
        <is>
          <t xml:space="preserve">ed04</t>
        </is>
      </c>
      <c r="B36" s="227">
        <v>46190.0</v>
      </c>
      <c r="C36" s="268">
        <v>10.0</v>
      </c>
      <c r="D36" s="268">
        <v>0.4</v>
      </c>
      <c r="E36" s="199">
        <f>D36-D35</f>
        <v>0.4</v>
      </c>
      <c r="F36" s="268">
        <v>0.2</v>
      </c>
      <c r="G36" s="277">
        <f>E36/F36</f>
        <v>2.0</v>
      </c>
      <c r="H36" s="271"/>
      <c r="I36" s="271"/>
      <c r="J36" s="271"/>
      <c r="K36" s="271"/>
      <c r="L36" s="268">
        <v>1.0</v>
      </c>
    </row>
    <row r="37">
      <c r="A37" s="268" t="inlineStr">
        <is>
          <t xml:space="preserve">ed04</t>
        </is>
      </c>
      <c r="B37" s="227">
        <v>46190.0</v>
      </c>
      <c r="C37" s="268">
        <v>10.0</v>
      </c>
      <c r="D37" s="268">
        <v>1.2</v>
      </c>
      <c r="E37" s="199">
        <f>D37-D36</f>
        <v>0.8</v>
      </c>
      <c r="F37" s="268">
        <v>0.2</v>
      </c>
      <c r="G37" s="262">
        <f>E37/F37</f>
        <v>4.0</v>
      </c>
      <c r="H37" s="198">
        <f>AVERAGE(G37:G39)</f>
        <v>4.333333333333</v>
      </c>
      <c r="I37" s="271"/>
      <c r="J37" s="271"/>
      <c r="K37" s="271"/>
      <c r="L37" s="271"/>
    </row>
    <row r="38">
      <c r="A38" s="268" t="inlineStr">
        <is>
          <t xml:space="preserve">ed04</t>
        </is>
      </c>
      <c r="B38" s="227">
        <v>46190.0</v>
      </c>
      <c r="C38" s="268">
        <v>10.0</v>
      </c>
      <c r="D38" s="268">
        <v>2.2</v>
      </c>
      <c r="E38" s="262">
        <f>D38-D37</f>
        <v>1.0</v>
      </c>
      <c r="F38" s="268">
        <v>0.2</v>
      </c>
      <c r="G38" s="262">
        <f>E38/F38</f>
        <v>5.0</v>
      </c>
      <c r="H38" s="271"/>
      <c r="I38" s="271"/>
      <c r="J38" s="271"/>
      <c r="K38" s="271"/>
      <c r="L38" s="271"/>
    </row>
    <row r="39">
      <c r="A39" s="268" t="inlineStr">
        <is>
          <t xml:space="preserve">ed04</t>
        </is>
      </c>
      <c r="B39" s="227">
        <v>46190.0</v>
      </c>
      <c r="C39" s="268">
        <v>10.0</v>
      </c>
      <c r="D39" s="268">
        <v>3.0</v>
      </c>
      <c r="E39" s="199">
        <f>D39-D38</f>
        <v>0.8</v>
      </c>
      <c r="F39" s="268">
        <v>0.2</v>
      </c>
      <c r="G39" s="262">
        <f>E39/F39</f>
        <v>4.0</v>
      </c>
      <c r="H39" s="271"/>
      <c r="I39" s="271"/>
      <c r="J39" s="271"/>
      <c r="K39" s="271"/>
      <c r="L39" s="271"/>
    </row>
    <row r="40">
      <c r="A40" s="268" t="inlineStr">
        <is>
          <t xml:space="preserve">ed04</t>
        </is>
      </c>
      <c r="B40" s="227">
        <v>46190.0</v>
      </c>
      <c r="C40" s="268">
        <v>10.0</v>
      </c>
      <c r="D40" s="268">
        <v>0.0</v>
      </c>
      <c r="E40" s="271"/>
      <c r="F40" s="271"/>
      <c r="G40" s="271"/>
      <c r="H40" s="271"/>
      <c r="I40" s="271"/>
      <c r="J40" s="271"/>
      <c r="K40" s="271"/>
      <c r="L40" s="271"/>
    </row>
    <row r="41">
      <c r="A41" s="268" t="inlineStr">
        <is>
          <t xml:space="preserve">ed04</t>
        </is>
      </c>
      <c r="B41" s="227">
        <v>46190.0</v>
      </c>
      <c r="C41" s="268">
        <v>10.0</v>
      </c>
      <c r="D41" s="268">
        <v>0.4</v>
      </c>
      <c r="E41" s="199">
        <f>D41-D40</f>
        <v>0.4</v>
      </c>
      <c r="F41" s="268">
        <v>0.1</v>
      </c>
      <c r="G41" s="277">
        <f>E41/F41</f>
        <v>4.0</v>
      </c>
      <c r="H41" s="198">
        <f>AVERAGE(G41:G45)</f>
        <v>5.2</v>
      </c>
      <c r="I41" s="271"/>
      <c r="J41" s="271"/>
      <c r="K41" s="271"/>
      <c r="L41" s="271"/>
    </row>
    <row r="42">
      <c r="A42" s="268" t="inlineStr">
        <is>
          <t xml:space="preserve">ed04</t>
        </is>
      </c>
      <c r="B42" s="227">
        <v>46190.0</v>
      </c>
      <c r="C42" s="268">
        <v>10.0</v>
      </c>
      <c r="D42" s="268">
        <v>0.8</v>
      </c>
      <c r="E42" s="199">
        <f>D42-D41</f>
        <v>0.4</v>
      </c>
      <c r="F42" s="268">
        <v>0.1</v>
      </c>
      <c r="G42" s="277">
        <f>E42/F42</f>
        <v>4.0</v>
      </c>
      <c r="H42" s="271"/>
      <c r="I42" s="271"/>
      <c r="J42" s="271"/>
      <c r="K42" s="271"/>
      <c r="L42" s="271"/>
    </row>
    <row r="43">
      <c r="A43" s="268" t="inlineStr">
        <is>
          <t xml:space="preserve">ed04</t>
        </is>
      </c>
      <c r="B43" s="227">
        <v>46190.0</v>
      </c>
      <c r="C43" s="268">
        <v>10.0</v>
      </c>
      <c r="D43" s="268">
        <v>1.4</v>
      </c>
      <c r="E43" s="199">
        <f>D43-D42</f>
        <v>0.6</v>
      </c>
      <c r="F43" s="268">
        <v>0.1</v>
      </c>
      <c r="G43" s="262">
        <f>E43/F43</f>
        <v>6.0</v>
      </c>
      <c r="H43" s="271"/>
      <c r="I43" s="271"/>
      <c r="J43" s="271"/>
      <c r="K43" s="271"/>
      <c r="L43" s="271"/>
    </row>
    <row r="44">
      <c r="A44" s="268" t="inlineStr">
        <is>
          <t xml:space="preserve">ed04</t>
        </is>
      </c>
      <c r="B44" s="227">
        <v>46190.0</v>
      </c>
      <c r="C44" s="268">
        <v>10.0</v>
      </c>
      <c r="D44" s="268">
        <v>2.0</v>
      </c>
      <c r="E44" s="199">
        <f>D44-D43</f>
        <v>0.6</v>
      </c>
      <c r="F44" s="268">
        <v>0.1</v>
      </c>
      <c r="G44" s="262">
        <f>E44/F44</f>
        <v>6.0</v>
      </c>
      <c r="H44" s="271"/>
      <c r="I44" s="271"/>
      <c r="J44" s="271"/>
      <c r="K44" s="271"/>
      <c r="L44" s="271"/>
    </row>
    <row r="45">
      <c r="A45" s="268" t="inlineStr">
        <is>
          <t xml:space="preserve">ed04</t>
        </is>
      </c>
      <c r="B45" s="227">
        <v>46190.0</v>
      </c>
      <c r="C45" s="268">
        <v>10.0</v>
      </c>
      <c r="D45" s="268">
        <v>2.6</v>
      </c>
      <c r="E45" s="199">
        <f>D45-D44</f>
        <v>0.6</v>
      </c>
      <c r="F45" s="268">
        <v>0.1</v>
      </c>
      <c r="G45" s="262">
        <f>E45/F45</f>
        <v>6.0</v>
      </c>
      <c r="H45" s="271"/>
      <c r="I45" s="271"/>
      <c r="J45" s="271"/>
      <c r="K45" s="271"/>
      <c r="L45" s="271"/>
    </row>
    <row r="46">
      <c r="A46" s="268" t="inlineStr">
        <is>
          <t xml:space="preserve">ed04</t>
        </is>
      </c>
      <c r="B46" s="227">
        <v>46190.0</v>
      </c>
      <c r="C46" s="268">
        <v>10.0</v>
      </c>
      <c r="D46" s="268">
        <v>2.8</v>
      </c>
      <c r="E46" s="199">
        <f>D46-D45</f>
        <v>0.2</v>
      </c>
      <c r="F46" s="268">
        <v>0.1</v>
      </c>
      <c r="G46" s="262">
        <f>E46/F46</f>
        <v>2.0</v>
      </c>
      <c r="H46" s="271"/>
      <c r="I46" s="271"/>
      <c r="J46" s="271"/>
      <c r="K46" s="271"/>
      <c r="L46" s="268">
        <v>1.0</v>
      </c>
    </row>
  </sheetData>
  <conditionalFormatting sqref="G4:G2000">
    <cfRule type="expression" dxfId="48" priority="1" stopIfTrue="1">
      <formula>$L4=1</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sheetPr/>
  <dimension ref="A1:N142"/>
  <sheetViews>
    <sheetView workbookViewId="0"/>
  </sheetViews>
  <sheetFormatPr defaultRowHeight="15"/>
  <cols>
    <col min="1" max="1" width="62" customWidth="1"/>
    <col min="2" max="2" width="22" customWidth="1"/>
    <col min="3" max="3" width="10" customWidth="1"/>
    <col min="4" max="4" width="20" customWidth="1"/>
    <col min="5" max="5" width="70" customWidth="1"/>
    <col min="6" max="6" width="14" customWidth="1"/>
  </cols>
  <sheetData>
    <row r="1">
      <c r="A1" s="263" t="inlineStr">
        <is>
          <t xml:space="preserve">CALIBRATIONS</t>
        </is>
      </c>
      <c r="B1" s="263"/>
      <c r="C1" s="263"/>
      <c r="D1" s="263"/>
      <c r="E1" s="263"/>
      <c r="F1" s="263"/>
      <c r="G1" s="263"/>
      <c r="H1" s="263"/>
      <c r="I1" s="263"/>
      <c r="J1" s="263"/>
      <c r="K1" s="263"/>
      <c r="L1" s="263"/>
      <c r="M1" s="263"/>
      <c r="N1" s="263"/>
    </row>
    <row r="2">
      <c r="A2" s="269" t="inlineStr">
        <is>
          <t xml:space="preserve">On each log sheet, type one row per run: Researcher, Date, the key (Reactor or Organism) and the raw measurements, in blue. Black cells are computed. Set Include? to y for the runs the model should use.</t>
        </is>
      </c>
    </row>
    <row r="3">
      <c r="A3" s="269" t="inlineStr">
        <is>
          <t xml:space="preserve">The value in use for each calibration follows the rule stated under its heading. If no rows are included yet, the model falls back to its built-in default.</t>
        </is>
      </c>
    </row>
    <row r="4">
      <c r="A4" s="269" t="inlineStr">
        <is>
          <t xml:space="preserve">Each calibration log is an Excel Table on its own sheet (grey tabs): click a heading below to open it. Type a run in the first empty row under a table and it is picked up; the values in use below follow.</t>
        </is>
      </c>
    </row>
    <row r="6">
      <c r="A6" s="228" t="str">
        <f>HYPERLINK("#'Cal current'!A1","ELECTROLYSIS CURRENT  →  log on the Cal current sheet")</f>
        <v>ELECTROLYSIS CURRENT  →  log on the Cal current sheet</v>
      </c>
      <c r="B6" s="278"/>
      <c r="C6" s="278"/>
      <c r="D6" s="278"/>
      <c r="E6" s="278"/>
      <c r="F6" s="278"/>
    </row>
    <row r="7">
      <c r="A7" s="269" t="inlineStr">
        <is>
          <t xml:space="preserve">Value in use: one least-squares fit of current against intensity over every included point for the active reactor (pooled, so a run with more points weighs more).</t>
        </is>
      </c>
    </row>
    <row r="8">
      <c r="A8" s="265" t="inlineStr">
        <is>
          <t xml:space="preserve">Value in use - slope</t>
        </is>
      </c>
      <c r="B8" s="266" t="inlineStr">
        <is>
          <t xml:space="preserve">cal_gerrit_slope</t>
        </is>
      </c>
      <c r="C8" s="265" t="inlineStr">
        <is>
          <t xml:space="preserve">mA/%</t>
        </is>
      </c>
      <c r="D8" s="201" t="str">
        <f>IFERROR((COUNTIFS(CalCurrent[Reactor],Reactor_sel,CalCurrent[Include?],"y")*SUMPRODUCT((CalCurrent[Reactor]=Reactor_sel)*(CalCurrent[Include?]="y")*CalCurrent[Intensity (%)]*CalCurrent[Current (mA)])-SUMIFS(CalCurrent[Intensity (%)],CalCurrent[Reactor],Reactor_sel,CalCurrent[Include?],"y")*SUMIFS(CalCurrent[Current (mA)],CalCurrent[Reactor],Reactor_sel,CalCurrent[Include?],"y"))/(COUNTIFS(CalCurrent[Reactor],Reactor_sel,CalCurrent[Include?],"y")*SUMPRODUCT((CalCurrent[Reactor]=Reactor_sel)*(CalCurrent[Include?]="y")*CalCurrent[Intensity (%)]*CalCurrent[Intensity (%)])-SUMIFS(CalCurrent[Intensity (%)],CalCurrent[Reactor],Reactor_sel,CalCurrent[Include?],"y")*SUMIFS(CalCurrent[Intensity (%)],CalCurrent[Reactor],Reactor_sel,CalCurrent[Include?],"y")),"no included runs — model uses its default")</f>
        <v>no included runs — model uses its default</v>
      </c>
    </row>
    <row r="9">
      <c r="A9" s="265" t="inlineStr">
        <is>
          <t xml:space="preserve">Value in use - intercept</t>
        </is>
      </c>
      <c r="B9" s="266" t="inlineStr">
        <is>
          <t xml:space="preserve">cal_gerrit_int</t>
        </is>
      </c>
      <c r="C9" s="265" t="inlineStr">
        <is>
          <t xml:space="preserve">mA</t>
        </is>
      </c>
      <c r="D9" s="201" t="str">
        <f>IFERROR((SUMIFS(CalCurrent[Current (mA)],CalCurrent[Reactor],Reactor_sel,CalCurrent[Include?],"y")-((COUNTIFS(CalCurrent[Reactor],Reactor_sel,CalCurrent[Include?],"y")*SUMPRODUCT((CalCurrent[Reactor]=Reactor_sel)*(CalCurrent[Include?]="y")*CalCurrent[Intensity (%)]*CalCurrent[Current (mA)])-SUMIFS(CalCurrent[Intensity (%)],CalCurrent[Reactor],Reactor_sel,CalCurrent[Include?],"y")*SUMIFS(CalCurrent[Current (mA)],CalCurrent[Reactor],Reactor_sel,CalCurrent[Include?],"y"))/(COUNTIFS(CalCurrent[Reactor],Reactor_sel,CalCurrent[Include?],"y")*SUMPRODUCT((CalCurrent[Reactor]=Reactor_sel)*(CalCurrent[Include?]="y")*CalCurrent[Intensity (%)]*CalCurrent[Intensity (%)])-SUMIFS(CalCurrent[Intensity (%)],CalCurrent[Reactor],Reactor_sel,CalCurrent[Include?],"y")*SUMIFS(CalCurrent[Intensity (%)],CalCurrent[Reactor],Reactor_sel,CalCurrent[Include?],"y")))*SUMIFS(CalCurrent[Intensity (%)],CalCurrent[Reactor],Reactor_sel,CalCurrent[Include?],"y"))/COUNTIFS(CalCurrent[Reactor],Reactor_sel,CalCurrent[Include?],"y"),"no included runs — model uses its default")</f>
        <v>no included runs — model uses its default</v>
      </c>
    </row>
    <row r="11">
      <c r="A11" s="228" t="str">
        <f>HYPERLINK("#'Cal faradaic'!A1","FARADAIC EFFICIENCY  →  log on the Cal faradaic sheet")</f>
        <v>FARADAIC EFFICIENCY  →  log on the Cal faradaic sheet</v>
      </c>
      <c r="B11" s="278"/>
      <c r="C11" s="278"/>
      <c r="D11" s="278"/>
      <c r="E11" s="278"/>
      <c r="F11" s="278"/>
    </row>
    <row r="12">
      <c r="A12" s="269" t="inlineStr">
        <is>
          <t xml:space="preserve">Value in use: average of the included runs for the active reactor, taken separately for the H2 (cathode) and O2 (anode) electrodes. The gas volume is corrected for saturated water vapour at the temperature you record, per protocols/faradaic-efficiency.md.</t>
        </is>
      </c>
    </row>
    <row r="13">
      <c r="A13" s="265" t="inlineStr">
        <is>
          <t xml:space="preserve">Value in use - cathode (H2)</t>
        </is>
      </c>
      <c r="B13" s="266" t="inlineStr">
        <is>
          <t xml:space="preserve">cal_etaF</t>
        </is>
      </c>
      <c r="C13" s="265" t="inlineStr">
        <is>
          <t xml:space="preserve">-</t>
        </is>
      </c>
      <c r="D13" s="201" t="str">
        <f>IFERROR(AVERAGEIFS(CalFaradaic[etaF (computed)],CalFaradaic[Reactor],Reactor_sel,CalFaradaic[Include?],"y",CalFaradaic[Gas (H2 or O2)],"H2"),"no included runs — model uses its default")</f>
        <v>no included runs — model uses its default</v>
      </c>
      <c r="E13" s="320"/>
      <c r="F13" s="320"/>
      <c r="G13" s="320"/>
      <c r="H13" s="320"/>
      <c r="I13" s="320"/>
      <c r="J13" s="320"/>
      <c r="K13" s="320"/>
      <c r="L13" s="320"/>
      <c r="M13" s="320"/>
    </row>
    <row r="14">
      <c r="A14" s="265" t="inlineStr">
        <is>
          <t xml:space="preserve">Value in use - anode (O2)</t>
        </is>
      </c>
      <c r="B14" s="266" t="inlineStr">
        <is>
          <t xml:space="preserve">cal_etaF_OER</t>
        </is>
      </c>
      <c r="C14" s="265" t="inlineStr">
        <is>
          <t xml:space="preserve">-</t>
        </is>
      </c>
      <c r="D14" s="201" t="str">
        <f>IFERROR(AVERAGEIFS(CalFaradaic[etaF (computed)],CalFaradaic[Reactor],Reactor_sel,CalFaradaic[Include?],"y",CalFaradaic[Gas (H2 or O2)],"O2"),"no included runs — model uses its default")</f>
        <v>no included runs — model uses its default</v>
      </c>
      <c r="E14" s="320"/>
      <c r="F14" s="320"/>
      <c r="G14" s="320"/>
      <c r="H14" s="320"/>
      <c r="I14" s="320"/>
      <c r="J14" s="320"/>
      <c r="K14" s="320"/>
      <c r="L14" s="320"/>
      <c r="M14" s="320"/>
    </row>
    <row r="16">
      <c r="A16" s="228" t="str">
        <f>HYPERLINK("#'Cal kLa'!A1","SURFACE kLa  →  log on the Cal kLa sheet")</f>
        <v>SURFACE kLa  →  log on the Cal kLa sheet</v>
      </c>
      <c r="B16" s="278"/>
      <c r="C16" s="278"/>
      <c r="D16" s="278"/>
      <c r="E16" s="278"/>
      <c r="F16" s="278"/>
    </row>
    <row r="17">
      <c r="A17" s="269" t="inlineStr">
        <is>
          <t xml:space="preserve">Value in use: average of the included kLa runs for the active reactor.</t>
        </is>
      </c>
      <c r="B17" s="320"/>
      <c r="C17" s="320"/>
      <c r="D17" s="320"/>
      <c r="E17" s="320"/>
      <c r="F17" s="320"/>
      <c r="G17" s="320"/>
      <c r="H17" s="320"/>
      <c r="I17" s="320"/>
      <c r="J17" s="320"/>
      <c r="K17" s="320"/>
      <c r="L17" s="320"/>
      <c r="M17" s="320"/>
    </row>
    <row r="18">
      <c r="A18" s="265" t="inlineStr">
        <is>
          <t xml:space="preserve">Value in use - kLa</t>
        </is>
      </c>
      <c r="B18" s="266" t="inlineStr">
        <is>
          <t xml:space="preserve">cal_kLa</t>
        </is>
      </c>
      <c r="C18" s="265" t="inlineStr">
        <is>
          <t xml:space="preserve">1/h</t>
        </is>
      </c>
      <c r="D18" s="201" t="str">
        <f>IFERROR(AVERAGEIFS(CalKLa[kLa (1/h)],CalKLa[Reactor],Reactor_sel,CalKLa[Include?],"y"),"no included runs — model uses its default")</f>
        <v>no included runs — model uses its default</v>
      </c>
      <c r="E18" s="320"/>
      <c r="F18" s="320"/>
      <c r="G18" s="320"/>
      <c r="H18" s="320"/>
      <c r="I18" s="320"/>
      <c r="J18" s="320"/>
      <c r="K18" s="320"/>
      <c r="L18" s="320"/>
      <c r="M18" s="320"/>
    </row>
    <row r="20">
      <c r="A20" s="228" t="str">
        <f>HYPERLINK("#'Cal CO2 flow'!A1","CO2 FLOW  →  log on the Cal CO2 flow sheet")</f>
        <v>CO2 FLOW  →  log on the Cal CO2 flow sheet</v>
      </c>
      <c r="B20" s="278"/>
      <c r="C20" s="278"/>
      <c r="D20" s="278"/>
      <c r="E20" s="278"/>
      <c r="F20" s="278"/>
    </row>
    <row r="21">
      <c r="A21" s="269" t="inlineStr">
        <is>
          <t xml:space="preserve">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is>
      </c>
      <c r="B21" s="320"/>
      <c r="C21" s="320"/>
      <c r="D21" s="320"/>
      <c r="E21" s="320"/>
      <c r="F21" s="320"/>
      <c r="G21" s="320"/>
      <c r="H21" s="320"/>
      <c r="I21" s="320"/>
      <c r="J21" s="320"/>
      <c r="K21" s="320"/>
      <c r="L21" s="320"/>
      <c r="M21" s="320"/>
    </row>
    <row r="22">
      <c r="A22" s="265" t="inlineStr">
        <is>
          <t xml:space="preserve">Value in use - flow rate</t>
        </is>
      </c>
      <c r="B22" s="266" t="inlineStr">
        <is>
          <t xml:space="preserve">cal_flow</t>
        </is>
      </c>
      <c r="C22" s="265" t="inlineStr">
        <is>
          <t xml:space="preserve">mL/s</t>
        </is>
      </c>
      <c r="D22" s="201" t="str">
        <f>IFERROR(AVERAGEIFS(CalFlow[Flow (computed, mL/s)],CalFlow[Reactor],Reactor_sel,CalFlow[Include?],"y",CalFlow[Date],SUMPRODUCT(MAX((CalFlow[Reactor]=Reactor_sel)*(CalFlow[Include?]="y")*CalFlow[Date]))),"no included runs — model uses its default")</f>
        <v>no included runs — model uses its default</v>
      </c>
      <c r="E22" s="320"/>
      <c r="F22" s="320"/>
      <c r="G22" s="320"/>
      <c r="H22" s="320"/>
      <c r="I22" s="320"/>
      <c r="J22" s="320"/>
      <c r="K22" s="320"/>
      <c r="L22" s="320"/>
      <c r="M22" s="320"/>
    </row>
    <row r="23">
      <c r="A23" s="265" t="inlineStr">
        <is>
          <t xml:space="preserve">Value in use - minimum reliable pulse</t>
        </is>
      </c>
      <c r="B23" s="266" t="inlineStr">
        <is>
          <t xml:space="preserve">cal_pulse_floor</t>
        </is>
      </c>
      <c r="C23" s="265" t="inlineStr">
        <is>
          <t xml:space="preserve">s</t>
        </is>
      </c>
      <c r="D23" s="201" t="str">
        <f>IFERROR(AVERAGEIFS(CalFlow[Min pulse (s)],CalFlow[Reactor],Reactor_sel,CalFlow[Include?],"y",CalFlow[Min pulse (s)],"&gt;0",CalFlow[Date],SUMPRODUCT(MAX((CalFlow[Reactor]=Reactor_sel)*(CalFlow[Include?]="y")*(CalFlow[Min pulse (s)]&gt;0)*CalFlow[Date]))),"no included runs — model uses its default")</f>
        <v>no included runs — model uses its default</v>
      </c>
      <c r="E23" s="320"/>
      <c r="F23" s="320"/>
      <c r="G23" s="320"/>
      <c r="H23" s="320"/>
      <c r="I23" s="320"/>
      <c r="J23" s="320"/>
      <c r="K23" s="320"/>
      <c r="L23" s="320"/>
      <c r="M23" s="320"/>
    </row>
    <row r="25">
      <c r="A25" s="228" t="str">
        <f>HYPERLINK("#'Cal vial'!A1","VIAL GEOMETRY  →  log on the Cal vial sheet")</f>
        <v>VIAL GEOMETRY  →  log on the Cal vial sheet</v>
      </c>
      <c r="B25" s="278"/>
      <c r="C25" s="278"/>
      <c r="D25" s="278"/>
      <c r="E25" s="278"/>
      <c r="F25" s="278"/>
    </row>
    <row r="26">
      <c r="A26" s="269" t="inlineStr">
        <is>
          <t xml:space="preserve">Value in use: average across included vials of the active reactor type (all vials of a type are nominally identical). Headspace and total volume feed the model; the volume-equivalent depth (D75) is reported for the geometry check only, because a tapered vial’s equivalent depth is not its physical depth.</t>
        </is>
      </c>
      <c r="B26" s="320"/>
      <c r="C26" s="320"/>
      <c r="D26" s="320"/>
      <c r="E26" s="320"/>
      <c r="F26" s="320"/>
      <c r="G26" s="320"/>
      <c r="H26" s="320"/>
      <c r="I26" s="320"/>
      <c r="J26" s="320"/>
      <c r="K26" s="320"/>
      <c r="L26" s="320"/>
      <c r="M26" s="320"/>
    </row>
    <row r="27">
      <c r="A27" s="265" t="inlineStr">
        <is>
          <t xml:space="preserve">Value in use - total vial volume</t>
        </is>
      </c>
      <c r="B27" s="266" t="inlineStr">
        <is>
          <t xml:space="preserve">cal_Vtot</t>
        </is>
      </c>
      <c r="C27" s="265" t="inlineStr">
        <is>
          <t xml:space="preserve">mL</t>
        </is>
      </c>
      <c r="D27" s="201" t="str">
        <f>IFERROR(AVERAGEIFS(CalVial[V total (computed, mL)],CalVial[Type (auto)],rx_ver,CalVial[Include?],"y"),"no included runs — model uses its default")</f>
        <v>no included runs — model uses its default</v>
      </c>
      <c r="E27" s="320"/>
      <c r="F27" s="320"/>
      <c r="G27" s="320"/>
      <c r="H27" s="320"/>
      <c r="I27" s="320"/>
      <c r="J27" s="320"/>
      <c r="K27" s="320"/>
      <c r="L27" s="320"/>
      <c r="M27" s="320"/>
    </row>
    <row r="28">
      <c r="A28" s="265" t="inlineStr">
        <is>
          <t xml:space="preserve">Value in use - volume-equivalent depth (body volume ÷ A_x; not the physical depth)</t>
        </is>
      </c>
      <c r="B28" s="266" t="inlineStr">
        <is>
          <t xml:space="preserve">cal_Dint</t>
        </is>
      </c>
      <c r="C28" s="265" t="inlineStr">
        <is>
          <t xml:space="preserve">mm</t>
        </is>
      </c>
      <c r="D28" s="201" t="str">
        <f>IFERROR(AVERAGEIFS(CalVial[Volume-equivalent depth (computed, mm)],CalVial[Type (auto)],rx_ver,CalVial[Include?],"y"),"no included runs — model uses its default")</f>
        <v>no included runs — model uses its default</v>
      </c>
      <c r="E28" s="320"/>
      <c r="F28" s="320"/>
      <c r="G28" s="320"/>
      <c r="H28" s="320"/>
      <c r="I28" s="320"/>
      <c r="J28" s="320"/>
      <c r="K28" s="320"/>
      <c r="L28" s="320"/>
      <c r="M28" s="320"/>
    </row>
    <row r="29">
      <c r="A29" s="265" t="inlineStr">
        <is>
          <t xml:space="preserve">Value in use - headspace at working fill</t>
        </is>
      </c>
      <c r="B29" s="266" t="inlineStr">
        <is>
          <t xml:space="preserve">cal_hs</t>
        </is>
      </c>
      <c r="C29" s="265" t="inlineStr">
        <is>
          <t xml:space="preserve">mL</t>
        </is>
      </c>
      <c r="D29" s="201" t="str">
        <f>IFERROR(AVERAGEIFS(CalVial[Headspace (computed, mL)],CalVial[Type (auto)],rx_ver,CalVial[Include?],"y"),"no included runs — model uses its default")</f>
        <v>no included runs — model uses its default</v>
      </c>
      <c r="E29" s="320"/>
      <c r="F29" s="320"/>
      <c r="G29" s="320"/>
      <c r="H29" s="320"/>
      <c r="I29" s="320"/>
      <c r="J29" s="320"/>
      <c r="K29" s="320"/>
      <c r="L29" s="320"/>
      <c r="M29" s="320"/>
    </row>
    <row r="30">
      <c r="A30" s="265" t="inlineStr">
        <is>
          <t xml:space="preserve">Value in use - working fill behind that headspace</t>
        </is>
      </c>
      <c r="B30" s="266" t="inlineStr">
        <is>
          <t xml:space="preserve">cal_hs_fill</t>
        </is>
      </c>
      <c r="C30" s="265" t="inlineStr">
        <is>
          <t xml:space="preserve">mL</t>
        </is>
      </c>
      <c r="D30" s="201" t="str">
        <f>IFERROR(AVERAGEIFS(CalVial[Working fill (computed, mL)],CalVial[Type (auto)],rx_ver,CalVial[Include?],"y"),"no included runs — model uses its default")</f>
        <v>no included runs — model uses its default</v>
      </c>
      <c r="E30" s="320"/>
      <c r="F30" s="320"/>
      <c r="G30" s="320"/>
      <c r="H30" s="320"/>
      <c r="I30" s="320"/>
      <c r="J30" s="320"/>
      <c r="K30" s="320"/>
      <c r="L30" s="320"/>
      <c r="M30" s="320"/>
    </row>
    <row r="32">
      <c r="A32" s="228" t="str">
        <f>HYPERLINK("#'Cal sinter'!A1","SINTER POROSITY  →  log on the Cal sinter sheet")</f>
        <v>SINTER POROSITY  →  log on the Cal sinter sheet</v>
      </c>
      <c r="B32" s="278"/>
      <c r="C32" s="278"/>
      <c r="D32" s="278"/>
      <c r="E32" s="278"/>
      <c r="F32" s="278"/>
    </row>
    <row r="33">
      <c r="A33" s="269" t="inlineStr">
        <is>
          <t xml:space="preserve">Value in use: the bubble points of the most recent included runs for the active reactor are averaged first (D90) and then graded once (D89), so conflicting runs never average into a fractional grade; a pore size outside the listed DURAN classes is reported and the model keeps its default.</t>
        </is>
      </c>
      <c r="B33" s="320"/>
      <c r="C33" s="320"/>
      <c r="D33" s="320"/>
      <c r="E33" s="320"/>
      <c r="F33" s="335"/>
      <c r="G33" s="320"/>
      <c r="H33" s="320"/>
      <c r="I33" s="320"/>
      <c r="J33" s="320"/>
      <c r="K33" s="320"/>
      <c r="L33" s="320"/>
      <c r="M33" s="320"/>
    </row>
    <row r="34">
      <c r="A34" s="265" t="inlineStr">
        <is>
          <t xml:space="preserve">Value in use - porosity grade</t>
        </is>
      </c>
      <c r="B34" s="266" t="inlineStr">
        <is>
          <t xml:space="preserve">cal_sinter</t>
        </is>
      </c>
      <c r="C34" s="265" t="inlineStr">
        <is>
          <t xml:space="preserve">0-5</t>
        </is>
      </c>
      <c r="D34" s="201" t="str">
        <f>IF(NOT(ISNUMBER(cal_bp)),"no included runs — model uses its default",IF((bp_const/cal_bp)&gt;por_p0_hi,"above P0 – not a listed grade; model uses its default",IF((bp_const/cal_bp)&gt;por_break_1,0,IF((bp_const/cal_bp)&gt;por_break_2,1,IF((bp_const/cal_bp)&gt;por_break_3,2,IF((bp_const/cal_bp)&gt;por_break_4,3,IF((bp_const/cal_bp)&gt;=por_break_5,4,IF(AND((bp_const/cal_bp)&gt;=por_p5_lo,(bp_const/cal_bp)&lt;=por_p5_hi),5,"between or below the listed grades; model uses its default"))))))))</f>
        <v>no included runs — model uses its default</v>
      </c>
      <c r="E34" s="320"/>
      <c r="F34" s="320"/>
      <c r="G34" s="320"/>
      <c r="H34" s="320"/>
      <c r="I34" s="320"/>
      <c r="J34" s="320"/>
      <c r="K34" s="320"/>
      <c r="L34" s="320"/>
      <c r="M34" s="320"/>
    </row>
    <row r="35">
      <c r="A35" s="265" t="inlineStr">
        <is>
          <t xml:space="preserve">Value in use - bubble point (mean of the latest included runs)</t>
        </is>
      </c>
      <c r="B35" s="266" t="inlineStr">
        <is>
          <t xml:space="preserve">cal_bp</t>
        </is>
      </c>
      <c r="C35" s="265" t="inlineStr">
        <is>
          <t xml:space="preserve">kPa</t>
        </is>
      </c>
      <c r="D35" s="201" t="str">
        <f>IFERROR(AVERAGEIFS(CalSinter[Bubble point (kPa)],CalSinter[Reactor],Reactor_sel,CalSinter[Include?],"y",CalSinter[Date],SUMPRODUCT(MAX((CalSinter[Reactor]=Reactor_sel)*(CalSinter[Include?]="y")*CalSinter[Date]))),"no included runs — model uses its default")</f>
        <v>no included runs — model uses its default</v>
      </c>
      <c r="E35" s="320"/>
      <c r="F35" s="320"/>
      <c r="G35" s="320"/>
      <c r="H35" s="320"/>
      <c r="I35" s="320"/>
      <c r="J35" s="320"/>
      <c r="K35" s="320"/>
      <c r="L35" s="320"/>
      <c r="M35" s="320"/>
    </row>
    <row r="37">
      <c r="A37" s="228" t="str">
        <f>HYPERLINK("#'Cal DO'!A1","DISSOLVED-OXYGEN THRESHOLDS  →  log on the Cal DO sheet")</f>
        <v>DISSOLVED-OXYGEN THRESHOLDS  →  log on the Cal DO sheet</v>
      </c>
      <c r="B37" s="278"/>
      <c r="C37" s="278"/>
      <c r="D37" s="278"/>
      <c r="E37" s="278"/>
      <c r="F37" s="278"/>
    </row>
    <row r="38">
      <c r="A38" s="269" t="inlineStr">
        <is>
          <t xml:space="preserve">Value in use: average of the included values for the active organism.</t>
        </is>
      </c>
      <c r="B38" s="320"/>
      <c r="C38" s="320"/>
      <c r="D38" s="320"/>
      <c r="E38" s="320"/>
      <c r="F38" s="320"/>
      <c r="G38" s="320"/>
      <c r="H38" s="320"/>
      <c r="I38" s="320"/>
      <c r="J38" s="320"/>
      <c r="K38" s="320"/>
      <c r="L38" s="320"/>
      <c r="M38" s="320"/>
    </row>
    <row r="39">
      <c r="A39" s="265" t="inlineStr">
        <is>
          <t xml:space="preserve">Value in use - minimum DO</t>
        </is>
      </c>
      <c r="B39" s="266" t="inlineStr">
        <is>
          <t xml:space="preserve">cal_DO_min</t>
        </is>
      </c>
      <c r="C39" s="265" t="inlineStr">
        <is>
          <t xml:space="preserve">mg/L</t>
        </is>
      </c>
      <c r="D39" s="201" t="str">
        <f>IFERROR(AVERAGEIFS(CalDO[Min DO (mg/L)],CalDO[Organism],organism_sel,CalDO[Include?],"y"),"no included runs — model uses its default")</f>
        <v>no included runs — model uses its default</v>
      </c>
      <c r="E39" s="320"/>
      <c r="F39" s="320"/>
      <c r="G39" s="320"/>
      <c r="H39" s="320"/>
      <c r="I39" s="320"/>
      <c r="J39" s="320"/>
      <c r="K39" s="320"/>
      <c r="L39" s="320"/>
      <c r="M39" s="320"/>
    </row>
    <row r="40">
      <c r="A40" s="265" t="inlineStr">
        <is>
          <t xml:space="preserve">Value in use - optimum DO</t>
        </is>
      </c>
      <c r="B40" s="266" t="inlineStr">
        <is>
          <t xml:space="preserve">cal_DO_opt</t>
        </is>
      </c>
      <c r="C40" s="265" t="inlineStr">
        <is>
          <t xml:space="preserve">mg/L</t>
        </is>
      </c>
      <c r="D40" s="201" t="str">
        <f>IFERROR(AVERAGEIFS(CalDO[Optimum DO (mg/L)],CalDO[Organism],organism_sel,CalDO[Include?],"y"),"no included runs — model uses its default")</f>
        <v>no included runs — model uses its default</v>
      </c>
      <c r="E40" s="320"/>
      <c r="F40" s="320"/>
      <c r="G40" s="320"/>
      <c r="H40" s="320"/>
      <c r="I40" s="320"/>
      <c r="J40" s="320"/>
      <c r="K40" s="320"/>
      <c r="L40" s="320"/>
      <c r="M40" s="320"/>
    </row>
    <row r="41">
      <c r="A41" s="265" t="inlineStr">
        <is>
          <t xml:space="preserve">Value in use - impairment DO</t>
        </is>
      </c>
      <c r="B41" s="266" t="inlineStr">
        <is>
          <t xml:space="preserve">cal_DO_impair</t>
        </is>
      </c>
      <c r="C41" s="265" t="inlineStr">
        <is>
          <t xml:space="preserve">mg/L</t>
        </is>
      </c>
      <c r="D41" s="201" t="str">
        <f>IFERROR(AVERAGEIFS(CalDO[Impairment DO (mg/L)],CalDO[Organism],organism_sel,CalDO[Include?],"y"),"no included runs — model uses its default")</f>
        <v>no included runs — model uses its default</v>
      </c>
      <c r="E41" s="320"/>
      <c r="F41" s="320"/>
      <c r="G41" s="320"/>
      <c r="H41" s="320"/>
      <c r="I41" s="320"/>
      <c r="J41" s="320"/>
      <c r="K41" s="320"/>
      <c r="L41" s="320"/>
      <c r="M41" s="320"/>
    </row>
    <row r="42">
      <c r="A42" s="265" t="inlineStr">
        <is>
          <t xml:space="preserve">Value in use - toxic DO</t>
        </is>
      </c>
      <c r="B42" s="266" t="inlineStr">
        <is>
          <t xml:space="preserve">cal_DO_toxic</t>
        </is>
      </c>
      <c r="C42" s="265" t="inlineStr">
        <is>
          <t xml:space="preserve">mg/L</t>
        </is>
      </c>
      <c r="D42" s="201" t="str">
        <f>IFERROR(AVERAGEIFS(CalDO[Toxic DO (mg/L)],CalDO[Organism],organism_sel,CalDO[Include?],"y"),"no included runs — model uses its default")</f>
        <v>no included runs — model uses its default</v>
      </c>
      <c r="E42" s="320"/>
      <c r="F42" s="320"/>
      <c r="G42" s="320"/>
      <c r="H42" s="320"/>
      <c r="I42" s="320"/>
      <c r="J42" s="320"/>
      <c r="K42" s="320"/>
      <c r="L42" s="320"/>
      <c r="M42" s="320"/>
    </row>
    <row r="44">
      <c r="A44" s="228" t="str">
        <f>HYPERLINK("#'Cal knallgas'!A1","KNALLGAS UPTAKE RATIO  →  log on the Cal knallgas sheet")</f>
        <v>KNALLGAS UPTAKE RATIO  →  log on the Cal knallgas sheet</v>
      </c>
      <c r="B44" s="278"/>
      <c r="C44" s="278"/>
      <c r="D44" s="278"/>
      <c r="E44" s="278"/>
      <c r="F44" s="278"/>
    </row>
    <row r="45">
      <c r="A45" s="269" t="inlineStr">
        <is>
          <t xml:space="preserve">Value in use: each included run is reduced to O₂ per H₂ and CO₂ per H₂ (columns I–J), the ratios are averaged over the included runs for the active organism, and the model takes them on an H₂ basis of knall_H2_basis (D199), so a run’s size does not weight the result.</t>
        </is>
      </c>
      <c r="B45" s="320"/>
      <c r="C45" s="320"/>
      <c r="D45" s="320"/>
      <c r="E45" s="320"/>
      <c r="F45" s="320"/>
      <c r="G45" s="320"/>
      <c r="H45" s="320"/>
      <c r="I45" s="320"/>
      <c r="J45" s="320"/>
      <c r="K45" s="320"/>
      <c r="L45" s="320"/>
      <c r="M45" s="320"/>
    </row>
    <row r="46">
      <c r="A46" s="265" t="inlineStr">
        <is>
          <t xml:space="preserve">Value in use - H2</t>
        </is>
      </c>
      <c r="B46" s="266" t="inlineStr">
        <is>
          <t xml:space="preserve">cal_knall_H2</t>
        </is>
      </c>
      <c r="C46" s="265" t="inlineStr">
        <is>
          <t xml:space="preserve">parts</t>
        </is>
      </c>
      <c r="D46" s="201" t="str">
        <f>IF(AND(ISNUMBER(cal_knall_O2),ISNUMBER(cal_knall_CO2)),knall_H2_basis,"no included runs — model uses its default")</f>
        <v>no included runs — model uses its default</v>
      </c>
      <c r="E46" s="320"/>
      <c r="F46" s="320"/>
      <c r="G46" s="320"/>
      <c r="H46" s="320"/>
      <c r="I46" s="320"/>
      <c r="J46" s="320"/>
      <c r="K46" s="320"/>
      <c r="L46" s="320"/>
      <c r="M46" s="320"/>
    </row>
    <row r="47">
      <c r="A47" s="265" t="inlineStr">
        <is>
          <t xml:space="preserve">Value in use - O2</t>
        </is>
      </c>
      <c r="B47" s="266" t="inlineStr">
        <is>
          <t xml:space="preserve">cal_knall_O2</t>
        </is>
      </c>
      <c r="C47" s="265" t="inlineStr">
        <is>
          <t xml:space="preserve">parts</t>
        </is>
      </c>
      <c r="D47" s="201" t="str">
        <f>IFERROR(knall_H2_basis*AVERAGEIFS(CalKnallgas[O₂ per H₂ (computed)],CalKnallgas[Organism],organism_sel,CalKnallgas[Include?],"y"),"no included runs — model uses its default")</f>
        <v>no included runs — model uses its default</v>
      </c>
      <c r="E47" s="320"/>
      <c r="F47" s="320"/>
      <c r="G47" s="320"/>
      <c r="H47" s="320"/>
      <c r="I47" s="320"/>
      <c r="J47" s="320"/>
      <c r="K47" s="320"/>
      <c r="L47" s="320"/>
      <c r="M47" s="320"/>
    </row>
    <row r="48">
      <c r="A48" s="265" t="inlineStr">
        <is>
          <t xml:space="preserve">Value in use - CO2</t>
        </is>
      </c>
      <c r="B48" s="266" t="inlineStr">
        <is>
          <t xml:space="preserve">cal_knall_CO2</t>
        </is>
      </c>
      <c r="C48" s="265" t="inlineStr">
        <is>
          <t xml:space="preserve">parts</t>
        </is>
      </c>
      <c r="D48" s="201" t="str">
        <f>IFERROR(knall_H2_basis*AVERAGEIFS(CalKnallgas[CO₂ per H₂ (computed)],CalKnallgas[Organism],organism_sel,CalKnallgas[Include?],"y"),"no included runs — model uses its default")</f>
        <v>no included runs — model uses its default</v>
      </c>
      <c r="E48" s="320"/>
      <c r="F48" s="320"/>
      <c r="G48" s="320"/>
      <c r="H48" s="320"/>
      <c r="I48" s="320"/>
      <c r="J48" s="320"/>
      <c r="K48" s="320"/>
      <c r="L48" s="320"/>
      <c r="M48" s="320"/>
    </row>
    <row r="50">
      <c r="A50" s="228" t="str">
        <f>HYPERLINK("#'Cal j screen'!A1","CURRENT-DENSITY TOLERANCE  →  log on the Cal j screen sheet")</f>
        <v>CURRENT-DENSITY TOLERANCE  →  log on the Cal j screen sheet</v>
      </c>
      <c r="B50" s="278"/>
      <c r="C50" s="278"/>
      <c r="D50" s="278"/>
      <c r="E50" s="278"/>
      <c r="F50" s="278"/>
    </row>
    <row r="51">
      <c r="A51" s="269" t="inlineStr">
        <is>
          <t xml:space="preserve">Value in use: average of the included screen results for the active organism.</t>
        </is>
      </c>
      <c r="B51" s="320"/>
      <c r="C51" s="320"/>
      <c r="D51" s="320"/>
      <c r="E51" s="320"/>
      <c r="F51" s="320"/>
      <c r="G51" s="320"/>
      <c r="H51" s="320"/>
      <c r="I51" s="320"/>
      <c r="J51" s="320"/>
      <c r="K51" s="320"/>
      <c r="L51" s="320"/>
      <c r="M51" s="320"/>
    </row>
    <row r="52">
      <c r="A52" s="265" t="inlineStr">
        <is>
          <t xml:space="preserve">Value in use - optimum j</t>
        </is>
      </c>
      <c r="B52" s="266" t="inlineStr">
        <is>
          <t xml:space="preserve">cal_j_opt</t>
        </is>
      </c>
      <c r="C52" s="265" t="inlineStr">
        <is>
          <t xml:space="preserve">mA/cm²</t>
        </is>
      </c>
      <c r="D52" s="201" t="str">
        <f>IFERROR(AVERAGEIFS(CalJScreen[j optimum (mA/cm²)],CalJScreen[Organism],organism_sel,CalJScreen[Include?],"y"),"no included runs — model uses its default")</f>
        <v>no included runs — model uses its default</v>
      </c>
      <c r="E52" s="320"/>
      <c r="F52" s="320"/>
      <c r="G52" s="320"/>
      <c r="H52" s="320"/>
      <c r="I52" s="320"/>
      <c r="J52" s="320"/>
      <c r="K52" s="320"/>
      <c r="L52" s="320"/>
      <c r="M52" s="320"/>
    </row>
    <row r="53">
      <c r="A53" s="265" t="inlineStr">
        <is>
          <t xml:space="preserve">Value in use - ceiling j</t>
        </is>
      </c>
      <c r="B53" s="266" t="inlineStr">
        <is>
          <t xml:space="preserve">cal_j_ceiling</t>
        </is>
      </c>
      <c r="C53" s="265" t="inlineStr">
        <is>
          <t xml:space="preserve">mA/cm²</t>
        </is>
      </c>
      <c r="D53" s="201" t="str">
        <f>IFERROR(AVERAGEIFS(CalJScreen[j ceiling (mA/cm²)],CalJScreen[Organism],organism_sel,CalJScreen[Include?],"y"),"no included runs — model uses its default")</f>
        <v>no included runs — model uses its default</v>
      </c>
      <c r="E53" s="320"/>
      <c r="F53" s="320"/>
      <c r="G53" s="320"/>
      <c r="H53" s="320"/>
      <c r="I53" s="320"/>
      <c r="J53" s="320"/>
      <c r="K53" s="320"/>
      <c r="L53" s="320"/>
      <c r="M53" s="320"/>
    </row>
    <row r="55">
      <c r="A55" s="228" t="str">
        <f>HYPERLINK("#'Cal km'!A1","ELECTRODE MASS TRANSFER  →  log on the Cal km sheet")</f>
        <v>ELECTRODE MASS TRANSFER  →  log on the Cal km sheet</v>
      </c>
      <c r="B55" s="278"/>
      <c r="C55" s="278"/>
      <c r="D55" s="278"/>
      <c r="E55" s="278"/>
      <c r="F55" s="278"/>
    </row>
    <row r="56">
      <c r="A56" s="269" t="inlineStr">
        <is>
          <t xml:space="preserve">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is>
      </c>
    </row>
    <row r="57">
      <c r="A57" s="265" t="inlineStr">
        <is>
          <t xml:space="preserve">Value in use - k_m O₂</t>
        </is>
      </c>
      <c r="B57" s="266" t="inlineStr">
        <is>
          <t xml:space="preserve">cal_km_O2</t>
        </is>
      </c>
      <c r="C57" s="265" t="inlineStr">
        <is>
          <t xml:space="preserve">cm/s</t>
        </is>
      </c>
      <c r="D57" s="201" t="str">
        <f>IFERROR(AVERAGEIFS(CalKm[k_m O₂ (computed, cm/s)],CalKm[Reactor],Reactor_sel,CalKm[Electrode],electrode_sel,CalKm[Include?],"y",CalKm[Stir rate (rpm)],stir_rpm_set,CalKm[Temp (°C)],"&gt;="&amp;(temp_C-km_T_tol),CalKm[Temp (°C)],"&lt;="&amp;(temp_C+km_T_tol)),"no included runs — model uses its default")</f>
        <v>no included runs — model uses its default</v>
      </c>
    </row>
    <row r="59">
      <c r="A59" s="228" t="str">
        <f>HYPERLINK("#'Cal chloramine'!A1","MONOCHLORAMINE LIFETIME  →  log on the Cal chloramine sheet")</f>
        <v>MONOCHLORAMINE LIFETIME  →  log on the Cal chloramine sheet</v>
      </c>
      <c r="B59" s="278"/>
      <c r="C59" s="278"/>
      <c r="D59" s="278"/>
      <c r="E59" s="278"/>
      <c r="F59" s="278"/>
    </row>
    <row r="60">
      <c r="A60" s="269"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61">
      <c r="A61" s="265" t="inlineStr">
        <is>
          <t xml:space="preserve">Value in use - monochloramine lifetime</t>
        </is>
      </c>
      <c r="B61" s="266" t="inlineStr">
        <is>
          <t xml:space="preserve">cal_tau_NH2Cl</t>
        </is>
      </c>
      <c r="C61" s="265" t="inlineStr">
        <is>
          <t xml:space="preserve">h</t>
        </is>
      </c>
      <c r="D61" s="201" t="str">
        <f>IFERROR(AVERAGEIFS(CalChloramine[Lifetime (computed, h)],CalChloramine[Reactor],Reactor_sel,CalChloramine[Medium],media_sel,CalChloramine[Include?],"y"),"no included runs — model uses its default")</f>
        <v>no included runs — model uses its default</v>
      </c>
    </row>
    <row r="63">
      <c r="A63" s="278" t="inlineStr">
        <is>
          <t xml:space="preserve">NAMED CONSTANTS AND IMPORTS</t>
        </is>
      </c>
      <c r="B63" s="278"/>
      <c r="C63" s="278"/>
      <c r="D63" s="278"/>
      <c r="E63" s="278"/>
      <c r="F63" s="278"/>
      <c r="G63" s="278"/>
      <c r="H63" s="278"/>
      <c r="I63" s="278"/>
      <c r="J63" s="278"/>
      <c r="K63" s="278"/>
      <c r="L63" s="278"/>
      <c r="M63" s="278"/>
      <c r="N63" s="278"/>
    </row>
    <row r="64">
      <c r="A64" s="265" t="inlineStr">
        <is>
          <t xml:space="preserve">Bubble-point constant (water)</t>
        </is>
      </c>
      <c r="B64" s="266" t="inlineStr">
        <is>
          <t xml:space="preserve">bp_const</t>
        </is>
      </c>
      <c r="C64" s="265" t="inlineStr">
        <is>
          <t xml:space="preserve">µm·kPa</t>
        </is>
      </c>
      <c r="D64" s="268">
        <v>291.2</v>
      </c>
      <c r="E64" s="310" t="inlineStr">
        <is>
          <t xml:space="preserve">Bubble-point law d = 4σ/ΔP for water (σ = 72.8 mN/m, θ = 0): d in µm with ΔP in kPa.</t>
        </is>
      </c>
    </row>
    <row r="65">
      <c r="A65" s="265" t="inlineStr">
        <is>
          <t xml:space="preserve">Sinter grade boundary P0/P1</t>
        </is>
      </c>
      <c r="B65" s="266" t="inlineStr">
        <is>
          <t xml:space="preserve">por_break_1</t>
        </is>
      </c>
      <c r="C65" s="265" t="inlineStr">
        <is>
          <t xml:space="preserve">µm</t>
        </is>
      </c>
      <c r="D65" s="268">
        <v>160.0</v>
      </c>
      <c r="E65" s="310" t="inlineStr">
        <is>
          <t xml:space="preserve">ISO 4793 / DURAN pore-size grade boundary between P0 and P1 (Mass Transfer E33:E38).</t>
        </is>
      </c>
    </row>
    <row r="66">
      <c r="A66" s="265" t="inlineStr">
        <is>
          <t xml:space="preserve">Sinter grade boundary P1/P2</t>
        </is>
      </c>
      <c r="B66" s="266" t="inlineStr">
        <is>
          <t xml:space="preserve">por_break_2</t>
        </is>
      </c>
      <c r="C66" s="265" t="inlineStr">
        <is>
          <t xml:space="preserve">µm</t>
        </is>
      </c>
      <c r="D66" s="268">
        <v>100.0</v>
      </c>
      <c r="E66" s="310" t="inlineStr">
        <is>
          <t xml:space="preserve">ISO 4793 / DURAN pore-size grade boundary between P1 and P2 (Mass Transfer E33:E38).</t>
        </is>
      </c>
    </row>
    <row r="67">
      <c r="A67" s="265" t="inlineStr">
        <is>
          <t xml:space="preserve">Sinter grade boundary P2/P3</t>
        </is>
      </c>
      <c r="B67" s="266" t="inlineStr">
        <is>
          <t xml:space="preserve">por_break_3</t>
        </is>
      </c>
      <c r="C67" s="265" t="inlineStr">
        <is>
          <t xml:space="preserve">µm</t>
        </is>
      </c>
      <c r="D67" s="268">
        <v>40.0</v>
      </c>
      <c r="E67" s="310" t="inlineStr">
        <is>
          <t xml:space="preserve">ISO 4793 / DURAN pore-size grade boundary between P2 and P3 (Mass Transfer E33:E38).</t>
        </is>
      </c>
    </row>
    <row r="68">
      <c r="A68" s="265" t="inlineStr">
        <is>
          <t xml:space="preserve">Sinter grade boundary P3/P4</t>
        </is>
      </c>
      <c r="B68" s="266" t="inlineStr">
        <is>
          <t xml:space="preserve">por_break_4</t>
        </is>
      </c>
      <c r="C68" s="265" t="inlineStr">
        <is>
          <t xml:space="preserve">µm</t>
        </is>
      </c>
      <c r="D68" s="268">
        <v>16.0</v>
      </c>
      <c r="E68" s="310" t="inlineStr">
        <is>
          <t xml:space="preserve">ISO 4793 / DURAN pore-size grade boundary between P3 and P4 (Mass Transfer E33:E38).</t>
        </is>
      </c>
    </row>
    <row r="69">
      <c r="A69" s="265" t="inlineStr">
        <is>
          <t xml:space="preserve">Sinter grade boundary P4/P5</t>
        </is>
      </c>
      <c r="B69" s="266" t="inlineStr">
        <is>
          <t xml:space="preserve">por_break_5</t>
        </is>
      </c>
      <c r="C69" s="265" t="inlineStr">
        <is>
          <t xml:space="preserve">µm</t>
        </is>
      </c>
      <c r="D69" s="268">
        <v>10.0</v>
      </c>
      <c r="E69" s="310" t="inlineStr">
        <is>
          <t xml:space="preserve">ISO 4793 / DURAN pore-size grade boundary between P4 and P5 (Mass Transfer E33:E38).</t>
        </is>
      </c>
    </row>
    <row r="70">
      <c r="A70" s="265" t="inlineStr">
        <is>
          <t xml:space="preserve">(import) Electrons per H₂</t>
        </is>
      </c>
      <c r="B70" s="266" t="inlineStr">
        <is>
          <t xml:space="preserve">z_e_H2</t>
        </is>
      </c>
      <c r="C70" s="265" t="inlineStr">
        <is>
          <t xml:space="preserve">-</t>
        </is>
      </c>
      <c r="D70" s="277">
        <f>Electrochemistry!z_e_H2</f>
        <v>2.0</v>
      </c>
      <c r="E70" s="310" t="inlineStr">
        <is>
          <t xml:space="preserve">Import from Electrochemistry!D16</t>
        </is>
      </c>
    </row>
    <row r="71">
      <c r="A71" s="265" t="inlineStr">
        <is>
          <t xml:space="preserve">(import) Electrons per O₂</t>
        </is>
      </c>
      <c r="B71" s="266" t="inlineStr">
        <is>
          <t xml:space="preserve">z_e_O2</t>
        </is>
      </c>
      <c r="C71" s="265" t="inlineStr">
        <is>
          <t xml:space="preserve">-</t>
        </is>
      </c>
      <c r="D71" s="277">
        <f>Electrochemistry!z_e_O2</f>
        <v>4.0</v>
      </c>
      <c r="E71" s="310" t="inlineStr">
        <is>
          <t xml:space="preserve">Import from Electrochemistry!D17</t>
        </is>
      </c>
    </row>
    <row r="72">
      <c r="A72" s="265" t="inlineStr">
        <is>
          <t xml:space="preserve">(import) Celsius-to-kelvin offset</t>
        </is>
      </c>
      <c r="B72" s="266" t="inlineStr">
        <is>
          <t xml:space="preserve">T_zero_C</t>
        </is>
      </c>
      <c r="C72" s="265" t="inlineStr">
        <is>
          <t xml:space="preserve">K</t>
        </is>
      </c>
      <c r="D72" s="196">
        <f>Biology!T_zero_C</f>
        <v>273.15</v>
      </c>
      <c r="E72" s="310" t="inlineStr">
        <is>
          <t xml:space="preserve">Import from Biology!D66</t>
        </is>
      </c>
    </row>
    <row r="73">
      <c r="A73" s="265" t="inlineStr">
        <is>
          <t xml:space="preserve">(import) Magnus coefficient A</t>
        </is>
      </c>
      <c r="B73" s="266" t="inlineStr">
        <is>
          <t xml:space="preserve">pw_A</t>
        </is>
      </c>
      <c r="C73" s="265" t="inlineStr">
        <is>
          <t xml:space="preserve">Pa</t>
        </is>
      </c>
      <c r="D73" s="196">
        <f>'Mass Transfer'!pw_A</f>
        <v>610.94</v>
      </c>
      <c r="E73" s="310" t="inlineStr">
        <is>
          <t xml:space="preserve">Import from Mass Transfer!D203 (pw_A; Magnus–Tetens, T in °C)</t>
        </is>
      </c>
    </row>
    <row r="74">
      <c r="A74" s="265" t="inlineStr">
        <is>
          <t xml:space="preserve">(import) Magnus coefficient B</t>
        </is>
      </c>
      <c r="B74" s="266" t="inlineStr">
        <is>
          <t xml:space="preserve">pw_B</t>
        </is>
      </c>
      <c r="C74" s="265" t="inlineStr">
        <is>
          <t xml:space="preserve">-</t>
        </is>
      </c>
      <c r="D74" s="212">
        <f>'Mass Transfer'!pw_B</f>
        <v>17.625</v>
      </c>
      <c r="E74" s="310" t="inlineStr">
        <is>
          <t xml:space="preserve">Import from Mass Transfer!D204 (pw_B; Magnus–Tetens, T in °C)</t>
        </is>
      </c>
    </row>
    <row r="75">
      <c r="A75" s="265" t="inlineStr">
        <is>
          <t xml:space="preserve">(import) Magnus coefficient C</t>
        </is>
      </c>
      <c r="B75" s="266" t="inlineStr">
        <is>
          <t xml:space="preserve">pw_C</t>
        </is>
      </c>
      <c r="C75" s="265" t="inlineStr">
        <is>
          <t xml:space="preserve">°C</t>
        </is>
      </c>
      <c r="D75" s="196">
        <f>'Mass Transfer'!pw_C</f>
        <v>243.04</v>
      </c>
      <c r="E75" s="310" t="inlineStr">
        <is>
          <t xml:space="preserve">Import from Mass Transfer!D205 (pw_C; Magnus–Tetens, T in °C)</t>
        </is>
      </c>
    </row>
    <row r="79">
      <c r="A79" s="265" t="inlineStr">
        <is>
          <t xml:space="preserve">(import) Liquid density intercept</t>
        </is>
      </c>
      <c r="B79" s="266" t="inlineStr">
        <is>
          <t xml:space="preserve">ca_rho_0</t>
        </is>
      </c>
      <c r="C79" s="265" t="inlineStr">
        <is>
          <t xml:space="preserve">kg/m³</t>
        </is>
      </c>
      <c r="D79" s="222">
        <f>'Mass Transfer'!rho_0</f>
        <v>1003.33</v>
      </c>
      <c r="E79" s="310" t="inlineStr">
        <is>
          <t xml:space="preserve">Import from Mass Transfer!D169 (rho_0; density law ρ = ρ₀ + k·T[°C])</t>
        </is>
      </c>
    </row>
    <row r="80">
      <c r="A80" s="265" t="inlineStr">
        <is>
          <t xml:space="preserve">(import) Liquid density slope</t>
        </is>
      </c>
      <c r="B80" s="266" t="inlineStr">
        <is>
          <t xml:space="preserve">ca_rho_k</t>
        </is>
      </c>
      <c r="C80" s="265" t="inlineStr">
        <is>
          <t xml:space="preserve">kg/m³/K</t>
        </is>
      </c>
      <c r="D80" s="199">
        <f>'Mass Transfer'!rho_k</f>
        <v>-0.2556</v>
      </c>
      <c r="E80" s="310" t="inlineStr">
        <is>
          <t xml:space="preserve">Import from Mass Transfer!D170 (rho_k)</t>
        </is>
      </c>
    </row>
    <row r="81">
      <c r="A81" s="265" t="inlineStr">
        <is>
          <t xml:space="preserve">(import) Reactor selected on Summary</t>
        </is>
      </c>
      <c r="B81" s="266" t="inlineStr">
        <is>
          <t xml:space="preserve">Reactor_sel</t>
        </is>
      </c>
      <c r="C81" s="265" t="inlineStr">
        <is>
          <t xml:space="preserve">-</t>
        </is>
      </c>
      <c r="D81" s="277" t="str">
        <f>Summary!Reactor_sel</f>
        <v>ed04</v>
      </c>
      <c r="E81" s="310" t="inlineStr">
        <is>
          <t xml:space="preserve">Import from Summary!D2 (Reactor_sel)</t>
        </is>
      </c>
    </row>
    <row r="82">
      <c r="A82" s="265" t="inlineStr">
        <is>
          <t xml:space="preserve">(import) Organism selected on Summary</t>
        </is>
      </c>
      <c r="B82" s="266" t="inlineStr">
        <is>
          <t xml:space="preserve">organism_sel</t>
        </is>
      </c>
      <c r="C82" s="265" t="inlineStr">
        <is>
          <t xml:space="preserve">-</t>
        </is>
      </c>
      <c r="D82" s="277" t="str">
        <f>Summary!organism_sel</f>
        <v>Xanthobacter tagetidis</v>
      </c>
      <c r="E82" s="310" t="inlineStr">
        <is>
          <t xml:space="preserve">Import from Summary!D4 (organism_sel)</t>
        </is>
      </c>
    </row>
    <row r="83">
      <c r="A83" s="265" t="inlineStr">
        <is>
          <t xml:space="preserve">(import) Reactor type (resolved from reactor)</t>
        </is>
      </c>
      <c r="B83" s="266" t="inlineStr">
        <is>
          <t xml:space="preserve">rx_ver</t>
        </is>
      </c>
      <c r="C83" s="265" t="inlineStr">
        <is>
          <t xml:space="preserve">-</t>
        </is>
      </c>
      <c r="D83" s="277" t="str">
        <f>Geometry!rx_ver</f>
        <v>MEP0.3</v>
      </c>
      <c r="E83" s="310" t="inlineStr">
        <is>
          <t xml:space="preserve">Import from Geometry!D51 (rx_ver)</t>
        </is>
      </c>
    </row>
    <row r="84">
      <c r="A84" s="265" t="inlineStr">
        <is>
          <t xml:space="preserve">(import) Internal cross-sectional area</t>
        </is>
      </c>
      <c r="B84" s="266" t="inlineStr">
        <is>
          <t xml:space="preserve">A_x</t>
        </is>
      </c>
      <c r="C84" s="265" t="inlineStr">
        <is>
          <t xml:space="preserve">mm²</t>
        </is>
      </c>
      <c r="D84" s="196">
        <f>Geometry!A_x</f>
        <v>501.93100162698</v>
      </c>
      <c r="E84" s="310" t="inlineStr">
        <is>
          <t xml:space="preserve">Import from Geometry!D21 (A_x)</t>
        </is>
      </c>
    </row>
    <row r="85">
      <c r="A85" s="265" t="inlineStr">
        <is>
          <t xml:space="preserve">(import) Molar gas constant</t>
        </is>
      </c>
      <c r="B85" s="266" t="inlineStr">
        <is>
          <t xml:space="preserve">R_gas</t>
        </is>
      </c>
      <c r="C85" s="265" t="inlineStr">
        <is>
          <t xml:space="preserve">J/mol/K</t>
        </is>
      </c>
      <c r="D85" s="198">
        <f>'Mass Transfer'!R_gas</f>
        <v>8.314462618</v>
      </c>
      <c r="E85" s="310" t="inlineStr">
        <is>
          <t xml:space="preserve">Import from Mass Transfer!D101 (R_gas)</t>
        </is>
      </c>
    </row>
    <row r="86">
      <c r="A86" s="265" t="inlineStr">
        <is>
          <t xml:space="preserve">(import) Faraday constant</t>
        </is>
      </c>
      <c r="B86" s="266" t="inlineStr">
        <is>
          <t xml:space="preserve">F_const</t>
        </is>
      </c>
      <c r="C86" s="265" t="inlineStr">
        <is>
          <t xml:space="preserve">C/mol</t>
        </is>
      </c>
      <c r="D86" s="222">
        <f>Electrochemistry!F_const</f>
        <v>96485.33212</v>
      </c>
      <c r="E86" s="310" t="inlineStr">
        <is>
          <t xml:space="preserve">Import from Electrochemistry!D15 (F_const)</t>
        </is>
      </c>
    </row>
    <row r="87">
      <c r="A87" s="278" t="inlineStr">
        <is>
          <t xml:space="preserve">NAMED CONSTANTS AND IMPORTS (electrode mass transfer, monochloramine lifetime)</t>
        </is>
      </c>
      <c r="B87" s="278"/>
      <c r="C87" s="278"/>
      <c r="D87" s="278"/>
      <c r="E87" s="278"/>
      <c r="F87" s="278"/>
      <c r="G87" s="278"/>
      <c r="H87" s="278"/>
      <c r="I87" s="278"/>
      <c r="J87" s="278"/>
      <c r="K87" s="278"/>
      <c r="L87" s="278"/>
      <c r="M87" s="278"/>
      <c r="N87" s="278"/>
    </row>
    <row r="88">
      <c r="A88" s="265" t="inlineStr">
        <is>
          <t xml:space="preserve">Electrons per ferricyanide reduced</t>
        </is>
      </c>
      <c r="B88" s="266" t="inlineStr">
        <is>
          <t xml:space="preserve">n_e_fcn</t>
        </is>
      </c>
      <c r="C88" s="265" t="inlineStr">
        <is>
          <t xml:space="preserve">-</t>
        </is>
      </c>
      <c r="D88" s="268">
        <v>1.0</v>
      </c>
      <c r="E88" s="310" t="inlineStr">
        <is>
          <t xml:space="preserve">Fe(CN)₆³⁻ + e⁻ → Fe(CN)₆⁴⁻: a one-electron couple (protocols/electrode-mass-transfer.md).</t>
        </is>
      </c>
    </row>
    <row r="89">
      <c r="A89" s="265" t="inlineStr">
        <is>
          <t xml:space="preserve">Temperature tolerance for a k_m run</t>
        </is>
      </c>
      <c r="B89" s="266" t="inlineStr">
        <is>
          <t xml:space="preserve">km_T_tol</t>
        </is>
      </c>
      <c r="C89" s="265" t="inlineStr">
        <is>
          <t xml:space="preserve">°C</t>
        </is>
      </c>
      <c r="D89" s="268">
        <v>1.0</v>
      </c>
      <c r="E89" s="305" t="inlineStr">
        <is>
          <t xml:space="preserve">Design assumption: diffusivity and viscosity move ~2 %/K, so a run within ±1 °C of the Summary temperature is used as measured; others need a separate temperature correction.</t>
        </is>
      </c>
    </row>
    <row r="90">
      <c r="A90" s="265" t="inlineStr">
        <is>
          <t xml:space="preserve">(import) Stirrer rate on Summary</t>
        </is>
      </c>
      <c r="B90" s="266" t="inlineStr">
        <is>
          <t xml:space="preserve">stir_rpm_set</t>
        </is>
      </c>
      <c r="C90" s="265" t="inlineStr">
        <is>
          <t xml:space="preserve">rpm</t>
        </is>
      </c>
      <c r="D90" s="277">
        <f>Summary!stir_rpm_set</f>
        <v>1000.0</v>
      </c>
      <c r="E90" s="310" t="inlineStr">
        <is>
          <t xml:space="preserve">Import from Summary!D7 (stir_rpm_set)</t>
        </is>
      </c>
    </row>
    <row r="91">
      <c r="A91" s="265" t="inlineStr">
        <is>
          <t xml:space="preserve">(import) Temperature setpoint on Summary</t>
        </is>
      </c>
      <c r="B91" s="266" t="inlineStr">
        <is>
          <t xml:space="preserve">temp_C</t>
        </is>
      </c>
      <c r="C91" s="265" t="inlineStr">
        <is>
          <t xml:space="preserve">°C</t>
        </is>
      </c>
      <c r="D91" s="277">
        <f>Summary!temp_C</f>
        <v>30.0</v>
      </c>
      <c r="E91" s="310" t="inlineStr">
        <is>
          <t xml:space="preserve">Import from Summary!D8 (temp_C)</t>
        </is>
      </c>
    </row>
    <row r="92">
      <c r="A92" s="265" t="inlineStr">
        <is>
          <t xml:space="preserve">(import) Medium selected on Summary</t>
        </is>
      </c>
      <c r="B92" s="266" t="inlineStr">
        <is>
          <t xml:space="preserve">media_sel</t>
        </is>
      </c>
      <c r="C92" s="265" t="inlineStr">
        <is>
          <t xml:space="preserve">-</t>
        </is>
      </c>
      <c r="D92" s="277" t="str">
        <f>Summary!media_sel</f>
        <v>AM003</v>
      </c>
      <c r="E92" s="310" t="inlineStr">
        <is>
          <t xml:space="preserve">Import from Summary!D5 (media_sel)</t>
        </is>
      </c>
    </row>
    <row r="93">
      <c r="A93" s="265" t="inlineStr">
        <is>
          <t xml:space="preserve">(import) Electrode selected on Summary</t>
        </is>
      </c>
      <c r="B93" s="266" t="inlineStr">
        <is>
          <t xml:space="preserve">electrode_sel</t>
        </is>
      </c>
      <c r="C93" s="265" t="inlineStr">
        <is>
          <t xml:space="preserve">-</t>
        </is>
      </c>
      <c r="D93" s="277" t="str">
        <f>Summary!electrode_sel</f>
        <v>MMO tube</v>
      </c>
      <c r="E93" s="310" t="inlineStr">
        <is>
          <t xml:space="preserve">Import from Summary!D3 (electrode_sel)</t>
        </is>
      </c>
    </row>
    <row r="94">
      <c r="A94" s="265" t="inlineStr">
        <is>
          <t xml:space="preserve">(import) O₂ diffusivity at reactor T</t>
        </is>
      </c>
      <c r="B94" s="266" t="inlineStr">
        <is>
          <t xml:space="preserve">D_O2</t>
        </is>
      </c>
      <c r="C94" s="265" t="inlineStr">
        <is>
          <t xml:space="preserve">m²/s</t>
        </is>
      </c>
      <c r="D94" s="209">
        <f>'Mass Transfer'!D_O2</f>
        <v>2.249544435762e-09</v>
      </c>
      <c r="E94" s="310" t="inlineStr">
        <is>
          <t xml:space="preserve">Import from Mass Transfer!D32 (D_O2)</t>
        </is>
      </c>
    </row>
    <row r="95">
      <c r="A95" s="265" t="inlineStr">
        <is>
          <t xml:space="preserve">(import) Diffusivity exponent for k_m scaling</t>
        </is>
      </c>
      <c r="B95" s="266" t="inlineStr">
        <is>
          <t xml:space="preserve">km_exp</t>
        </is>
      </c>
      <c r="C95" s="265" t="inlineStr">
        <is>
          <t xml:space="preserve">-</t>
        </is>
      </c>
      <c r="D95" s="199">
        <f>Electrochemistry!km_exp</f>
        <v>0.644</v>
      </c>
      <c r="E95" s="310" t="inlineStr">
        <is>
          <t xml:space="preserve">Import from Electrochemistry!D84 (km_exp): the same Eisenberg scaling the model uses for every species.</t>
        </is>
      </c>
    </row>
    <row r="96">
      <c r="A96" s="265" t="inlineStr">
        <is>
          <t xml:space="preserve">(import) Cl₂ molar mass</t>
        </is>
      </c>
      <c r="B96" s="266" t="inlineStr">
        <is>
          <t xml:space="preserve">M_Cl2</t>
        </is>
      </c>
      <c r="C96" s="265" t="inlineStr">
        <is>
          <t xml:space="preserve">mg/mol</t>
        </is>
      </c>
      <c r="D96" s="277">
        <f>Chemistry!M_Cl2</f>
        <v>70906.0</v>
      </c>
      <c r="E96" s="310" t="inlineStr">
        <is>
          <t xml:space="preserve">Import from Chemistry!D223 (M_Cl2): DPD results are mg/L as Cl₂.</t>
        </is>
      </c>
    </row>
    <row r="97">
      <c r="A97" s="265" t="inlineStr">
        <is>
          <t xml:space="preserve">(import) H₂ basis of the uptake ratio</t>
        </is>
      </c>
      <c r="B97" s="266" t="inlineStr">
        <is>
          <t xml:space="preserve">knall_H2_basis</t>
        </is>
      </c>
      <c r="C97" s="265" t="inlineStr">
        <is>
          <t xml:space="preserve">parts</t>
        </is>
      </c>
      <c r="D97" s="277">
        <f>Biology!knall_H2_default</f>
        <v>6.0</v>
      </c>
      <c r="E97" s="310" t="inlineStr">
        <is>
          <t xml:space="preserve">Import from Biology!D63 (knall_H2_default): the H₂ term of the default 6:2:1, so a measured ratio reads on the same scale.</t>
        </is>
      </c>
    </row>
    <row r="98">
      <c r="A98" s="265" t="inlineStr">
        <is>
          <t xml:space="preserve">Sinter grade P0 upper bound</t>
        </is>
      </c>
      <c r="B98" s="266" t="inlineStr">
        <is>
          <t xml:space="preserve">por_p0_hi</t>
        </is>
      </c>
      <c r="C98" s="265" t="inlineStr">
        <is>
          <t xml:space="preserve">µm</t>
        </is>
      </c>
      <c r="D98" s="268">
        <v>250.0</v>
      </c>
      <c r="E98" s="310" t="inlineStr">
        <is>
          <t xml:space="preserve">DURAN P0 160–250 µm (Mass Transfer E33): above this the frit is coarser than any listed grade.</t>
        </is>
      </c>
    </row>
    <row r="99">
      <c r="A99" s="265" t="inlineStr">
        <is>
          <t xml:space="preserve">Sinter grade P5 upper bound</t>
        </is>
      </c>
      <c r="B99" s="266" t="inlineStr">
        <is>
          <t xml:space="preserve">por_p5_hi</t>
        </is>
      </c>
      <c r="C99" s="265" t="inlineStr">
        <is>
          <t xml:space="preserve">µm</t>
        </is>
      </c>
      <c r="D99" s="268">
        <v>1.6</v>
      </c>
      <c r="E99" s="310" t="inlineStr">
        <is>
          <t xml:space="preserve">DURAN P5 1.0–1.6 µm (Mass Transfer E38); 1.6–10 µm falls between P5 and P4 and is not a listed grade.</t>
        </is>
      </c>
    </row>
    <row r="100">
      <c r="A100" s="265" t="inlineStr">
        <is>
          <t xml:space="preserve">Sinter grade P5 lower bound</t>
        </is>
      </c>
      <c r="B100" s="266" t="inlineStr">
        <is>
          <t xml:space="preserve">por_p5_lo</t>
        </is>
      </c>
      <c r="C100" s="265" t="inlineStr">
        <is>
          <t xml:space="preserve">µm</t>
        </is>
      </c>
      <c r="D100" s="268">
        <v>1.0</v>
      </c>
      <c r="E100" s="310" t="inlineStr">
        <is>
          <t xml:space="preserve">DURAN P5 1.0–1.6 µm (Mass Transfer E38).</t>
        </is>
      </c>
    </row>
    <row r="102">
      <c r="A102" s="228" t="str">
        <f>HYPERLINK("#'Experiments'!A1","EXPERIMENT RECORD  →  a Table on the Experiments sheet")</f>
        <v>EXPERIMENT RECORD  →  a Table on the Experiments sheet</v>
      </c>
      <c r="B102" s="278"/>
      <c r="C102" s="278"/>
      <c r="D102" s="278"/>
      <c r="E102" s="278"/>
      <c r="F102" s="278"/>
    </row>
    <row r="104">
      <c r="A104" s="278" t="inlineStr">
        <is>
          <t xml:space="preserve">EXPERIMENT STATUS (read by Summary column D; follows the Summary selections)</t>
        </is>
      </c>
      <c r="B104" s="278"/>
      <c r="C104" s="278"/>
      <c r="D104" s="278"/>
      <c r="E104" s="278"/>
      <c r="F104" s="278"/>
      <c r="G104" s="278"/>
      <c r="H104" s="278"/>
      <c r="I104" s="278"/>
      <c r="J104" s="278"/>
      <c r="K104" s="278"/>
      <c r="L104" s="278"/>
      <c r="M104" s="278"/>
      <c r="N104" s="278"/>
    </row>
    <row r="105">
      <c r="A105" s="263" t="inlineStr">
        <is>
          <t xml:space="preserve">Experiment</t>
        </is>
      </c>
      <c r="B105" s="263" t="inlineStr">
        <is>
          <t xml:space="preserve">Name</t>
        </is>
      </c>
      <c r="C105" s="263"/>
      <c r="D105" s="263" t="inlineStr">
        <is>
          <t xml:space="preserve">Status</t>
        </is>
      </c>
      <c r="E105" s="263" t="inlineStr">
        <is>
          <t xml:space="preserve">How it is decided</t>
        </is>
      </c>
      <c r="F105" s="263" t="inlineStr">
        <is>
          <t xml:space="preserve">From the record (0–2)</t>
        </is>
      </c>
    </row>
    <row r="106">
      <c r="A106" s="265" t="inlineStr">
        <is>
          <t xml:space="preserve">Measure / confirm vial total volume</t>
        </is>
      </c>
      <c r="B106" s="266" t="inlineStr">
        <is>
          <t xml:space="preserve">xs_vial</t>
        </is>
      </c>
      <c r="D106" s="277" t="str">
        <f>CHOOSE(1+MAX(IF(ISNUMBER(cal_Vtot),2,0),F106),"Not done","Approximate","Done")</f>
        <v>Not done</v>
      </c>
      <c r="E106" s="269" t="inlineStr">
        <is>
          <t xml:space="preserve">Done when the vial-geometry section has an included run for this reactor type.</t>
        </is>
      </c>
      <c r="F106" s="277">
        <f>IF(SUMPRODUCT((xr_exp=A106)*(xr_res="Done")*((xr_rx="")+(xr_rx=Reactor_sel)+(xr_rx=rx_ver)&gt;0)*((xr_el="")+(xr_el=electrode_sel)&gt;0)*((xr_org="")+(xr_org=organism_sel)&gt;0)*((xr_med="")+(xr_med=media_sel)&gt;0)*((xr_T="")+(ABS(xr_T-temp_C)&lt;=xr_T_tol)&gt;0))&gt;0,2,IF(SUMPRODUCT((xr_exp=A106)*(xr_res="Approximate")*((xr_rx="")+(xr_rx=Reactor_sel)+(xr_rx=rx_ver)&gt;0)*((xr_el="")+(xr_el=electrode_sel)&gt;0)*((xr_org="")+(xr_org=organism_sel)&gt;0)*((xr_med="")+(xr_med=media_sel)&gt;0)*((xr_T="")+(ABS(xr_T-temp_C)&lt;=xr_T_tol)&gt;0))&gt;0,1,0))</f>
        <v>0.0</v>
      </c>
    </row>
    <row r="107">
      <c r="A107" s="265" t="inlineStr">
        <is>
          <t xml:space="preserve">CO₂ flow of the reactor in use</t>
        </is>
      </c>
      <c r="B107" s="266" t="inlineStr">
        <is>
          <t xml:space="preserve">xs_flow</t>
        </is>
      </c>
      <c r="D107" s="277" t="str">
        <f>CHOOSE(1+MAX(IF(has_cal_ca&gt;0,2,0),F107),"Not done","Approximate","Done")</f>
        <v>Done</v>
      </c>
      <c r="E107" s="269" t="inlineStr">
        <is>
          <t xml:space="preserve">Done when this reactor has a CO₂ flow calibration (CO2 flows, or the CO₂-flow section here).</t>
        </is>
      </c>
      <c r="F107" s="277">
        <f>IF(SUMPRODUCT((xr_exp=A107)*(xr_res="Done")*((xr_rx="")+(xr_rx=Reactor_sel)+(xr_rx=rx_ver)&gt;0)*((xr_el="")+(xr_el=electrode_sel)&gt;0)*((xr_org="")+(xr_org=organism_sel)&gt;0)*((xr_med="")+(xr_med=media_sel)&gt;0)*((xr_T="")+(ABS(xr_T-temp_C)&lt;=xr_T_tol)&gt;0))&gt;0,2,IF(SUMPRODUCT((xr_exp=A107)*(xr_res="Approximate")*((xr_rx="")+(xr_rx=Reactor_sel)+(xr_rx=rx_ver)&gt;0)*((xr_el="")+(xr_el=electrode_sel)&gt;0)*((xr_org="")+(xr_org=organism_sel)&gt;0)*((xr_med="")+(xr_med=media_sel)&gt;0)*((xr_T="")+(ABS(xr_T-temp_C)&lt;=xr_T_tol)&gt;0))&gt;0,1,0))</f>
        <v>0.0</v>
      </c>
    </row>
    <row r="108">
      <c r="A108" s="265" t="inlineStr">
        <is>
          <t xml:space="preserve">Measure the electrode mass-transfer coefficient</t>
        </is>
      </c>
      <c r="B108" s="266" t="inlineStr">
        <is>
          <t xml:space="preserve">xs_km</t>
        </is>
      </c>
      <c r="D108" s="277" t="str">
        <f>CHOOSE(1+MAX(IF(ISNUMBER(cal_km_O2),2,IF(COUNTIFS(CalKm[Reactor],Reactor_sel,CalKm[Electrode],electrode_sel,CalKm[Include?],"y")&gt;0,1,0)),F108),"Not done","Approximate","Done")</f>
        <v>Not done</v>
      </c>
      <c r="E108" s="269" t="inlineStr">
        <is>
          <t xml:space="preserve">Done when a run matches this reactor, electrode, stirrer rate and temperature; Approximate when the reactor and electrode match only.</t>
        </is>
      </c>
      <c r="F108" s="277">
        <f>IF(SUMPRODUCT((xr_exp=A108)*(xr_res="Done")*((xr_rx="")+(xr_rx=Reactor_sel)+(xr_rx=rx_ver)&gt;0)*((xr_el="")+(xr_el=electrode_sel)&gt;0)*((xr_org="")+(xr_org=organism_sel)&gt;0)*((xr_med="")+(xr_med=media_sel)&gt;0)*((xr_T="")+(ABS(xr_T-temp_C)&lt;=xr_T_tol)&gt;0))&gt;0,2,IF(SUMPRODUCT((xr_exp=A108)*(xr_res="Approximate")*((xr_rx="")+(xr_rx=Reactor_sel)+(xr_rx=rx_ver)&gt;0)*((xr_el="")+(xr_el=electrode_sel)&gt;0)*((xr_org="")+(xr_org=organism_sel)&gt;0)*((xr_med="")+(xr_med=media_sel)&gt;0)*((xr_T="")+(ABS(xr_T-temp_C)&lt;=xr_T_tol)&gt;0))&gt;0,1,0))</f>
        <v>0.0</v>
      </c>
    </row>
    <row r="109">
      <c r="A109" s="265" t="inlineStr">
        <is>
          <t xml:space="preserve">Low-power current curve below 3 %</t>
        </is>
      </c>
      <c r="B109" s="266" t="inlineStr">
        <is>
          <t xml:space="preserve">xs_lowI</t>
        </is>
      </c>
      <c r="D109" s="277" t="str">
        <f>CHOOSE(1+MAX(IF(COUNTIFS(CalCurrent[Reactor],Reactor_sel,CalCurrent[Intensity (%)],"&lt;"&amp;gerrit_min_ca,CalCurrent[Include?],"y")&gt;0,1,0),F109),"Not done","Approximate","Done")</f>
        <v>Not done</v>
      </c>
      <c r="E109" s="269" t="inlineStr">
        <is>
          <t xml:space="preserve">Approximate when the electrolysis-current section holds an included point below 3 % for this reactor; Done only from the record.</t>
        </is>
      </c>
      <c r="F109" s="277">
        <f>IF(SUMPRODUCT((xr_exp=A109)*(xr_res="Done")*((xr_rx="")+(xr_rx=Reactor_sel)+(xr_rx=rx_ver)&gt;0)*((xr_el="")+(xr_el=electrode_sel)&gt;0)*((xr_org="")+(xr_org=organism_sel)&gt;0)*((xr_med="")+(xr_med=media_sel)&gt;0)*((xr_T="")+(ABS(xr_T-temp_C)&lt;=xr_T_tol)&gt;0))&gt;0,2,IF(SUMPRODUCT((xr_exp=A109)*(xr_res="Approximate")*((xr_rx="")+(xr_rx=Reactor_sel)+(xr_rx=rx_ver)&gt;0)*((xr_el="")+(xr_el=electrode_sel)&gt;0)*((xr_org="")+(xr_org=organism_sel)&gt;0)*((xr_med="")+(xr_med=media_sel)&gt;0)*((xr_T="")+(ABS(xr_T-temp_C)&lt;=xr_T_tol)&gt;0))&gt;0,1,0))</f>
        <v>0.0</v>
      </c>
    </row>
    <row r="110">
      <c r="A110" s="265" t="inlineStr">
        <is>
          <t xml:space="preserve">Electrochemist review of the calculated electrochemistry</t>
        </is>
      </c>
      <c r="B110" s="266" t="inlineStr">
        <is>
          <t xml:space="preserve">xs_review</t>
        </is>
      </c>
      <c r="D110" s="277" t="str">
        <f>CHOOSE(1+F110,"Not done","Approximate","Done")</f>
        <v>Not done</v>
      </c>
      <c r="E110" s="269" t="inlineStr">
        <is>
          <t xml:space="preserve">From the record.</t>
        </is>
      </c>
      <c r="F110" s="277">
        <f>IF(SUMPRODUCT((xr_exp=A110)*(xr_res="Done")*((xr_rx="")+(xr_rx=Reactor_sel)+(xr_rx=rx_ver)&gt;0)*((xr_el="")+(xr_el=electrode_sel)&gt;0)*((xr_org="")+(xr_org=organism_sel)&gt;0)*((xr_med="")+(xr_med=media_sel)&gt;0)*((xr_T="")+(ABS(xr_T-temp_C)&lt;=xr_T_tol)&gt;0))&gt;0,2,IF(SUMPRODUCT((xr_exp=A110)*(xr_res="Approximate")*((xr_rx="")+(xr_rx=Reactor_sel)+(xr_rx=rx_ver)&gt;0)*((xr_el="")+(xr_el=electrode_sel)&gt;0)*((xr_org="")+(xr_org=organism_sel)&gt;0)*((xr_med="")+(xr_med=media_sel)&gt;0)*((xr_T="")+(ABS(xr_T-temp_C)&lt;=xr_T_tol)&gt;0))&gt;0,1,0))</f>
        <v>0.0</v>
      </c>
    </row>
    <row r="111">
      <c r="A111" s="265" t="inlineStr">
        <is>
          <t xml:space="preserve">Measure the cell voltage at a known setpoint</t>
        </is>
      </c>
      <c r="B111" s="266" t="inlineStr">
        <is>
          <t xml:space="preserve">xs_V</t>
        </is>
      </c>
      <c r="D111" s="277" t="str">
        <f>CHOOSE(1+F111,"Not done","Approximate","Done")</f>
        <v>Not done</v>
      </c>
      <c r="E111" s="269" t="inlineStr">
        <is>
          <t xml:space="preserve">From the record: reactor, electrode, medium and temperature all matter.</t>
        </is>
      </c>
      <c r="F111" s="277">
        <f>IF(SUMPRODUCT((xr_exp=A111)*(xr_res="Done")*((xr_rx="")+(xr_rx=Reactor_sel)+(xr_rx=rx_ver)&gt;0)*((xr_el="")+(xr_el=electrode_sel)&gt;0)*((xr_org="")+(xr_org=organism_sel)&gt;0)*((xr_med="")+(xr_med=media_sel)&gt;0)*((xr_T="")+(ABS(xr_T-temp_C)&lt;=xr_T_tol)&gt;0))&gt;0,2,IF(SUMPRODUCT((xr_exp=A111)*(xr_res="Approximate")*((xr_rx="")+(xr_rx=Reactor_sel)+(xr_rx=rx_ver)&gt;0)*((xr_el="")+(xr_el=electrode_sel)&gt;0)*((xr_org="")+(xr_org=organism_sel)&gt;0)*((xr_med="")+(xr_med=media_sel)&gt;0)*((xr_T="")+(ABS(xr_T-temp_C)&lt;=xr_T_tol)&gt;0))&gt;0,1,0))</f>
        <v>0.0</v>
      </c>
    </row>
    <row r="112">
      <c r="A112" s="265" t="inlineStr">
        <is>
          <t xml:space="preserve">Headspace H₂/O₂ during lag (safety)</t>
        </is>
      </c>
      <c r="B112" s="266" t="inlineStr">
        <is>
          <t xml:space="preserve">xs_hsgas</t>
        </is>
      </c>
      <c r="D112" s="277" t="str">
        <f>CHOOSE(1+F112,"Not done","Approximate","Done")</f>
        <v>Not done</v>
      </c>
      <c r="E112" s="269" t="inlineStr">
        <is>
          <t xml:space="preserve">From the record.</t>
        </is>
      </c>
      <c r="F112" s="277">
        <f>IF(SUMPRODUCT((xr_exp=A112)*(xr_res="Done")*((xr_rx="")+(xr_rx=Reactor_sel)+(xr_rx=rx_ver)&gt;0)*((xr_el="")+(xr_el=electrode_sel)&gt;0)*((xr_org="")+(xr_org=organism_sel)&gt;0)*((xr_med="")+(xr_med=media_sel)&gt;0)*((xr_T="")+(ABS(xr_T-temp_C)&lt;=xr_T_tol)&gt;0))&gt;0,2,IF(SUMPRODUCT((xr_exp=A112)*(xr_res="Approximate")*((xr_rx="")+(xr_rx=Reactor_sel)+(xr_rx=rx_ver)&gt;0)*((xr_el="")+(xr_el=electrode_sel)&gt;0)*((xr_org="")+(xr_org=organism_sel)&gt;0)*((xr_med="")+(xr_med=media_sel)&gt;0)*((xr_T="")+(ABS(xr_T-temp_C)&lt;=xr_T_tol)&gt;0))&gt;0,1,0))</f>
        <v>0.0</v>
      </c>
    </row>
    <row r="113">
      <c r="A113" s="265" t="inlineStr">
        <is>
          <t xml:space="preserve">Characterise the headspace vent</t>
        </is>
      </c>
      <c r="B113" s="266" t="inlineStr">
        <is>
          <t xml:space="preserve">xs_vent</t>
        </is>
      </c>
      <c r="D113" s="277" t="str">
        <f>IF(vent_model_ca="Outflow only","Not needed",CHOOSE(1+F113,"Not done","Approximate","Done"))</f>
        <v>Not done</v>
      </c>
      <c r="E113" s="269" t="inlineStr">
        <is>
          <t xml:space="preserve">Not needed with an "Outflow only" vent (no air drawn back); otherwise from the record.</t>
        </is>
      </c>
      <c r="F113" s="277">
        <f>IF(SUMPRODUCT((xr_exp=A113)*(xr_res="Done")*((xr_rx="")+(xr_rx=Reactor_sel)+(xr_rx=rx_ver)&gt;0)*((xr_el="")+(xr_el=electrode_sel)&gt;0)*((xr_org="")+(xr_org=organism_sel)&gt;0)*((xr_med="")+(xr_med=media_sel)&gt;0)*((xr_T="")+(ABS(xr_T-temp_C)&lt;=xr_T_tol)&gt;0))&gt;0,2,IF(SUMPRODUCT((xr_exp=A113)*(xr_res="Approximate")*((xr_rx="")+(xr_rx=Reactor_sel)+(xr_rx=rx_ver)&gt;0)*((xr_el="")+(xr_el=electrode_sel)&gt;0)*((xr_org="")+(xr_org=organism_sel)&gt;0)*((xr_med="")+(xr_med=media_sel)&gt;0)*((xr_T="")+(ABS(xr_T-temp_C)&lt;=xr_T_tol)&gt;0))&gt;0,1,0))</f>
        <v>0.0</v>
      </c>
    </row>
    <row r="114">
      <c r="A114" s="265" t="inlineStr">
        <is>
          <t xml:space="preserve">Measure surface kLa (kL_surf)</t>
        </is>
      </c>
      <c r="B114" s="266" t="inlineStr">
        <is>
          <t xml:space="preserve">xs_kLa</t>
        </is>
      </c>
      <c r="D114" s="277" t="str">
        <f>CHOOSE(1+MAX(IF(ISNUMBER(cal_kLa),2,IF(COUNTIFS(CalKLa[Type (auto)],rx_ver,CalKLa[Include?],"y")&gt;0,1,0)),F114),"Not done","Approximate","Done")</f>
        <v>Not done</v>
      </c>
      <c r="E114" s="269" t="inlineStr">
        <is>
          <t xml:space="preserve">Done when the surface-kLa section has an included run for this reactor; Approximate for another reactor of the same type.</t>
        </is>
      </c>
      <c r="F114" s="277">
        <f>IF(SUMPRODUCT((xr_exp=A114)*(xr_res="Done")*((xr_rx="")+(xr_rx=Reactor_sel)+(xr_rx=rx_ver)&gt;0)*((xr_el="")+(xr_el=electrode_sel)&gt;0)*((xr_org="")+(xr_org=organism_sel)&gt;0)*((xr_med="")+(xr_med=media_sel)&gt;0)*((xr_T="")+(ABS(xr_T-temp_C)&lt;=xr_T_tol)&gt;0))&gt;0,2,IF(SUMPRODUCT((xr_exp=A114)*(xr_res="Approximate")*((xr_rx="")+(xr_rx=Reactor_sel)+(xr_rx=rx_ver)&gt;0)*((xr_el="")+(xr_el=electrode_sel)&gt;0)*((xr_org="")+(xr_org=organism_sel)&gt;0)*((xr_med="")+(xr_med=media_sel)&gt;0)*((xr_T="")+(ABS(xr_T-temp_C)&lt;=xr_T_tol)&gt;0))&gt;0,1,0))</f>
        <v>0.0</v>
      </c>
    </row>
    <row r="115">
      <c r="A115" s="265" t="inlineStr">
        <is>
          <t xml:space="preserve">Abiotic DO trace under the schedule</t>
        </is>
      </c>
      <c r="B115" s="266" t="inlineStr">
        <is>
          <t xml:space="preserve">xs_DOtrace</t>
        </is>
      </c>
      <c r="D115" s="277" t="str">
        <f>CHOOSE(1+F115,"Not done","Approximate","Done")</f>
        <v>Not done</v>
      </c>
      <c r="E115" s="269" t="inlineStr">
        <is>
          <t xml:space="preserve">From the record.</t>
        </is>
      </c>
      <c r="F115" s="277">
        <f>IF(SUMPRODUCT((xr_exp=A115)*(xr_res="Done")*((xr_rx="")+(xr_rx=Reactor_sel)+(xr_rx=rx_ver)&gt;0)*((xr_el="")+(xr_el=electrode_sel)&gt;0)*((xr_org="")+(xr_org=organism_sel)&gt;0)*((xr_med="")+(xr_med=media_sel)&gt;0)*((xr_T="")+(ABS(xr_T-temp_C)&lt;=xr_T_tol)&gt;0))&gt;0,2,IF(SUMPRODUCT((xr_exp=A115)*(xr_res="Approximate")*((xr_rx="")+(xr_rx=Reactor_sel)+(xr_rx=rx_ver)&gt;0)*((xr_el="")+(xr_el=electrode_sel)&gt;0)*((xr_org="")+(xr_org=organism_sel)&gt;0)*((xr_med="")+(xr_med=media_sel)&gt;0)*((xr_T="")+(ABS(xr_T-temp_C)&lt;=xr_T_tol)&gt;0))&gt;0,1,0))</f>
        <v>0.0</v>
      </c>
    </row>
    <row r="116">
      <c r="A116" s="265" t="inlineStr">
        <is>
          <t xml:space="preserve">pH through a growth run (tests the nitrogen-uptake acidification)</t>
        </is>
      </c>
      <c r="B116" s="266" t="inlineStr">
        <is>
          <t xml:space="preserve">xs_pHrun</t>
        </is>
      </c>
      <c r="D116" s="277" t="str">
        <f>CHOOSE(1+F116,"Not done","Approximate","Done")</f>
        <v>Not done</v>
      </c>
      <c r="E116" s="269" t="inlineStr">
        <is>
          <t xml:space="preserve">From the record: organism, medium and temperature matter.</t>
        </is>
      </c>
      <c r="F116" s="277">
        <f>IF(SUMPRODUCT((xr_exp=A116)*(xr_res="Done")*((xr_rx="")+(xr_rx=Reactor_sel)+(xr_rx=rx_ver)&gt;0)*((xr_el="")+(xr_el=electrode_sel)&gt;0)*((xr_org="")+(xr_org=organism_sel)&gt;0)*((xr_med="")+(xr_med=media_sel)&gt;0)*((xr_T="")+(ABS(xr_T-temp_C)&lt;=xr_T_tol)&gt;0))&gt;0,2,IF(SUMPRODUCT((xr_exp=A116)*(xr_res="Approximate")*((xr_rx="")+(xr_rx=Reactor_sel)+(xr_rx=rx_ver)&gt;0)*((xr_el="")+(xr_el=electrode_sel)&gt;0)*((xr_org="")+(xr_org=organism_sel)&gt;0)*((xr_med="")+(xr_med=media_sel)&gt;0)*((xr_T="")+(ABS(xr_T-temp_C)&lt;=xr_T_tol)&gt;0))&gt;0,1,0))</f>
        <v>0.0</v>
      </c>
    </row>
    <row r="117">
      <c r="A117" s="265" t="inlineStr">
        <is>
          <t xml:space="preserve">Assay dissolved metals in spent medium</t>
        </is>
      </c>
      <c r="B117" s="266" t="inlineStr">
        <is>
          <t xml:space="preserve">xs_metals</t>
        </is>
      </c>
      <c r="D117" s="277" t="str">
        <f>CHOOSE(1+F117,"Not done","Approximate","Done")</f>
        <v>Not done</v>
      </c>
      <c r="E117" s="269" t="inlineStr">
        <is>
          <t xml:space="preserve">From the record.</t>
        </is>
      </c>
      <c r="F117" s="277">
        <f>IF(SUMPRODUCT((xr_exp=A117)*(xr_res="Done")*((xr_rx="")+(xr_rx=Reactor_sel)+(xr_rx=rx_ver)&gt;0)*((xr_el="")+(xr_el=electrode_sel)&gt;0)*((xr_org="")+(xr_org=organism_sel)&gt;0)*((xr_med="")+(xr_med=media_sel)&gt;0)*((xr_T="")+(ABS(xr_T-temp_C)&lt;=xr_T_tol)&gt;0))&gt;0,2,IF(SUMPRODUCT((xr_exp=A117)*(xr_res="Approximate")*((xr_rx="")+(xr_rx=Reactor_sel)+(xr_rx=rx_ver)&gt;0)*((xr_el="")+(xr_el=electrode_sel)&gt;0)*((xr_org="")+(xr_org=organism_sel)&gt;0)*((xr_med="")+(xr_med=media_sel)&gt;0)*((xr_T="")+(ABS(xr_T-temp_C)&lt;=xr_T_tol)&gt;0))&gt;0,1,0))</f>
        <v>0.0</v>
      </c>
    </row>
    <row r="118">
      <c r="A118" s="265" t="inlineStr">
        <is>
          <t xml:space="preserve">Measure cathodic Faradaic efficiency (etaF)</t>
        </is>
      </c>
      <c r="B118" s="266" t="inlineStr">
        <is>
          <t xml:space="preserve">xs_FE</t>
        </is>
      </c>
      <c r="D118" s="277" t="str">
        <f>CHOOSE(1+MAX(IF(ISNUMBER(cal_etaF),2,0),F118),"Not done","Approximate","Done")</f>
        <v>Not done</v>
      </c>
      <c r="E118" s="269" t="inlineStr">
        <is>
          <t xml:space="preserve">Done when the Faradaic-efficiency section has an included H₂ run for this reactor.</t>
        </is>
      </c>
      <c r="F118" s="277">
        <f>IF(SUMPRODUCT((xr_exp=A118)*(xr_res="Done")*((xr_rx="")+(xr_rx=Reactor_sel)+(xr_rx=rx_ver)&gt;0)*((xr_el="")+(xr_el=electrode_sel)&gt;0)*((xr_org="")+(xr_org=organism_sel)&gt;0)*((xr_med="")+(xr_med=media_sel)&gt;0)*((xr_T="")+(ABS(xr_T-temp_C)&lt;=xr_T_tol)&gt;0))&gt;0,2,IF(SUMPRODUCT((xr_exp=A118)*(xr_res="Approximate")*((xr_rx="")+(xr_rx=Reactor_sel)+(xr_rx=rx_ver)&gt;0)*((xr_el="")+(xr_el=electrode_sel)&gt;0)*((xr_org="")+(xr_org=organism_sel)&gt;0)*((xr_med="")+(xr_med=media_sel)&gt;0)*((xr_T="")+(ABS(xr_T-temp_C)&lt;=xr_T_tol)&gt;0))&gt;0,1,0))</f>
        <v>0.0</v>
      </c>
    </row>
    <row r="119">
      <c r="A119" s="265" t="inlineStr">
        <is>
          <t xml:space="preserve">Off-gas H₂ at steady growth</t>
        </is>
      </c>
      <c r="B119" s="266" t="inlineStr">
        <is>
          <t xml:space="preserve">xs_offgas</t>
        </is>
      </c>
      <c r="D119" s="277" t="str">
        <f>CHOOSE(1+F119,"Not done","Approximate","Done")</f>
        <v>Not done</v>
      </c>
      <c r="E119" s="269" t="inlineStr">
        <is>
          <t xml:space="preserve">From the record.</t>
        </is>
      </c>
      <c r="F119" s="277">
        <f>IF(SUMPRODUCT((xr_exp=A119)*(xr_res="Done")*((xr_rx="")+(xr_rx=Reactor_sel)+(xr_rx=rx_ver)&gt;0)*((xr_el="")+(xr_el=electrode_sel)&gt;0)*((xr_org="")+(xr_org=organism_sel)&gt;0)*((xr_med="")+(xr_med=media_sel)&gt;0)*((xr_T="")+(ABS(xr_T-temp_C)&lt;=xr_T_tol)&gt;0))&gt;0,2,IF(SUMPRODUCT((xr_exp=A119)*(xr_res="Approximate")*((xr_rx="")+(xr_rx=Reactor_sel)+(xr_rx=rx_ver)&gt;0)*((xr_el="")+(xr_el=electrode_sel)&gt;0)*((xr_org="")+(xr_org=organism_sel)&gt;0)*((xr_med="")+(xr_med=media_sel)&gt;0)*((xr_T="")+(ABS(xr_T-temp_C)&lt;=xr_T_tol)&gt;0))&gt;0,1,0))</f>
        <v>0.0</v>
      </c>
    </row>
    <row r="120">
      <c r="A120" s="265" t="inlineStr">
        <is>
          <t xml:space="preserve">Organism DO thresholds</t>
        </is>
      </c>
      <c r="B120" s="266" t="inlineStr">
        <is>
          <t xml:space="preserve">xs_DOthr</t>
        </is>
      </c>
      <c r="D120" s="277" t="str">
        <f>CHOOSE(1+MAX(IF(AND(ISNUMBER(cal_DO_min),ISNUMBER(cal_DO_opt),ISNUMBER(cal_DO_impair),ISNUMBER(cal_DO_toxic)),2,IF(OR(ISNUMBER(cal_DO_min),ISNUMBER(cal_DO_opt),ISNUMBER(cal_DO_impair),ISNUMBER(cal_DO_toxic)),1,0)),F120),"Not done","Approximate","Done")</f>
        <v>Not done</v>
      </c>
      <c r="E120" s="269" t="inlineStr">
        <is>
          <t xml:space="preserve">Done when all four thresholds are included for this organism; Approximate when some are.</t>
        </is>
      </c>
      <c r="F120" s="277">
        <f>IF(SUMPRODUCT((xr_exp=A120)*(xr_res="Done")*((xr_rx="")+(xr_rx=Reactor_sel)+(xr_rx=rx_ver)&gt;0)*((xr_el="")+(xr_el=electrode_sel)&gt;0)*((xr_org="")+(xr_org=organism_sel)&gt;0)*((xr_med="")+(xr_med=media_sel)&gt;0)*((xr_T="")+(ABS(xr_T-temp_C)&lt;=xr_T_tol)&gt;0))&gt;0,2,IF(SUMPRODUCT((xr_exp=A120)*(xr_res="Approximate")*((xr_rx="")+(xr_rx=Reactor_sel)+(xr_rx=rx_ver)&gt;0)*((xr_el="")+(xr_el=electrode_sel)&gt;0)*((xr_org="")+(xr_org=organism_sel)&gt;0)*((xr_med="")+(xr_med=media_sel)&gt;0)*((xr_T="")+(ABS(xr_T-temp_C)&lt;=xr_T_tol)&gt;0))&gt;0,1,0))</f>
        <v>0.0</v>
      </c>
    </row>
    <row r="121">
      <c r="A121" s="265" t="inlineStr">
        <is>
          <t xml:space="preserve">Calibrate flow for each reactor</t>
        </is>
      </c>
      <c r="B121" s="266" t="inlineStr">
        <is>
          <t xml:space="preserve">xs_flow_all</t>
        </is>
      </c>
      <c r="D121" s="277" t="str">
        <f>CHOOSE(1+MAX(IF(SUMPRODUCT(--((COUNTIFS(co2f_reactor,ReactorList,co2f_nominal,"&gt;0")+COUNTIFS(CalFlow[Reactor],ReactorList,CalFlow[Include?],"y"))&gt;0))=ROWS(ReactorList),2,IF(SUMPRODUCT(--((COUNTIFS(co2f_reactor,ReactorList,co2f_nominal,"&gt;0")+COUNTIFS(CalFlow[Reactor],ReactorList,CalFlow[Include?],"y"))&gt;0))&gt;0,1,0)),F121),"Not done","Approximate","Done")</f>
        <v>Approximate</v>
      </c>
      <c r="E121" s="269" t="inlineStr">
        <is>
          <t xml:space="preserve">Done when every listed reactor has a flow calibration; Approximate when some do.</t>
        </is>
      </c>
      <c r="F121" s="277">
        <f>IF(SUMPRODUCT((xr_exp=A121)*(xr_res="Done")*((xr_rx="")+(xr_rx=Reactor_sel)+(xr_rx=rx_ver)&gt;0)*((xr_el="")+(xr_el=electrode_sel)&gt;0)*((xr_org="")+(xr_org=organism_sel)&gt;0)*((xr_med="")+(xr_med=media_sel)&gt;0)*((xr_T="")+(ABS(xr_T-temp_C)&lt;=xr_T_tol)&gt;0))&gt;0,2,IF(SUMPRODUCT((xr_exp=A121)*(xr_res="Approximate")*((xr_rx="")+(xr_rx=Reactor_sel)+(xr_rx=rx_ver)&gt;0)*((xr_el="")+(xr_el=electrode_sel)&gt;0)*((xr_org="")+(xr_org=organism_sel)&gt;0)*((xr_med="")+(xr_med=media_sel)&gt;0)*((xr_T="")+(ABS(xr_T-temp_C)&lt;=xr_T_tol)&gt;0))&gt;0,1,0))</f>
        <v>0.0</v>
      </c>
    </row>
    <row r="122">
      <c r="A122" s="265" t="inlineStr">
        <is>
          <t xml:space="preserve">Measure vial wall thickness</t>
        </is>
      </c>
      <c r="B122" s="266" t="inlineStr">
        <is>
          <t xml:space="preserve">xs_wall</t>
        </is>
      </c>
      <c r="D122" s="277" t="str">
        <f>CHOOSE(1+F122,"Not done","Approximate","Done")</f>
        <v>Not done</v>
      </c>
      <c r="E122" s="269" t="inlineStr">
        <is>
          <t xml:space="preserve">From the record.</t>
        </is>
      </c>
      <c r="F122" s="277">
        <f>IF(SUMPRODUCT((xr_exp=A122)*(xr_res="Done")*((xr_rx="")+(xr_rx=Reactor_sel)+(xr_rx=rx_ver)&gt;0)*((xr_el="")+(xr_el=electrode_sel)&gt;0)*((xr_org="")+(xr_org=organism_sel)&gt;0)*((xr_med="")+(xr_med=media_sel)&gt;0)*((xr_T="")+(ABS(xr_T-temp_C)&lt;=xr_T_tol)&gt;0))&gt;0,2,IF(SUMPRODUCT((xr_exp=A122)*(xr_res="Approximate")*((xr_rx="")+(xr_rx=Reactor_sel)+(xr_rx=rx_ver)&gt;0)*((xr_el="")+(xr_el=electrode_sel)&gt;0)*((xr_org="")+(xr_org=organism_sel)&gt;0)*((xr_med="")+(xr_med=media_sel)&gt;0)*((xr_T="")+(ABS(xr_T-temp_C)&lt;=xr_T_tol)&gt;0))&gt;0,1,0))</f>
        <v>0.0</v>
      </c>
    </row>
    <row r="123">
      <c r="A123" s="265" t="inlineStr">
        <is>
          <t xml:space="preserve">Free and combined chlorine (DPD)</t>
        </is>
      </c>
      <c r="B123" s="266" t="inlineStr">
        <is>
          <t xml:space="preserve">xs_DPD</t>
        </is>
      </c>
      <c r="D123" s="277" t="str">
        <f>IF(Cl_sel_ca=0,"Not needed",CHOOSE(1+MAX(IF(ISNUMBER(cal_tau_NH2Cl),2,0),F123),"Not done","Approximate","Done"))</f>
        <v>Not needed</v>
      </c>
      <c r="E123" s="269" t="inlineStr">
        <is>
          <t xml:space="preserve">Not needed for a chloride-free medium; Done when the monochloramine section has an included run for this reactor and medium.</t>
        </is>
      </c>
      <c r="F123" s="277">
        <f>IF(SUMPRODUCT((xr_exp=A123)*(xr_res="Done")*((xr_rx="")+(xr_rx=Reactor_sel)+(xr_rx=rx_ver)&gt;0)*((xr_el="")+(xr_el=electrode_sel)&gt;0)*((xr_org="")+(xr_org=organism_sel)&gt;0)*((xr_med="")+(xr_med=media_sel)&gt;0)*((xr_T="")+(ABS(xr_T-temp_C)&lt;=xr_T_tol)&gt;0))&gt;0,2,IF(SUMPRODUCT((xr_exp=A123)*(xr_res="Approximate")*((xr_rx="")+(xr_rx=Reactor_sel)+(xr_rx=rx_ver)&gt;0)*((xr_el="")+(xr_el=electrode_sel)&gt;0)*((xr_org="")+(xr_org=organism_sel)&gt;0)*((xr_med="")+(xr_med=media_sel)&gt;0)*((xr_T="")+(ABS(xr_T-temp_C)&lt;=xr_T_tol)&gt;0))&gt;0,1,0))</f>
        <v>0.0</v>
      </c>
    </row>
    <row r="124">
      <c r="A124" s="265" t="inlineStr">
        <is>
          <t xml:space="preserve">Conductivity of the medium in use at the operating temperature</t>
        </is>
      </c>
      <c r="B124" s="266" t="inlineStr">
        <is>
          <t xml:space="preserve">xs_cond</t>
        </is>
      </c>
      <c r="D124" s="277" t="str">
        <f>CHOOSE(1+F124,"Not done","Approximate","Done")</f>
        <v>Not done</v>
      </c>
      <c r="E124" s="269" t="inlineStr">
        <is>
          <t xml:space="preserve">From the record: the medium and temperature matter.</t>
        </is>
      </c>
      <c r="F124" s="277">
        <f>IF(SUMPRODUCT((xr_exp=A124)*(xr_res="Done")*((xr_rx="")+(xr_rx=Reactor_sel)+(xr_rx=rx_ver)&gt;0)*((xr_el="")+(xr_el=electrode_sel)&gt;0)*((xr_org="")+(xr_org=organism_sel)&gt;0)*((xr_med="")+(xr_med=media_sel)&gt;0)*((xr_T="")+(ABS(xr_T-temp_C)&lt;=xr_T_tol)&gt;0))&gt;0,2,IF(SUMPRODUCT((xr_exp=A124)*(xr_res="Approximate")*((xr_rx="")+(xr_rx=Reactor_sel)+(xr_rx=rx_ver)&gt;0)*((xr_el="")+(xr_el=electrode_sel)&gt;0)*((xr_org="")+(xr_org=organism_sel)&gt;0)*((xr_med="")+(xr_med=media_sel)&gt;0)*((xr_T="")+(ABS(xr_T-temp_C)&lt;=xr_T_tol)&gt;0))&gt;0,1,0))</f>
        <v>0.0</v>
      </c>
    </row>
    <row r="125">
      <c r="A125" s="265" t="inlineStr">
        <is>
          <t xml:space="preserve">Measure the electrode centre-to-centre gap</t>
        </is>
      </c>
      <c r="B125" s="266" t="inlineStr">
        <is>
          <t xml:space="preserve">xs_gap</t>
        </is>
      </c>
      <c r="D125" s="277" t="str">
        <f>CHOOSE(1+F125,"Not done","Approximate","Done")</f>
        <v>Not done</v>
      </c>
      <c r="E125" s="269" t="inlineStr">
        <is>
          <t xml:space="preserve">From the record.</t>
        </is>
      </c>
      <c r="F125" s="277">
        <f>IF(SUMPRODUCT((xr_exp=A125)*(xr_res="Done")*((xr_rx="")+(xr_rx=Reactor_sel)+(xr_rx=rx_ver)&gt;0)*((xr_el="")+(xr_el=electrode_sel)&gt;0)*((xr_org="")+(xr_org=organism_sel)&gt;0)*((xr_med="")+(xr_med=media_sel)&gt;0)*((xr_T="")+(ABS(xr_T-temp_C)&lt;=xr_T_tol)&gt;0))&gt;0,2,IF(SUMPRODUCT((xr_exp=A125)*(xr_res="Approximate")*((xr_rx="")+(xr_rx=Reactor_sel)+(xr_rx=rx_ver)&gt;0)*((xr_el="")+(xr_el=electrode_sel)&gt;0)*((xr_org="")+(xr_org=organism_sel)&gt;0)*((xr_med="")+(xr_med=media_sel)&gt;0)*((xr_T="")+(ABS(xr_T-temp_C)&lt;=xr_T_tol)&gt;0))&gt;0,1,0))</f>
        <v>0.0</v>
      </c>
    </row>
    <row r="126">
      <c r="A126" s="265" t="inlineStr">
        <is>
          <t xml:space="preserve">Measure anodic Faradaic efficiency (etaF_OER)</t>
        </is>
      </c>
      <c r="B126" s="266" t="inlineStr">
        <is>
          <t xml:space="preserve">xs_FE_OER</t>
        </is>
      </c>
      <c r="D126" s="277" t="str">
        <f>CHOOSE(1+MAX(IF(ISNUMBER(cal_etaF_OER),2,0),F126),"Not done","Approximate","Done")</f>
        <v>Not done</v>
      </c>
      <c r="E126" s="269" t="inlineStr">
        <is>
          <t xml:space="preserve">Done when the Faradaic-efficiency section has an included O₂ run for this reactor.</t>
        </is>
      </c>
      <c r="F126" s="277">
        <f>IF(SUMPRODUCT((xr_exp=A126)*(xr_res="Done")*((xr_rx="")+(xr_rx=Reactor_sel)+(xr_rx=rx_ver)&gt;0)*((xr_el="")+(xr_el=electrode_sel)&gt;0)*((xr_org="")+(xr_org=organism_sel)&gt;0)*((xr_med="")+(xr_med=media_sel)&gt;0)*((xr_T="")+(ABS(xr_T-temp_C)&lt;=xr_T_tol)&gt;0))&gt;0,2,IF(SUMPRODUCT((xr_exp=A126)*(xr_res="Approximate")*((xr_rx="")+(xr_rx=Reactor_sel)+(xr_rx=rx_ver)&gt;0)*((xr_el="")+(xr_el=electrode_sel)&gt;0)*((xr_org="")+(xr_org=organism_sel)&gt;0)*((xr_med="")+(xr_med=media_sel)&gt;0)*((xr_T="")+(ABS(xr_T-temp_C)&lt;=xr_T_tol)&gt;0))&gt;0,1,0))</f>
        <v>0.0</v>
      </c>
    </row>
    <row r="127">
      <c r="A127" s="265" t="inlineStr">
        <is>
          <t xml:space="preserve">Confirm knallgas uptake ratio (H2:O2:CO2)</t>
        </is>
      </c>
      <c r="B127" s="266" t="inlineStr">
        <is>
          <t xml:space="preserve">xs_knall</t>
        </is>
      </c>
      <c r="D127" s="277" t="str">
        <f>CHOOSE(1+MAX(IF(ISNUMBER(cal_knall_O2),2,0),F127),"Not done","Approximate","Done")</f>
        <v>Not done</v>
      </c>
      <c r="E127" s="269" t="inlineStr">
        <is>
          <t xml:space="preserve">Done when the knallgas section has an included run for this organism.</t>
        </is>
      </c>
      <c r="F127" s="277">
        <f>IF(SUMPRODUCT((xr_exp=A127)*(xr_res="Done")*((xr_rx="")+(xr_rx=Reactor_sel)+(xr_rx=rx_ver)&gt;0)*((xr_el="")+(xr_el=electrode_sel)&gt;0)*((xr_org="")+(xr_org=organism_sel)&gt;0)*((xr_med="")+(xr_med=media_sel)&gt;0)*((xr_T="")+(ABS(xr_T-temp_C)&lt;=xr_T_tol)&gt;0))&gt;0,2,IF(SUMPRODUCT((xr_exp=A127)*(xr_res="Approximate")*((xr_rx="")+(xr_rx=Reactor_sel)+(xr_rx=rx_ver)&gt;0)*((xr_el="")+(xr_el=electrode_sel)&gt;0)*((xr_org="")+(xr_org=organism_sel)&gt;0)*((xr_med="")+(xr_med=media_sel)&gt;0)*((xr_T="")+(ABS(xr_T-temp_C)&lt;=xr_T_tol)&gt;0))&gt;0,1,0))</f>
        <v>0.0</v>
      </c>
    </row>
    <row r="128">
      <c r="A128" s="265" t="inlineStr">
        <is>
          <t xml:space="preserve">Bench-characterise the solenoid pulse floor</t>
        </is>
      </c>
      <c r="B128" s="266" t="inlineStr">
        <is>
          <t xml:space="preserve">xs_floor</t>
        </is>
      </c>
      <c r="D128" s="277" t="str">
        <f>CHOOSE(1+MAX(IF(ISNUMBER(cal_pulse_floor),2,0),F128),"Not done","Approximate","Done")</f>
        <v>Approximate</v>
      </c>
      <c r="E128" s="269" t="inlineStr">
        <is>
          <t xml:space="preserve">Done when the CO₂-flow section has an included Min pulse for this reactor.</t>
        </is>
      </c>
      <c r="F128" s="277">
        <f>IF(SUMPRODUCT((xr_exp=A128)*(xr_res="Done")*((xr_rx="")+(xr_rx=Reactor_sel)+(xr_rx=rx_ver)&gt;0)*((xr_el="")+(xr_el=electrode_sel)&gt;0)*((xr_org="")+(xr_org=organism_sel)&gt;0)*((xr_med="")+(xr_med=media_sel)&gt;0)*((xr_T="")+(ABS(xr_T-temp_C)&lt;=xr_T_tol)&gt;0))&gt;0,2,IF(SUMPRODUCT((xr_exp=A128)*(xr_res="Approximate")*((xr_rx="")+(xr_rx=Reactor_sel)+(xr_rx=rx_ver)&gt;0)*((xr_el="")+(xr_el=electrode_sel)&gt;0)*((xr_org="")+(xr_org=organism_sel)&gt;0)*((xr_med="")+(xr_med=media_sel)&gt;0)*((xr_T="")+(ABS(xr_T-temp_C)&lt;=xr_T_tol)&gt;0))&gt;0,1,0))</f>
        <v>1.0</v>
      </c>
    </row>
    <row r="129">
      <c r="A129" s="265" t="inlineStr">
        <is>
          <t xml:space="preserve">Sparger-attached flow check</t>
        </is>
      </c>
      <c r="B129" s="266" t="inlineStr">
        <is>
          <t xml:space="preserve">xs_spflow</t>
        </is>
      </c>
      <c r="D129" s="277" t="str">
        <f>CHOOSE(1+F129,"Not done","Approximate","Done")</f>
        <v>Approximate</v>
      </c>
      <c r="E129" s="269" t="inlineStr">
        <is>
          <t xml:space="preserve">From the record.</t>
        </is>
      </c>
      <c r="F129" s="277">
        <f>IF(SUMPRODUCT((xr_exp=A129)*(xr_res="Done")*((xr_rx="")+(xr_rx=Reactor_sel)+(xr_rx=rx_ver)&gt;0)*((xr_el="")+(xr_el=electrode_sel)&gt;0)*((xr_org="")+(xr_org=organism_sel)&gt;0)*((xr_med="")+(xr_med=media_sel)&gt;0)*((xr_T="")+(ABS(xr_T-temp_C)&lt;=xr_T_tol)&gt;0))&gt;0,2,IF(SUMPRODUCT((xr_exp=A129)*(xr_res="Approximate")*((xr_rx="")+(xr_rx=Reactor_sel)+(xr_rx=rx_ver)&gt;0)*((xr_el="")+(xr_el=electrode_sel)&gt;0)*((xr_org="")+(xr_org=organism_sel)&gt;0)*((xr_med="")+(xr_med=media_sel)&gt;0)*((xr_T="")+(ABS(xr_T-temp_C)&lt;=xr_T_tol)&gt;0))&gt;0,1,0))</f>
        <v>1.0</v>
      </c>
    </row>
    <row r="130">
      <c r="A130" s="265" t="inlineStr">
        <is>
          <t xml:space="preserve">No-carryover maximum flow</t>
        </is>
      </c>
      <c r="B130" s="266" t="inlineStr">
        <is>
          <t xml:space="preserve">xs_carry</t>
        </is>
      </c>
      <c r="D130" s="277" t="str">
        <f>CHOOSE(1+MAX(IF(ISNUMBER(SEARCH("not measured",carry_flag_ca)),0,2),F130),"Not done","Approximate","Done")</f>
        <v>Approximate</v>
      </c>
      <c r="E130" s="269" t="inlineStr">
        <is>
          <t xml:space="preserve">Done when CO2 flows column K holds a no-carryover flow for this reactor.</t>
        </is>
      </c>
      <c r="F130" s="277">
        <f>IF(SUMPRODUCT((xr_exp=A130)*(xr_res="Done")*((xr_rx="")+(xr_rx=Reactor_sel)+(xr_rx=rx_ver)&gt;0)*((xr_el="")+(xr_el=electrode_sel)&gt;0)*((xr_org="")+(xr_org=organism_sel)&gt;0)*((xr_med="")+(xr_med=media_sel)&gt;0)*((xr_T="")+(ABS(xr_T-temp_C)&lt;=xr_T_tol)&gt;0))&gt;0,2,IF(SUMPRODUCT((xr_exp=A130)*(xr_res="Approximate")*((xr_rx="")+(xr_rx=Reactor_sel)+(xr_rx=rx_ver)&gt;0)*((xr_el="")+(xr_el=electrode_sel)&gt;0)*((xr_org="")+(xr_org=organism_sel)&gt;0)*((xr_med="")+(xr_med=media_sel)&gt;0)*((xr_T="")+(ABS(xr_T-temp_C)&lt;=xr_T_tol)&gt;0))&gt;0,1,0))</f>
        <v>1.0</v>
      </c>
    </row>
    <row r="131">
      <c r="A131" s="265" t="inlineStr">
        <is>
          <t xml:space="preserve">Measure / confirm sinter porosity</t>
        </is>
      </c>
      <c r="B131" s="266" t="inlineStr">
        <is>
          <t xml:space="preserve">xs_sinter</t>
        </is>
      </c>
      <c r="D131" s="277" t="str">
        <f>IF(sparger_ca&lt;&gt;"Sintered","Not needed",CHOOSE(1+MAX(IF(ISNUMBER(cal_sinter),2,0),F131),"Not done","Approximate","Done"))</f>
        <v>Not done</v>
      </c>
      <c r="E131" s="269" t="inlineStr">
        <is>
          <t xml:space="preserve">Not needed without a sintered sparger; Done when the sinter section has an included run for this reactor.</t>
        </is>
      </c>
      <c r="F131" s="277">
        <f>IF(SUMPRODUCT((xr_exp=A131)*(xr_res="Done")*((xr_rx="")+(xr_rx=Reactor_sel)+(xr_rx=rx_ver)&gt;0)*((xr_el="")+(xr_el=electrode_sel)&gt;0)*((xr_org="")+(xr_org=organism_sel)&gt;0)*((xr_med="")+(xr_med=media_sel)&gt;0)*((xr_T="")+(ABS(xr_T-temp_C)&lt;=xr_T_tol)&gt;0))&gt;0,2,IF(SUMPRODUCT((xr_exp=A131)*(xr_res="Approximate")*((xr_rx="")+(xr_rx=Reactor_sel)+(xr_rx=rx_ver)&gt;0)*((xr_el="")+(xr_el=electrode_sel)&gt;0)*((xr_org="")+(xr_org=organism_sel)&gt;0)*((xr_med="")+(xr_med=media_sel)&gt;0)*((xr_T="")+(ABS(xr_T-temp_C)&lt;=xr_T_tol)&gt;0))&gt;0,1,0))</f>
        <v>0.0</v>
      </c>
    </row>
    <row r="132">
      <c r="A132" s="265" t="inlineStr">
        <is>
          <t xml:space="preserve">Record lab ambient pressure</t>
        </is>
      </c>
      <c r="B132" s="266" t="inlineStr">
        <is>
          <t xml:space="preserve">xs_patm</t>
        </is>
      </c>
      <c r="D132" s="277" t="str">
        <f>CHOOSE(1+MAX(IF(ISNUMBER(P_atm_ca),2,0),F132),"Not done","Approximate","Done")</f>
        <v>Not done</v>
      </c>
      <c r="E132" s="269" t="inlineStr">
        <is>
          <t xml:space="preserve">Done when an ambient pressure is entered on Summary (row 10).</t>
        </is>
      </c>
      <c r="F132" s="277">
        <f>IF(SUMPRODUCT((xr_exp=A132)*(xr_res="Done")*((xr_rx="")+(xr_rx=Reactor_sel)+(xr_rx=rx_ver)&gt;0)*((xr_el="")+(xr_el=electrode_sel)&gt;0)*((xr_org="")+(xr_org=organism_sel)&gt;0)*((xr_med="")+(xr_med=media_sel)&gt;0)*((xr_T="")+(ABS(xr_T-temp_C)&lt;=xr_T_tol)&gt;0))&gt;0,2,IF(SUMPRODUCT((xr_exp=A132)*(xr_res="Approximate")*((xr_rx="")+(xr_rx=Reactor_sel)+(xr_rx=rx_ver)&gt;0)*((xr_el="")+(xr_el=electrode_sel)&gt;0)*((xr_org="")+(xr_org=organism_sel)&gt;0)*((xr_med="")+(xr_med=media_sel)&gt;0)*((xr_T="")+(ABS(xr_T-temp_C)&lt;=xr_T_tol)&gt;0))&gt;0,1,0))</f>
        <v>0.0</v>
      </c>
    </row>
    <row r="134">
      <c r="A134" s="278" t="inlineStr">
        <is>
          <t xml:space="preserve">NAMED CONSTANTS AND IMPORTS (experiment status)</t>
        </is>
      </c>
      <c r="B134" s="278"/>
      <c r="C134" s="278"/>
      <c r="D134" s="278"/>
      <c r="E134" s="278"/>
      <c r="F134" s="278"/>
      <c r="G134" s="278"/>
      <c r="H134" s="278"/>
      <c r="I134" s="278"/>
      <c r="J134" s="278"/>
      <c r="K134" s="278"/>
      <c r="L134" s="278"/>
      <c r="M134" s="278"/>
      <c r="N134" s="278"/>
    </row>
    <row r="135">
      <c r="A135" s="265" t="inlineStr">
        <is>
          <t xml:space="preserve">Temperature tolerance for a recorded experiment</t>
        </is>
      </c>
      <c r="B135" s="266" t="inlineStr">
        <is>
          <t xml:space="preserve">xr_T_tol</t>
        </is>
      </c>
      <c r="C135" s="265" t="inlineStr">
        <is>
          <t xml:space="preserve">°C</t>
        </is>
      </c>
      <c r="D135" s="268">
        <v>2.0</v>
      </c>
      <c r="E135" s="314" t="inlineStr">
        <is>
          <t xml:space="preserve">Design assumption: a result recorded within ±2 °C of the Summary temperature counts as matching (k_m runs use the tighter D191).</t>
        </is>
      </c>
    </row>
    <row r="136">
      <c r="A136" s="265" t="inlineStr">
        <is>
          <t xml:space="preserve">(import) Reactor has a CO₂ flow calibration</t>
        </is>
      </c>
      <c r="B136" s="266" t="inlineStr">
        <is>
          <t xml:space="preserve">has_cal_ca</t>
        </is>
      </c>
      <c r="C136" s="265" t="inlineStr">
        <is>
          <t xml:space="preserve">count</t>
        </is>
      </c>
      <c r="D136" s="277">
        <f>'Mass Transfer'!has_cal</f>
        <v>1.0</v>
      </c>
      <c r="E136" s="310" t="inlineStr">
        <is>
          <t xml:space="preserve">Import from Mass Transfer!D119 (has_cal).</t>
        </is>
      </c>
    </row>
    <row r="137">
      <c r="A137" s="265" t="inlineStr">
        <is>
          <t xml:space="preserve">(import) Lower edge of the fitted current curve</t>
        </is>
      </c>
      <c r="B137" s="266" t="inlineStr">
        <is>
          <t xml:space="preserve">gerrit_min_ca</t>
        </is>
      </c>
      <c r="C137" s="265" t="inlineStr">
        <is>
          <t xml:space="preserve">%</t>
        </is>
      </c>
      <c r="D137" s="277">
        <f>Electrochemistry!gerrit_min</f>
        <v>3.0</v>
      </c>
      <c r="E137" s="310" t="inlineStr">
        <is>
          <t xml:space="preserve">Import from Electrochemistry!D13 (gerrit_min).</t>
        </is>
      </c>
    </row>
    <row r="138">
      <c r="A138" s="265" t="inlineStr">
        <is>
          <t xml:space="preserve">(import) Vent model on Summary</t>
        </is>
      </c>
      <c r="B138" s="266" t="inlineStr">
        <is>
          <t xml:space="preserve">vent_model_ca</t>
        </is>
      </c>
      <c r="C138" s="265" t="inlineStr">
        <is>
          <t xml:space="preserve">-</t>
        </is>
      </c>
      <c r="D138" s="277" t="str">
        <f>Summary!vent_model_sel</f>
        <v>Open vent</v>
      </c>
      <c r="E138" s="310" t="inlineStr">
        <is>
          <t xml:space="preserve">Import from Summary!D11 (vent_model_sel).</t>
        </is>
      </c>
    </row>
    <row r="139">
      <c r="A139" s="265" t="inlineStr">
        <is>
          <t xml:space="preserve">(import) Chloride in the medium in use</t>
        </is>
      </c>
      <c r="B139" s="266" t="inlineStr">
        <is>
          <t xml:space="preserve">Cl_sel_ca</t>
        </is>
      </c>
      <c r="C139" s="265" t="inlineStr">
        <is>
          <t xml:space="preserve">mol/L</t>
        </is>
      </c>
      <c r="D139" s="277">
        <f>Chemistry!pH_Cl</f>
        <v>0.0</v>
      </c>
      <c r="E139" s="310" t="inlineStr">
        <is>
          <t xml:space="preserve">Import from Chemistry!D47 (pH_Cl).</t>
        </is>
      </c>
    </row>
    <row r="140">
      <c r="A140" s="265" t="inlineStr">
        <is>
          <t xml:space="preserve">(import) Carryover verdict</t>
        </is>
      </c>
      <c r="B140" s="266" t="inlineStr">
        <is>
          <t xml:space="preserve">carry_flag_ca</t>
        </is>
      </c>
      <c r="C140" s="265" t="inlineStr">
        <is>
          <t xml:space="preserve">-</t>
        </is>
      </c>
      <c r="D140" s="277" t="str">
        <f>'Mass Transfer'!carry_flag</f>
        <v>not measured – record the max flow without carryover for ed04 in CO2 flows column M</v>
      </c>
      <c r="E140" s="310" t="inlineStr">
        <is>
          <t xml:space="preserve">Import from Mass Transfer!D59 (carry_flag).</t>
        </is>
      </c>
    </row>
    <row r="141">
      <c r="A141" s="265" t="inlineStr">
        <is>
          <t xml:space="preserve">(import) Sparger of the electrode in use</t>
        </is>
      </c>
      <c r="B141" s="266" t="inlineStr">
        <is>
          <t xml:space="preserve">sparger_ca</t>
        </is>
      </c>
      <c r="C141" s="265" t="inlineStr">
        <is>
          <t xml:space="preserve">-</t>
        </is>
      </c>
      <c r="D141" s="277" t="str">
        <f>'Mass Transfer'!sparger</f>
        <v>Sintered</v>
      </c>
      <c r="E141" s="310" t="inlineStr">
        <is>
          <t xml:space="preserve">Import from Mass Transfer!D21 (sparger).</t>
        </is>
      </c>
    </row>
    <row r="142">
      <c r="A142" s="265" t="inlineStr">
        <is>
          <t xml:space="preserve">(import) Ambient pressure entered on Summary</t>
        </is>
      </c>
      <c r="B142" s="266" t="inlineStr">
        <is>
          <t xml:space="preserve">P_atm_ca</t>
        </is>
      </c>
      <c r="C142" s="265" t="inlineStr">
        <is>
          <t xml:space="preserve">Pa</t>
        </is>
      </c>
      <c r="D142" s="277" t="str">
        <f>IF(ISNUMBER(Summary!P_atm_set),Summary!P_atm_set,"blank")</f>
        <v>blank</v>
      </c>
      <c r="E142" s="310" t="inlineStr">
        <is>
          <t xml:space="preserve">Import from Summary!D10 (P_atm_set); "blank" when none is entered.</t>
        </is>
      </c>
    </row>
  </sheetData>
  <conditionalFormatting sqref="D65 D66 D67 D68 D69 D98 D99 D100">
    <cfRule type="expression" dxfId="48" priority="1" stopIfTrue="1">
      <formula>OR(ISBLANK(D65),NOT(ISNUMBER(D65)),D65&lt;=0)</formula>
    </cfRule>
  </conditionalFormatting>
  <conditionalFormatting sqref="D64 D88 D89 D135">
    <cfRule type="expression" dxfId="48" priority="2" stopIfTrue="1">
      <formula>OR(ISBLANK(D64),NOT(ISNUMBER(D64)))</formula>
    </cfRule>
  </conditionalFormatting>
  <conditionalFormatting sqref="D106:D132">
    <cfRule type="expression" dxfId="46" priority="3" stopIfTrue="1">
      <formula>OR(D106="Done",D106="Not needed")</formula>
    </cfRule>
    <cfRule type="expression" dxfId="47" priority="4" stopIfTrue="1">
      <formula>D106="Approximate"</formula>
    </cfRule>
    <cfRule type="expression" dxfId="48" priority="5" stopIfTrue="1">
      <formula>D106="Not done"</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4472C4"/>
    <outlinePr summaryBelow="1" summaryRight="1"/>
  </sheetPr>
  <dimension ref="A1:BG59"/>
  <sheetViews>
    <sheetView workbookViewId="0" zoomScale="100">
      <pane xSplit="1" ySplit="13" topLeftCell="B14" activePane="bottomRight" state="frozen"/>
      <selection pane="topRight"/>
      <selection pane="bottomLeft"/>
      <selection pane="bottomRight" activeCell="T18" sqref="T18"/>
    </sheetView>
  </sheetViews>
  <sheetFormatPr defaultRowHeight="15" outlineLevelRow="1" outlineLevelCol="1"/>
  <cols>
    <col min="1" max="1" width="38" customWidth="1"/>
    <col min="2" max="2" width="16" customWidth="1"/>
    <col min="3" max="3" width="11" customWidth="1"/>
    <col min="4" max="18" width="8" customWidth="1" outlineLevel="1" hidden="1"/>
    <col min="19" max="19" width="34" customWidth="1" collapsed="1"/>
    <col min="20" max="60" width="30" customWidth="1"/>
  </cols>
  <sheetData>
    <row r="1">
      <c r="A1" s="263" t="inlineStr">
        <is>
          <t xml:space="preserve">MEDIA – every medium side by side: what goes in (the table) and what the model calculates from it (below)</t>
        </is>
      </c>
      <c r="B1" s="263"/>
      <c r="C1" s="263"/>
      <c r="D1" s="263"/>
      <c r="E1" s="263"/>
      <c r="F1" s="263"/>
      <c r="G1" s="263"/>
      <c r="H1" s="263"/>
      <c r="I1" s="263"/>
      <c r="J1" s="263"/>
      <c r="K1" s="263"/>
      <c r="L1" s="263"/>
      <c r="M1" s="263"/>
      <c r="N1" s="263"/>
      <c r="O1" s="263"/>
      <c r="P1" s="263"/>
      <c r="Q1" s="263"/>
      <c r="R1" s="263"/>
      <c r="S1" s="263"/>
      <c r="T1" s="263"/>
      <c r="U1" s="263"/>
      <c r="V1" s="263"/>
      <c r="W1" s="263"/>
    </row>
    <row r="2" ht="30" customHeight="1">
      <c r="A2" s="269" t="inlineStr">
        <is>
          <t xml:space="preserve">Add a medium: type its name in the first empty cell to the right of the last medium in row 13. The table widens and every calculation below fills in. Then type each ingredient in g per litre of finished medium (blank = not in the recipe).</t>
        </is>
      </c>
    </row>
    <row r="3" ht="30" customHeight="1">
      <c r="A3" s="269" t="inlineStr">
        <is>
          <t xml:space="preserve">Add an ingredient: right-click an ingredient row, Insert, Table Rows Above. Give it a name, formula and molar mass, then click + above column S to show the ion columns and enter the ions one formula unit releases.</t>
        </is>
      </c>
    </row>
    <row r="4">
      <c r="A4" s="265" t="inlineStr">
        <is>
          <t xml:space="preserve">Compare with (cells that differ are shaded amber)</t>
        </is>
      </c>
      <c r="B4" s="268" t="inlineStr">
        <is>
          <t xml:space="preserve">AM003</t>
        </is>
      </c>
      <c r="C4" s="269" t="inlineStr">
        <is>
          <t xml:space="preserve">Choose any medium in row 13.</t>
        </is>
      </c>
    </row>
    <row r="6" outlineLevel="1" hidden="1">
      <c r="A6" s="278" t="inlineStr">
        <is>
          <t xml:space="preserve">ION PROPERTIES – one column per ion; the calculations below use these rows</t>
        </is>
      </c>
      <c r="B6" s="278"/>
      <c r="C6" s="278"/>
      <c r="D6" s="278"/>
      <c r="E6" s="278"/>
      <c r="F6" s="278"/>
      <c r="G6" s="278"/>
      <c r="H6" s="278"/>
      <c r="I6" s="278"/>
      <c r="J6" s="278"/>
      <c r="K6" s="278"/>
      <c r="L6" s="278"/>
      <c r="M6" s="278"/>
      <c r="N6" s="278"/>
      <c r="O6" s="278"/>
      <c r="P6" s="278"/>
      <c r="Q6" s="278"/>
      <c r="R6" s="278"/>
      <c r="S6" s="278"/>
    </row>
    <row r="7" outlineLevel="1" hidden="1">
      <c r="A7" s="265" t="inlineStr">
        <is>
          <t xml:space="preserve">Charge z</t>
        </is>
      </c>
      <c r="B7" s="266" t="inlineStr">
        <is>
          <t xml:space="preserve">ion_z</t>
        </is>
      </c>
      <c r="D7" s="268">
        <v>1.0</v>
      </c>
      <c r="E7" s="268">
        <v>1.0</v>
      </c>
      <c r="F7" s="268">
        <v>1.0</v>
      </c>
      <c r="G7" s="268">
        <v>2.0</v>
      </c>
      <c r="H7" s="268">
        <v>2.0</v>
      </c>
      <c r="I7" s="268">
        <v>2.0</v>
      </c>
      <c r="J7" s="268">
        <v>2.0</v>
      </c>
      <c r="K7" s="268">
        <v>1.0</v>
      </c>
      <c r="L7" s="268">
        <v>-1.0</v>
      </c>
      <c r="M7" s="268">
        <v>-2.0</v>
      </c>
      <c r="N7" s="268">
        <v>-1.0</v>
      </c>
      <c r="O7" s="268">
        <v>-2.0</v>
      </c>
      <c r="P7" s="268">
        <v>-1.0</v>
      </c>
      <c r="Q7" s="268">
        <v>-2.0</v>
      </c>
      <c r="R7" s="268">
        <v>-1.0</v>
      </c>
      <c r="S7" s="303" t="inlineStr">
        <is>
          <t xml:space="preserve">Ionic charge.</t>
        </is>
      </c>
    </row>
    <row r="8" outlineLevel="1" hidden="1">
      <c r="A8" s="265" t="inlineStr">
        <is>
          <t xml:space="preserve">Counts in the strong-ion difference (equivalents per ion)</t>
        </is>
      </c>
      <c r="B8" s="266" t="inlineStr">
        <is>
          <t xml:space="preserve">ion_sid</t>
        </is>
      </c>
      <c r="D8" s="268">
        <v>1.0</v>
      </c>
      <c r="E8" s="268">
        <v>1.0</v>
      </c>
      <c r="F8" s="268">
        <v>0.0</v>
      </c>
      <c r="G8" s="268">
        <v>2.0</v>
      </c>
      <c r="H8" s="268">
        <v>2.0</v>
      </c>
      <c r="I8" s="268">
        <v>2.0</v>
      </c>
      <c r="J8" s="268">
        <v>2.0</v>
      </c>
      <c r="K8" s="268">
        <v>0.0</v>
      </c>
      <c r="L8" s="268">
        <v>0.0</v>
      </c>
      <c r="M8" s="268">
        <v>0.0</v>
      </c>
      <c r="N8" s="268">
        <v>0.0</v>
      </c>
      <c r="O8" s="268">
        <v>-2.0</v>
      </c>
      <c r="P8" s="268">
        <v>-1.0</v>
      </c>
      <c r="Q8" s="268">
        <v>-2.0</v>
      </c>
      <c r="R8" s="268">
        <v>-1.0</v>
      </c>
      <c r="S8" s="303" t="inlineStr">
        <is>
          <t xml:space="preserve">Strong cations count +z, strong anions −z. Phosphate, bicarbonate and ammonium are weak and are solved in the pH charge balance; H⁺ from the stock acid is a proton, not a strong ion.</t>
        </is>
      </c>
    </row>
    <row r="9" outlineLevel="1" hidden="1">
      <c r="A9" s="265" t="inlineStr">
        <is>
          <t xml:space="preserve">Molar conductivity λ (S·cm²/mol)</t>
        </is>
      </c>
      <c r="B9" s="266" t="inlineStr">
        <is>
          <t xml:space="preserve">ion_lam</t>
        </is>
      </c>
      <c r="D9" s="196">
        <f>Chemistry!lam_Na</f>
        <v>50.08</v>
      </c>
      <c r="E9" s="196">
        <f>Chemistry!lam_K</f>
        <v>73.48</v>
      </c>
      <c r="F9" s="196">
        <f>Chemistry!lam_NH4</f>
        <v>73.5</v>
      </c>
      <c r="G9" s="196">
        <f>Chemistry!lam_Mg</f>
        <v>106.0</v>
      </c>
      <c r="H9" s="196">
        <f>Chemistry!lam_Ca</f>
        <v>118.94</v>
      </c>
      <c r="I9" s="268">
        <v>0.0</v>
      </c>
      <c r="J9" s="268">
        <v>0.0</v>
      </c>
      <c r="K9" s="268">
        <v>0.0</v>
      </c>
      <c r="L9" s="196">
        <f>Chemistry!lam_H2PO4</f>
        <v>36.0</v>
      </c>
      <c r="M9" s="196">
        <f>Chemistry!lam_HPO4</f>
        <v>114.0</v>
      </c>
      <c r="N9" s="196">
        <f>Chemistry!lam_HCO3</f>
        <v>44.5</v>
      </c>
      <c r="O9" s="196">
        <f>Chemistry!lam_SO4</f>
        <v>160.0</v>
      </c>
      <c r="P9" s="196">
        <f>Chemistry!lam_Cl</f>
        <v>76.31</v>
      </c>
      <c r="Q9" s="268">
        <v>0.0</v>
      </c>
      <c r="R9" s="268">
        <v>71.42</v>
      </c>
      <c r="S9" s="306" t="inlineStr">
        <is>
          <t xml:space="preserve">Kohlrausch limiting molar conductivities (Chemistry). Fe²⁺, trace metals and molybdate are trace and omitted (0); H⁺ from the stock acid is taken up by the phosphate buffer (0). NO₃⁻: 71.42 (CRC handbook).</t>
        </is>
      </c>
    </row>
    <row r="10" outlineLevel="1" hidden="1">
      <c r="A10" s="265" t="inlineStr">
        <is>
          <t xml:space="preserve">Counts as phosphate</t>
        </is>
      </c>
      <c r="B10" s="266" t="inlineStr">
        <is>
          <t xml:space="preserve">ion_P</t>
        </is>
      </c>
      <c r="D10" s="268">
        <v>0.0</v>
      </c>
      <c r="E10" s="268">
        <v>0.0</v>
      </c>
      <c r="F10" s="268">
        <v>0.0</v>
      </c>
      <c r="G10" s="268">
        <v>0.0</v>
      </c>
      <c r="H10" s="268">
        <v>0.0</v>
      </c>
      <c r="I10" s="268">
        <v>0.0</v>
      </c>
      <c r="J10" s="268">
        <v>0.0</v>
      </c>
      <c r="K10" s="268">
        <v>0.0</v>
      </c>
      <c r="L10" s="268">
        <v>1.0</v>
      </c>
      <c r="M10" s="268">
        <v>1.0</v>
      </c>
      <c r="N10" s="268">
        <v>0.0</v>
      </c>
      <c r="O10" s="268">
        <v>0.0</v>
      </c>
      <c r="P10" s="268">
        <v>0.0</v>
      </c>
      <c r="Q10" s="268">
        <v>0.0</v>
      </c>
      <c r="R10" s="268">
        <v>0.0</v>
      </c>
      <c r="S10" s="303" t="inlineStr">
        <is>
          <t xml:space="preserve">1 for the phosphate species.</t>
        </is>
      </c>
    </row>
    <row r="11" outlineLevel="1" hidden="1">
      <c r="A11" s="265" t="inlineStr">
        <is>
          <t xml:space="preserve">Counts as ammonium</t>
        </is>
      </c>
      <c r="B11" s="266" t="inlineStr">
        <is>
          <t xml:space="preserve">ion_N</t>
        </is>
      </c>
      <c r="D11" s="268">
        <v>0.0</v>
      </c>
      <c r="E11" s="268">
        <v>0.0</v>
      </c>
      <c r="F11" s="268">
        <v>1.0</v>
      </c>
      <c r="G11" s="268">
        <v>0.0</v>
      </c>
      <c r="H11" s="268">
        <v>0.0</v>
      </c>
      <c r="I11" s="268">
        <v>0.0</v>
      </c>
      <c r="J11" s="268">
        <v>0.0</v>
      </c>
      <c r="K11" s="268">
        <v>0.0</v>
      </c>
      <c r="L11" s="268">
        <v>0.0</v>
      </c>
      <c r="M11" s="268">
        <v>0.0</v>
      </c>
      <c r="N11" s="268">
        <v>0.0</v>
      </c>
      <c r="O11" s="268">
        <v>0.0</v>
      </c>
      <c r="P11" s="268">
        <v>0.0</v>
      </c>
      <c r="Q11" s="268">
        <v>0.0</v>
      </c>
      <c r="R11" s="268">
        <v>0.0</v>
      </c>
      <c r="S11" s="303" t="inlineStr">
        <is>
          <t xml:space="preserve">1 for ammonium.</t>
        </is>
      </c>
    </row>
    <row r="12" outlineLevel="1" hidden="1">
      <c r="A12" s="265" t="inlineStr">
        <is>
          <t xml:space="preserve">Counts as chloride</t>
        </is>
      </c>
      <c r="B12" s="266" t="inlineStr">
        <is>
          <t xml:space="preserve">ion_Cl</t>
        </is>
      </c>
      <c r="D12" s="268">
        <v>0.0</v>
      </c>
      <c r="E12" s="268">
        <v>0.0</v>
      </c>
      <c r="F12" s="268">
        <v>0.0</v>
      </c>
      <c r="G12" s="268">
        <v>0.0</v>
      </c>
      <c r="H12" s="268">
        <v>0.0</v>
      </c>
      <c r="I12" s="268">
        <v>0.0</v>
      </c>
      <c r="J12" s="268">
        <v>0.0</v>
      </c>
      <c r="K12" s="268">
        <v>0.0</v>
      </c>
      <c r="L12" s="268">
        <v>0.0</v>
      </c>
      <c r="M12" s="268">
        <v>0.0</v>
      </c>
      <c r="N12" s="268">
        <v>0.0</v>
      </c>
      <c r="O12" s="268">
        <v>0.0</v>
      </c>
      <c r="P12" s="268">
        <v>1.0</v>
      </c>
      <c r="Q12" s="268">
        <v>0.0</v>
      </c>
      <c r="R12" s="268">
        <v>0.0</v>
      </c>
      <c r="S12" s="303" t="inlineStr">
        <is>
          <t xml:space="preserve">1 for chloride.</t>
        </is>
      </c>
    </row>
    <row r="13" collapsed="1" ht="30" customHeight="1">
      <c r="A13" s="264" t="inlineStr">
        <is>
          <t xml:space="preserve">Ingredient</t>
        </is>
      </c>
      <c r="B13" s="264" t="inlineStr">
        <is>
          <t xml:space="preserve">Formula</t>
        </is>
      </c>
      <c r="C13" s="264" t="inlineStr">
        <is>
          <t xml:space="preserve">Molar mass (g/mol)</t>
        </is>
      </c>
      <c r="D13" s="264" t="inlineStr">
        <is>
          <t xml:space="preserve">Na⁺</t>
        </is>
      </c>
      <c r="E13" s="264" t="inlineStr">
        <is>
          <t xml:space="preserve">K⁺</t>
        </is>
      </c>
      <c r="F13" s="264" t="inlineStr">
        <is>
          <t xml:space="preserve">NH₄⁺</t>
        </is>
      </c>
      <c r="G13" s="264" t="inlineStr">
        <is>
          <t xml:space="preserve">Mg²⁺</t>
        </is>
      </c>
      <c r="H13" s="264" t="inlineStr">
        <is>
          <t xml:space="preserve">Ca²⁺</t>
        </is>
      </c>
      <c r="I13" s="264" t="inlineStr">
        <is>
          <t xml:space="preserve">Fe²⁺</t>
        </is>
      </c>
      <c r="J13" s="264" t="inlineStr">
        <is>
          <t xml:space="preserve">Trace M²⁺</t>
        </is>
      </c>
      <c r="K13" s="264" t="inlineStr">
        <is>
          <t xml:space="preserve">H⁺ (acid)</t>
        </is>
      </c>
      <c r="L13" s="264" t="inlineStr">
        <is>
          <t xml:space="preserve">H₂PO₄⁻</t>
        </is>
      </c>
      <c r="M13" s="264" t="inlineStr">
        <is>
          <t xml:space="preserve">HPO₄²⁻</t>
        </is>
      </c>
      <c r="N13" s="264" t="inlineStr">
        <is>
          <t xml:space="preserve">HCO₃⁻</t>
        </is>
      </c>
      <c r="O13" s="264" t="inlineStr">
        <is>
          <t xml:space="preserve">SO₄²⁻</t>
        </is>
      </c>
      <c r="P13" s="264" t="inlineStr">
        <is>
          <t xml:space="preserve">Cl⁻</t>
        </is>
      </c>
      <c r="Q13" s="264" t="inlineStr">
        <is>
          <t xml:space="preserve">MoO₄²⁻</t>
        </is>
      </c>
      <c r="R13" s="264" t="inlineStr">
        <is>
          <t xml:space="preserve">NO₃⁻</t>
        </is>
      </c>
      <c r="S13" s="264" t="inlineStr">
        <is>
          <t xml:space="preserve">Notes</t>
        </is>
      </c>
      <c r="T13" s="264" t="inlineStr">
        <is>
          <t xml:space="preserve">AM001</t>
        </is>
      </c>
      <c r="U13" s="264" t="inlineStr">
        <is>
          <t xml:space="preserve">AM002</t>
        </is>
      </c>
      <c r="V13" s="264" t="inlineStr">
        <is>
          <t xml:space="preserve">UdG phosphate</t>
        </is>
      </c>
      <c r="W13" s="264" t="inlineStr">
        <is>
          <t xml:space="preserve">AM003</t>
        </is>
      </c>
    </row>
    <row r="14" ht="92" customHeight="1">
      <c r="A14" s="265" t="inlineStr">
        <is>
          <t xml:space="preserve">Description</t>
        </is>
      </c>
      <c r="B14"/>
      <c r="C14"/>
      <c r="D14"/>
      <c r="E14"/>
      <c r="F14"/>
      <c r="G14"/>
      <c r="H14"/>
      <c r="I14"/>
      <c r="J14"/>
      <c r="K14"/>
      <c r="L14"/>
      <c r="M14"/>
      <c r="N14"/>
      <c r="O14"/>
      <c r="P14"/>
      <c r="Q14"/>
      <c r="R14"/>
      <c r="S14" s="270" t="inlineStr">
        <is>
          <t xml:space="preserve">What the medium is for, in a sentence.</t>
        </is>
      </c>
      <c r="T14" s="323" t="inlineStr">
        <is>
          <t xml:space="preserve">First AMYBO minimal medium (formerly MC01): the Sydow 2017 optimal medium with its trace metals split into an iron bottle and a mineral bottle, chloride-free.</t>
        </is>
      </c>
      <c r="U14" s="323" t="inlineStr">
        <is>
          <t xml:space="preserve">Formerly MC02: AM001 with both stocks made up in 0.2 M H₂SO₄, so it is chloride-free and the stocks keep for years. Used in the early electroPioreactor runs.</t>
        </is>
      </c>
      <c r="V14" s="323" t="inlineStr">
        <is>
          <t xml:space="preserve">University of Girona HOB medium (Pous 2022, 2023). Known to work, but it contains chloride (CaCl₂), which the anode turns into chlorine.</t>
        </is>
      </c>
      <c r="W14" s="323" t="inlineStr">
        <is>
          <t xml:space="preserve">Teo Reid's final medium: AM002's salts with 30/30 mM phosphate, 40 mM NaHCO₃ and a fifth of the iron. The recommended AMYBO minimal medium for HOB lab work and enrichments.</t>
        </is>
      </c>
    </row>
    <row r="15">
      <c r="A15" s="265" t="inlineStr">
        <is>
          <t xml:space="preserve">Status</t>
        </is>
      </c>
      <c r="B15"/>
      <c r="C15"/>
      <c r="D15"/>
      <c r="E15"/>
      <c r="F15"/>
      <c r="G15"/>
      <c r="H15"/>
      <c r="I15"/>
      <c r="J15"/>
      <c r="K15"/>
      <c r="L15"/>
      <c r="M15"/>
      <c r="N15"/>
      <c r="O15"/>
      <c r="P15"/>
      <c r="Q15"/>
      <c r="R15"/>
      <c r="S15" s="270" t="inlineStr">
        <is>
          <t xml:space="preserve">Recommended, External – reference, or Historical – don't use.</t>
        </is>
      </c>
      <c r="T15" s="268" t="inlineStr">
        <is>
          <t xml:space="preserve">Historical – don't use</t>
        </is>
      </c>
      <c r="U15" s="268" t="inlineStr">
        <is>
          <t xml:space="preserve">Historical – don't use</t>
        </is>
      </c>
      <c r="V15" s="268" t="inlineStr">
        <is>
          <t xml:space="preserve">External – reference</t>
        </is>
      </c>
      <c r="W15" s="268" t="inlineStr">
        <is>
          <t xml:space="preserve">Recommended</t>
        </is>
      </c>
    </row>
    <row r="16" ht="122" customHeight="1">
      <c r="A16" s="265" t="inlineStr">
        <is>
          <t xml:space="preserve">Preparation and stocks</t>
        </is>
      </c>
      <c r="B16"/>
      <c r="C16"/>
      <c r="D16"/>
      <c r="E16"/>
      <c r="F16"/>
      <c r="G16"/>
      <c r="H16"/>
      <c r="I16"/>
      <c r="J16"/>
      <c r="K16"/>
      <c r="L16"/>
      <c r="M16"/>
      <c r="N16"/>
      <c r="O16"/>
      <c r="P16"/>
      <c r="Q16"/>
      <c r="R16"/>
      <c r="S16" s="270" t="inlineStr">
        <is>
          <t xml:space="preserve">How the stocks are made and dosed.</t>
        </is>
      </c>
      <c r="T16" s="323" t="inlineStr">
        <is>
          <t xml:space="preserve">Iron stock 15 g/L FeSO₄·7H₂O in 0.2 M H₂SO₄, 3.40 mL/L. Mineral stock in water, 0.05 mL/L: it precipitated, which is why AM002 acidifies both.</t>
        </is>
      </c>
      <c r="U16" s="323" t="inlineStr">
        <is>
          <t xml:space="preserve">Iron stock 15 g/L FeSO₄·7H₂O in 0.2 M H₂SO₄, 3.40 mL/L; mineral stock in 0.2 M H₂SO₄, 0.05 mL/L.</t>
        </is>
      </c>
      <c r="V16" s="323" t="inlineStr">
        <is>
          <t xml:space="preserve">Trace elements not entered here (see the source). Nitrogen varies between papers: urea, (NH₄)₂SO₄ or NH₄Cl.</t>
        </is>
      </c>
      <c r="W16" s="323" t="inlineStr">
        <is>
          <t xml:space="preserve">Iron stock 15 g/L FeSO₄·7H₂O in 0.2 M H₂SO₄, 0.68 mL/L; mineral stock in 0.2 M H₂SO₄, 0.05 mL/L. Filter-sterilise each solution. Optional: 50 mL/L 10 % sodium gluconate for growth on a carbon source (not modelled).</t>
        </is>
      </c>
    </row>
    <row r="17" ht="62" customHeight="1">
      <c r="A17" s="265" t="inlineStr">
        <is>
          <t xml:space="preserve">Source</t>
        </is>
      </c>
      <c r="B17"/>
      <c r="C17"/>
      <c r="D17"/>
      <c r="E17"/>
      <c r="F17"/>
      <c r="G17"/>
      <c r="H17"/>
      <c r="I17"/>
      <c r="J17"/>
      <c r="K17"/>
      <c r="L17"/>
      <c r="M17"/>
      <c r="N17"/>
      <c r="O17"/>
      <c r="P17"/>
      <c r="Q17"/>
      <c r="R17"/>
      <c r="S17" s="270" t="inlineStr">
        <is>
          <t xml:space="preserve">Where the recipe comes from; the fill shows the confidence (Summary Key).</t>
        </is>
      </c>
      <c r="T17" s="305" t="inlineStr">
        <is>
          <t xml:space="preserve">Media/MediaFormulation.md and Media/README.md. Iron-stock acid strength assumed 0.2 M as in AM002 (not recorded).</t>
        </is>
      </c>
      <c r="U17" s="303" t="inlineStr">
        <is>
          <t xml:space="preserve">Media/README.md (mesonutrients from Sydow 2017 SI Table S1; two-bottle trace stocks).</t>
        </is>
      </c>
      <c r="V17" s="306" t="inlineStr">
        <is>
          <t xml:space="preserve">Pous 2022 (BiTE 101010) / Pous 2023 (JECE 111550), UdG recipe.</t>
        </is>
      </c>
      <c r="W17" s="306" t="inlineStr">
        <is>
          <t xml:space="preserve">Teo Reid, MRes thesis, Table 2 and Medium section (PDF p10).</t>
        </is>
      </c>
    </row>
    <row r="18">
      <c r="A18" s="265" t="inlineStr">
        <is>
          <t xml:space="preserve">Potassium dihydrogen phosphate</t>
        </is>
      </c>
      <c r="B18" s="265" t="inlineStr">
        <is>
          <t xml:space="preserve">KH₂PO₄</t>
        </is>
      </c>
      <c r="C18" s="268">
        <v>136.086</v>
      </c>
      <c r="D18" s="268"/>
      <c r="E18" s="268">
        <v>1.0</v>
      </c>
      <c r="F18" s="268"/>
      <c r="G18" s="268"/>
      <c r="H18" s="268"/>
      <c r="I18" s="268"/>
      <c r="J18" s="268"/>
      <c r="K18" s="268"/>
      <c r="L18" s="268">
        <v>1.0</v>
      </c>
      <c r="M18" s="268"/>
      <c r="N18" s="268"/>
      <c r="O18" s="268"/>
      <c r="P18" s="268"/>
      <c r="Q18" s="268"/>
      <c r="R18" s="268"/>
      <c r="S18" s="316" t="inlineStr">
        <is>
          <t xml:space="preserve">Formula molar mass (handbook), hydrate as listed.</t>
        </is>
      </c>
      <c r="T18" s="268"/>
      <c r="U18" s="268"/>
      <c r="V18" s="268">
        <v>2.3</v>
      </c>
      <c r="W18" s="268"/>
    </row>
    <row r="19">
      <c r="A19" s="265" t="inlineStr">
        <is>
          <t xml:space="preserve">Disodium hydrogen phosphate</t>
        </is>
      </c>
      <c r="B19" s="265" t="inlineStr">
        <is>
          <t xml:space="preserve">Na₂HPO₄</t>
        </is>
      </c>
      <c r="C19" s="268">
        <v>141.96</v>
      </c>
      <c r="D19" s="268">
        <v>2.0</v>
      </c>
      <c r="E19" s="268"/>
      <c r="F19" s="268"/>
      <c r="G19" s="268"/>
      <c r="H19" s="268"/>
      <c r="I19" s="268"/>
      <c r="J19" s="268"/>
      <c r="K19" s="268"/>
      <c r="L19" s="268"/>
      <c r="M19" s="268">
        <v>1.0</v>
      </c>
      <c r="N19" s="268"/>
      <c r="O19" s="268"/>
      <c r="P19" s="268"/>
      <c r="Q19" s="268"/>
      <c r="R19" s="268"/>
      <c r="S19" s="316" t="inlineStr">
        <is>
          <t xml:space="preserve">Formula molar mass (handbook), hydrate as listed.</t>
        </is>
      </c>
      <c r="T19" s="268">
        <v>2.895</v>
      </c>
      <c r="U19" s="268">
        <v>2.895</v>
      </c>
      <c r="V19" s="268">
        <v>2.9</v>
      </c>
      <c r="W19" s="268">
        <v>4.26</v>
      </c>
    </row>
    <row r="20">
      <c r="A20" s="265" t="inlineStr">
        <is>
          <t xml:space="preserve">Sodium dihydrogen phosphate dihydrate</t>
        </is>
      </c>
      <c r="B20" s="265" t="inlineStr">
        <is>
          <t xml:space="preserve">NaH₂PO₄·2H₂O</t>
        </is>
      </c>
      <c r="C20" s="268">
        <v>156.01</v>
      </c>
      <c r="D20" s="268">
        <v>1.0</v>
      </c>
      <c r="E20" s="268"/>
      <c r="F20" s="268"/>
      <c r="G20" s="268"/>
      <c r="H20" s="268"/>
      <c r="I20" s="268"/>
      <c r="J20" s="268"/>
      <c r="K20" s="268"/>
      <c r="L20" s="268">
        <v>1.0</v>
      </c>
      <c r="M20" s="268"/>
      <c r="N20" s="268"/>
      <c r="O20" s="268"/>
      <c r="P20" s="268"/>
      <c r="Q20" s="268"/>
      <c r="R20" s="268"/>
      <c r="S20" s="316" t="inlineStr">
        <is>
          <t xml:space="preserve">Formula molar mass (handbook), hydrate as listed.</t>
        </is>
      </c>
      <c r="T20" s="268">
        <v>3.06</v>
      </c>
      <c r="U20" s="268">
        <v>3.06</v>
      </c>
      <c r="V20" s="268"/>
      <c r="W20" s="268">
        <v>4.68</v>
      </c>
    </row>
    <row r="21">
      <c r="A21" s="265" t="inlineStr">
        <is>
          <t xml:space="preserve">Sodium bicarbonate</t>
        </is>
      </c>
      <c r="B21" s="265" t="inlineStr">
        <is>
          <t xml:space="preserve">NaHCO₃</t>
        </is>
      </c>
      <c r="C21" s="268">
        <v>84.007</v>
      </c>
      <c r="D21" s="268">
        <v>1.0</v>
      </c>
      <c r="E21" s="268"/>
      <c r="F21" s="268"/>
      <c r="G21" s="268"/>
      <c r="H21" s="268"/>
      <c r="I21" s="268"/>
      <c r="J21" s="268"/>
      <c r="K21" s="268"/>
      <c r="L21" s="268"/>
      <c r="M21" s="268"/>
      <c r="N21" s="268">
        <v>1.0</v>
      </c>
      <c r="O21" s="268"/>
      <c r="P21" s="268"/>
      <c r="Q21" s="268"/>
      <c r="R21" s="268"/>
      <c r="S21" s="316" t="inlineStr">
        <is>
          <t xml:space="preserve">Formula molar mass (handbook), hydrate as listed.</t>
        </is>
      </c>
      <c r="T21" s="268"/>
      <c r="U21" s="268"/>
      <c r="V21" s="268">
        <v>1.05</v>
      </c>
      <c r="W21" s="268">
        <v>3.36</v>
      </c>
    </row>
    <row r="22">
      <c r="A22" s="265" t="inlineStr">
        <is>
          <t xml:space="preserve">Potassium sulfate</t>
        </is>
      </c>
      <c r="B22" s="265" t="inlineStr">
        <is>
          <t xml:space="preserve">K₂SO₄</t>
        </is>
      </c>
      <c r="C22" s="268">
        <v>174.26</v>
      </c>
      <c r="D22" s="268"/>
      <c r="E22" s="268">
        <v>2.0</v>
      </c>
      <c r="F22" s="268"/>
      <c r="G22" s="268"/>
      <c r="H22" s="268"/>
      <c r="I22" s="268"/>
      <c r="J22" s="268"/>
      <c r="K22" s="268"/>
      <c r="L22" s="268"/>
      <c r="M22" s="268"/>
      <c r="N22" s="268"/>
      <c r="O22" s="268">
        <v>1.0</v>
      </c>
      <c r="P22" s="268"/>
      <c r="Q22" s="268"/>
      <c r="R22" s="268"/>
      <c r="S22" s="316" t="inlineStr">
        <is>
          <t xml:space="preserve">Formula molar mass (handbook), hydrate as listed.</t>
        </is>
      </c>
      <c r="T22" s="268">
        <v>0.17</v>
      </c>
      <c r="U22" s="268">
        <v>0.17</v>
      </c>
      <c r="V22" s="268"/>
      <c r="W22" s="268">
        <v>0.17</v>
      </c>
    </row>
    <row r="23">
      <c r="A23" s="265" t="inlineStr">
        <is>
          <t xml:space="preserve">Calcium sulfate dihydrate</t>
        </is>
      </c>
      <c r="B23" s="265" t="inlineStr">
        <is>
          <t xml:space="preserve">CaSO₄·2H₂O</t>
        </is>
      </c>
      <c r="C23" s="268">
        <v>172.17</v>
      </c>
      <c r="D23" s="268"/>
      <c r="E23" s="268"/>
      <c r="F23" s="268"/>
      <c r="G23" s="268"/>
      <c r="H23" s="268">
        <v>1.0</v>
      </c>
      <c r="I23" s="268"/>
      <c r="J23" s="268"/>
      <c r="K23" s="268"/>
      <c r="L23" s="268"/>
      <c r="M23" s="268"/>
      <c r="N23" s="268"/>
      <c r="O23" s="268">
        <v>1.0</v>
      </c>
      <c r="P23" s="268"/>
      <c r="Q23" s="268"/>
      <c r="R23" s="268"/>
      <c r="S23" s="316" t="inlineStr">
        <is>
          <t xml:space="preserve">Formula molar mass (handbook), hydrate as listed.</t>
        </is>
      </c>
      <c r="T23" s="268">
        <v>0.097</v>
      </c>
      <c r="U23" s="268">
        <v>0.097</v>
      </c>
      <c r="V23" s="268"/>
      <c r="W23" s="268">
        <v>0.097</v>
      </c>
    </row>
    <row r="24">
      <c r="A24" s="265" t="inlineStr">
        <is>
          <t xml:space="preserve">Magnesium sulfate heptahydrate</t>
        </is>
      </c>
      <c r="B24" s="265" t="inlineStr">
        <is>
          <t xml:space="preserve">MgSO₄·7H₂O</t>
        </is>
      </c>
      <c r="C24" s="268">
        <v>246.48</v>
      </c>
      <c r="D24" s="268"/>
      <c r="E24" s="268"/>
      <c r="F24" s="268"/>
      <c r="G24" s="268">
        <v>1.0</v>
      </c>
      <c r="H24" s="268"/>
      <c r="I24" s="268"/>
      <c r="J24" s="268"/>
      <c r="K24" s="268"/>
      <c r="L24" s="268"/>
      <c r="M24" s="268"/>
      <c r="N24" s="268"/>
      <c r="O24" s="268">
        <v>1.0</v>
      </c>
      <c r="P24" s="268"/>
      <c r="Q24" s="268"/>
      <c r="R24" s="268"/>
      <c r="S24" s="316" t="inlineStr">
        <is>
          <t xml:space="preserve">Formula molar mass (handbook), hydrate as listed.</t>
        </is>
      </c>
      <c r="T24" s="268">
        <v>0.8</v>
      </c>
      <c r="U24" s="268">
        <v>0.8</v>
      </c>
      <c r="V24" s="268">
        <v>0.5</v>
      </c>
      <c r="W24" s="268">
        <v>0.8</v>
      </c>
    </row>
    <row r="25">
      <c r="A25" s="265" t="inlineStr">
        <is>
          <t xml:space="preserve">Ammonium sulfate</t>
        </is>
      </c>
      <c r="B25" s="265" t="inlineStr">
        <is>
          <t xml:space="preserve">(NH₄)₂SO₄</t>
        </is>
      </c>
      <c r="C25" s="268">
        <v>132.14</v>
      </c>
      <c r="D25" s="268"/>
      <c r="E25" s="268"/>
      <c r="F25" s="268">
        <v>2.0</v>
      </c>
      <c r="G25" s="268"/>
      <c r="H25" s="268"/>
      <c r="I25" s="268"/>
      <c r="J25" s="268"/>
      <c r="K25" s="268"/>
      <c r="L25" s="268"/>
      <c r="M25" s="268"/>
      <c r="N25" s="268"/>
      <c r="O25" s="268">
        <v>1.0</v>
      </c>
      <c r="P25" s="268"/>
      <c r="Q25" s="268"/>
      <c r="R25" s="268"/>
      <c r="S25" s="316" t="inlineStr">
        <is>
          <t xml:space="preserve">Formula molar mass (handbook), hydrate as listed.</t>
        </is>
      </c>
      <c r="T25" s="268">
        <v>0.943</v>
      </c>
      <c r="U25" s="268">
        <v>0.943</v>
      </c>
      <c r="V25" s="268">
        <v>0.47</v>
      </c>
      <c r="W25" s="268">
        <v>0.943</v>
      </c>
    </row>
    <row r="26">
      <c r="A26" s="265" t="inlineStr">
        <is>
          <t xml:space="preserve">Calcium chloride</t>
        </is>
      </c>
      <c r="B26" s="265" t="inlineStr">
        <is>
          <t xml:space="preserve">CaCl₂</t>
        </is>
      </c>
      <c r="C26" s="268">
        <v>110.98</v>
      </c>
      <c r="D26" s="268"/>
      <c r="E26" s="268"/>
      <c r="F26" s="268"/>
      <c r="G26" s="268"/>
      <c r="H26" s="268">
        <v>1.0</v>
      </c>
      <c r="I26" s="268"/>
      <c r="J26" s="268"/>
      <c r="K26" s="268"/>
      <c r="L26" s="268"/>
      <c r="M26" s="268"/>
      <c r="N26" s="268"/>
      <c r="O26" s="268"/>
      <c r="P26" s="268">
        <v>2.0</v>
      </c>
      <c r="Q26" s="268"/>
      <c r="R26" s="268"/>
      <c r="S26" s="316" t="inlineStr">
        <is>
          <t xml:space="preserve">Formula molar mass (handbook), hydrate as listed.</t>
        </is>
      </c>
      <c r="T26" s="268"/>
      <c r="U26" s="268"/>
      <c r="V26" s="268">
        <v>0.01</v>
      </c>
      <c r="W26" s="268"/>
    </row>
    <row r="27">
      <c r="A27" s="265" t="inlineStr">
        <is>
          <t xml:space="preserve">Iron(II) sulfate heptahydrate</t>
        </is>
      </c>
      <c r="B27" s="265" t="inlineStr">
        <is>
          <t xml:space="preserve">FeSO₄·7H₂O</t>
        </is>
      </c>
      <c r="C27" s="268">
        <v>278.01</v>
      </c>
      <c r="D27" s="268"/>
      <c r="E27" s="268"/>
      <c r="F27" s="268"/>
      <c r="G27" s="268"/>
      <c r="H27" s="268"/>
      <c r="I27" s="268">
        <v>1.0</v>
      </c>
      <c r="J27" s="268"/>
      <c r="K27" s="268"/>
      <c r="L27" s="268"/>
      <c r="M27" s="268"/>
      <c r="N27" s="268"/>
      <c r="O27" s="268">
        <v>1.0</v>
      </c>
      <c r="P27" s="268"/>
      <c r="Q27" s="268"/>
      <c r="R27" s="268"/>
      <c r="S27" s="316" t="inlineStr">
        <is>
          <t xml:space="preserve">Formula molar mass (handbook), hydrate as listed.</t>
        </is>
      </c>
      <c r="T27" s="268">
        <v>0.051</v>
      </c>
      <c r="U27" s="268">
        <v>0.051</v>
      </c>
      <c r="V27" s="268"/>
      <c r="W27" s="268">
        <v>0.0102</v>
      </c>
    </row>
    <row r="28">
      <c r="A28" s="265" t="inlineStr">
        <is>
          <t xml:space="preserve">Sodium molybdate dihydrate</t>
        </is>
      </c>
      <c r="B28" s="265" t="inlineStr">
        <is>
          <t xml:space="preserve">Na₂MoO₄·2H₂O</t>
        </is>
      </c>
      <c r="C28" s="268">
        <v>241.95</v>
      </c>
      <c r="D28" s="268">
        <v>2.0</v>
      </c>
      <c r="E28" s="268"/>
      <c r="F28" s="268"/>
      <c r="G28" s="268"/>
      <c r="H28" s="268"/>
      <c r="I28" s="268"/>
      <c r="J28" s="268"/>
      <c r="K28" s="268"/>
      <c r="L28" s="268"/>
      <c r="M28" s="268"/>
      <c r="N28" s="268"/>
      <c r="O28" s="268"/>
      <c r="P28" s="268"/>
      <c r="Q28" s="268">
        <v>1.0</v>
      </c>
      <c r="R28" s="268"/>
      <c r="S28" s="316" t="inlineStr">
        <is>
          <t xml:space="preserve">Formula molar mass (handbook), hydrate as listed.</t>
        </is>
      </c>
      <c r="T28" s="268">
        <v>9e-05</v>
      </c>
      <c r="U28" s="268">
        <v>9e-05</v>
      </c>
      <c r="V28" s="268"/>
      <c r="W28" s="268">
        <v>9e-05</v>
      </c>
    </row>
    <row r="29">
      <c r="A29" s="265" t="inlineStr">
        <is>
          <t xml:space="preserve">Zinc sulfate heptahydrate</t>
        </is>
      </c>
      <c r="B29" s="265" t="inlineStr">
        <is>
          <t xml:space="preserve">ZnSO₄·7H₂O</t>
        </is>
      </c>
      <c r="C29" s="268">
        <v>287.54</v>
      </c>
      <c r="D29" s="268"/>
      <c r="E29" s="268"/>
      <c r="F29" s="268"/>
      <c r="G29" s="268"/>
      <c r="H29" s="268"/>
      <c r="I29" s="268"/>
      <c r="J29" s="268">
        <v>1.0</v>
      </c>
      <c r="K29" s="268"/>
      <c r="L29" s="268"/>
      <c r="M29" s="268"/>
      <c r="N29" s="268"/>
      <c r="O29" s="268">
        <v>1.0</v>
      </c>
      <c r="P29" s="268"/>
      <c r="Q29" s="268"/>
      <c r="R29" s="268"/>
      <c r="S29" s="316" t="inlineStr">
        <is>
          <t xml:space="preserve">Formula molar mass (handbook), hydrate as listed.</t>
        </is>
      </c>
      <c r="T29" s="268">
        <v>0.00012</v>
      </c>
      <c r="U29" s="268">
        <v>0.00012</v>
      </c>
      <c r="V29" s="268"/>
      <c r="W29" s="268">
        <v>0.00012</v>
      </c>
    </row>
    <row r="30">
      <c r="A30" s="265" t="inlineStr">
        <is>
          <t xml:space="preserve">Manganese(II) sulfate monohydrate</t>
        </is>
      </c>
      <c r="B30" s="265" t="inlineStr">
        <is>
          <t xml:space="preserve">MnSO₄·H₂O</t>
        </is>
      </c>
      <c r="C30" s="268">
        <v>169.02</v>
      </c>
      <c r="D30" s="268"/>
      <c r="E30" s="268"/>
      <c r="F30" s="268"/>
      <c r="G30" s="268"/>
      <c r="H30" s="268"/>
      <c r="I30" s="268"/>
      <c r="J30" s="268">
        <v>1.0</v>
      </c>
      <c r="K30" s="268"/>
      <c r="L30" s="268"/>
      <c r="M30" s="268"/>
      <c r="N30" s="268"/>
      <c r="O30" s="268">
        <v>1.0</v>
      </c>
      <c r="P30" s="268"/>
      <c r="Q30" s="268"/>
      <c r="R30" s="268"/>
      <c r="S30" s="316" t="inlineStr">
        <is>
          <t xml:space="preserve">Formula molar mass (handbook), hydrate as listed.</t>
        </is>
      </c>
      <c r="T30" s="268">
        <v>0.00012</v>
      </c>
      <c r="U30" s="268">
        <v>0.00012</v>
      </c>
      <c r="V30" s="268"/>
      <c r="W30" s="268">
        <v>0.00012</v>
      </c>
    </row>
    <row r="31">
      <c r="A31" s="265" t="inlineStr">
        <is>
          <t xml:space="preserve">Copper(II) sulfate pentahydrate</t>
        </is>
      </c>
      <c r="B31" s="265" t="inlineStr">
        <is>
          <t xml:space="preserve">CuSO₄·5H₂O</t>
        </is>
      </c>
      <c r="C31" s="268">
        <v>249.68</v>
      </c>
      <c r="D31" s="268"/>
      <c r="E31" s="268"/>
      <c r="F31" s="268"/>
      <c r="G31" s="268"/>
      <c r="H31" s="268"/>
      <c r="I31" s="268"/>
      <c r="J31" s="268">
        <v>1.0</v>
      </c>
      <c r="K31" s="268"/>
      <c r="L31" s="268"/>
      <c r="M31" s="268"/>
      <c r="N31" s="268"/>
      <c r="O31" s="268">
        <v>1.0</v>
      </c>
      <c r="P31" s="268"/>
      <c r="Q31" s="268"/>
      <c r="R31" s="268"/>
      <c r="S31" s="316" t="inlineStr">
        <is>
          <t xml:space="preserve">Formula molar mass (handbook), hydrate as listed.</t>
        </is>
      </c>
      <c r="T31" s="268">
        <v>2.4e-05</v>
      </c>
      <c r="U31" s="268">
        <v>2.4e-05</v>
      </c>
      <c r="V31" s="268"/>
      <c r="W31" s="268">
        <v>2.4e-05</v>
      </c>
    </row>
    <row r="32">
      <c r="A32" s="265" t="inlineStr">
        <is>
          <t xml:space="preserve">Nickel(II) sulfate hexahydrate</t>
        </is>
      </c>
      <c r="B32" s="265" t="inlineStr">
        <is>
          <t xml:space="preserve">NiSO₄·6H₂O</t>
        </is>
      </c>
      <c r="C32" s="268">
        <v>262.85</v>
      </c>
      <c r="D32" s="268"/>
      <c r="E32" s="268"/>
      <c r="F32" s="268"/>
      <c r="G32" s="268"/>
      <c r="H32" s="268"/>
      <c r="I32" s="268"/>
      <c r="J32" s="268">
        <v>1.0</v>
      </c>
      <c r="K32" s="268"/>
      <c r="L32" s="268"/>
      <c r="M32" s="268"/>
      <c r="N32" s="268"/>
      <c r="O32" s="268">
        <v>1.0</v>
      </c>
      <c r="P32" s="268"/>
      <c r="Q32" s="268"/>
      <c r="R32" s="268"/>
      <c r="S32" s="316" t="inlineStr">
        <is>
          <t xml:space="preserve">Formula molar mass (handbook), hydrate as listed.</t>
        </is>
      </c>
      <c r="T32" s="268">
        <v>7.5e-05</v>
      </c>
      <c r="U32" s="268">
        <v>7.5e-05</v>
      </c>
      <c r="V32" s="268"/>
      <c r="W32" s="268">
        <v>7.5e-05</v>
      </c>
    </row>
    <row r="33">
      <c r="A33" s="265" t="inlineStr">
        <is>
          <t xml:space="preserve">Cobalt(II) sulfate heptahydrate</t>
        </is>
      </c>
      <c r="B33" s="265" t="inlineStr">
        <is>
          <t xml:space="preserve">CoSO₄·7H₂O</t>
        </is>
      </c>
      <c r="C33" s="268">
        <v>281.1</v>
      </c>
      <c r="D33" s="268"/>
      <c r="E33" s="268"/>
      <c r="F33" s="268"/>
      <c r="G33" s="268"/>
      <c r="H33" s="268"/>
      <c r="I33" s="268"/>
      <c r="J33" s="268">
        <v>1.0</v>
      </c>
      <c r="K33" s="268"/>
      <c r="L33" s="268"/>
      <c r="M33" s="268"/>
      <c r="N33" s="268"/>
      <c r="O33" s="268">
        <v>1.0</v>
      </c>
      <c r="P33" s="268"/>
      <c r="Q33" s="268"/>
      <c r="R33" s="268"/>
      <c r="S33" s="316" t="inlineStr">
        <is>
          <t xml:space="preserve">Formula molar mass (handbook), hydrate as listed.</t>
        </is>
      </c>
      <c r="T33" s="268">
        <v>2.01e-06</v>
      </c>
      <c r="U33" s="268">
        <v>2.01e-06</v>
      </c>
      <c r="V33" s="268"/>
      <c r="W33" s="268">
        <v>2.01e-06</v>
      </c>
    </row>
    <row r="34">
      <c r="A34" s="265" t="inlineStr">
        <is>
          <t xml:space="preserve">Sulfuric acid (from the acidified stocks)</t>
        </is>
      </c>
      <c r="B34" s="265" t="inlineStr">
        <is>
          <t xml:space="preserve">H₂SO₄</t>
        </is>
      </c>
      <c r="C34" s="268">
        <v>98.079</v>
      </c>
      <c r="D34" s="268"/>
      <c r="E34" s="268"/>
      <c r="F34" s="268"/>
      <c r="G34" s="268"/>
      <c r="H34" s="268"/>
      <c r="I34" s="268"/>
      <c r="J34" s="268"/>
      <c r="K34" s="268">
        <v>2.0</v>
      </c>
      <c r="L34" s="268"/>
      <c r="M34" s="268"/>
      <c r="N34" s="268"/>
      <c r="O34" s="268">
        <v>1.0</v>
      </c>
      <c r="P34" s="268"/>
      <c r="Q34" s="268"/>
      <c r="R34" s="268"/>
      <c r="S34" s="316" t="inlineStr">
        <is>
          <t xml:space="preserve">Concentrated acid carried in by both stocks (0.2 M H₂SO₄ × the stock doses), as g/L of H₂SO₄.</t>
        </is>
      </c>
      <c r="T34" s="268">
        <v>0.06669372</v>
      </c>
      <c r="U34" s="268">
        <v>0.06767451</v>
      </c>
      <c r="V34" s="268"/>
      <c r="W34" s="268">
        <v>0.014319534</v>
      </c>
    </row>
    <row r="36">
      <c r="A36" s="278" t="inlineStr">
        <is>
          <t xml:space="preserve">WHAT EACH MEDIUM CONTAINS, ION BY ION (mM) – calculated from the table</t>
        </is>
      </c>
      <c r="B36" s="278"/>
      <c r="C36" s="278"/>
      <c r="D36" s="278"/>
      <c r="E36" s="278"/>
      <c r="F36" s="278"/>
      <c r="G36" s="278"/>
      <c r="H36" s="278"/>
      <c r="I36" s="278"/>
      <c r="J36" s="278"/>
      <c r="K36" s="278"/>
      <c r="L36" s="278"/>
      <c r="M36" s="278"/>
      <c r="N36" s="278"/>
      <c r="O36" s="278"/>
      <c r="P36" s="278"/>
      <c r="Q36" s="278"/>
      <c r="R36" s="278"/>
      <c r="S36" s="278"/>
      <c r="T36" s="278"/>
      <c r="U36" s="278"/>
      <c r="V36" s="278"/>
      <c r="W36" s="278"/>
    </row>
    <row r="37">
      <c r="A37" s="265" cm="1" t="str">
        <f t="array" ref="A37:A51">TRANSPOSE(Media!$D$13:$R$13)</f>
        <v>Na⁺</v>
      </c>
      <c r="B37" s="266" t="inlineStr">
        <is>
          <t xml:space="preserve">ion_mM</t>
        </is>
      </c>
      <c r="S37" s="303" t="inlineStr">
        <is>
          <t xml:space="preserve">Ions released per formula unit (ion columns) × g/L ÷ molar mass, summed over the ingredients.</t>
        </is>
      </c>
      <c r="T37" s="198" cm="1">
        <f t="array" ref="T37:W51">MMULT(TRANSPOSE(IF(ISNUMBER(ing_ions),ing_ions,0)),IFERROR(IF(ISNUMBER(med_vals),med_vals,0)/ing_MW,0))*1000</f>
        <v>60.401008194878</v>
      </c>
      <c r="U37" s="198">
        <v>60.401008194878</v>
      </c>
      <c r="V37" s="198">
        <v>53.355537738249</v>
      </c>
      <c r="W37" s="198">
        <v>130.012394116879</v>
      </c>
      <c r="X37" s="198"/>
      <c r="Y37" s="198"/>
      <c r="Z37" s="198"/>
      <c r="AA37" s="198"/>
      <c r="AB37" s="198"/>
      <c r="AC37" s="198"/>
      <c r="AD37" s="198"/>
      <c r="AE37" s="198"/>
      <c r="AF37" s="198"/>
      <c r="AG37" s="198"/>
      <c r="AH37" s="198"/>
      <c r="AI37" s="198"/>
      <c r="AJ37" s="198"/>
      <c r="AK37" s="198"/>
      <c r="AL37" s="198"/>
      <c r="AM37" s="198"/>
      <c r="AN37" s="198"/>
      <c r="AO37" s="198"/>
      <c r="AP37" s="198"/>
      <c r="AQ37" s="198"/>
      <c r="AR37" s="198"/>
      <c r="AS37" s="198"/>
      <c r="AT37" s="198"/>
      <c r="AU37" s="198"/>
      <c r="AV37" s="198"/>
      <c r="AW37" s="198"/>
      <c r="AX37" s="198"/>
      <c r="AY37" s="198"/>
      <c r="AZ37" s="198"/>
      <c r="BA37" s="198"/>
      <c r="BB37" s="198"/>
      <c r="BC37" s="198"/>
      <c r="BD37" s="198"/>
      <c r="BE37" s="198"/>
      <c r="BF37" s="198"/>
      <c r="BG37" s="198"/>
    </row>
    <row r="38">
      <c r="A38" t="str">
        <v>K⁺</v>
      </c>
      <c r="B38" s="266"/>
      <c r="T38" s="198">
        <v>1.951107540457</v>
      </c>
      <c r="U38" s="198">
        <v>1.951107540457</v>
      </c>
      <c r="V38" s="198">
        <v>16.901077259968</v>
      </c>
      <c r="W38" s="198">
        <v>1.951107540457</v>
      </c>
      <c r="X38" s="198"/>
      <c r="Y38" s="198"/>
      <c r="Z38" s="198"/>
      <c r="AA38" s="198"/>
      <c r="AB38" s="198"/>
      <c r="AC38" s="198"/>
      <c r="AD38" s="198"/>
      <c r="AE38" s="198"/>
      <c r="AF38" s="198"/>
      <c r="AG38" s="198"/>
      <c r="AH38" s="198"/>
      <c r="AI38" s="198"/>
      <c r="AJ38" s="198"/>
      <c r="AK38" s="198"/>
      <c r="AL38" s="198"/>
      <c r="AM38" s="198"/>
      <c r="AN38" s="198"/>
      <c r="AO38" s="198"/>
      <c r="AP38" s="198"/>
      <c r="AQ38" s="198"/>
      <c r="AR38" s="198"/>
      <c r="AS38" s="198"/>
      <c r="AT38" s="198"/>
      <c r="AU38" s="198"/>
      <c r="AV38" s="198"/>
      <c r="AW38" s="198"/>
      <c r="AX38" s="198"/>
      <c r="AY38" s="198"/>
      <c r="AZ38" s="198"/>
      <c r="BA38" s="198"/>
      <c r="BB38" s="198"/>
      <c r="BC38" s="198"/>
      <c r="BD38" s="198"/>
      <c r="BE38" s="198"/>
      <c r="BF38" s="198"/>
      <c r="BG38" s="198"/>
    </row>
    <row r="39">
      <c r="A39" t="str">
        <v>NH₄⁺</v>
      </c>
      <c r="B39" s="266"/>
      <c r="T39" s="198">
        <v>14.272741032239</v>
      </c>
      <c r="U39" s="198">
        <v>14.272741032239</v>
      </c>
      <c r="V39" s="198">
        <v>7.113667322537</v>
      </c>
      <c r="W39" s="198">
        <v>14.272741032239</v>
      </c>
      <c r="X39" s="198"/>
      <c r="Y39" s="198"/>
      <c r="Z39" s="198"/>
      <c r="AA39" s="198"/>
      <c r="AB39" s="198"/>
      <c r="AC39" s="198"/>
      <c r="AD39" s="198"/>
      <c r="AE39" s="198"/>
      <c r="AF39" s="198"/>
      <c r="AG39" s="198"/>
      <c r="AH39" s="198"/>
      <c r="AI39" s="198"/>
      <c r="AJ39" s="198"/>
      <c r="AK39" s="198"/>
      <c r="AL39" s="198"/>
      <c r="AM39" s="198"/>
      <c r="AN39" s="198"/>
      <c r="AO39" s="198"/>
      <c r="AP39" s="198"/>
      <c r="AQ39" s="198"/>
      <c r="AR39" s="198"/>
      <c r="AS39" s="198"/>
      <c r="AT39" s="198"/>
      <c r="AU39" s="198"/>
      <c r="AV39" s="198"/>
      <c r="AW39" s="198"/>
      <c r="AX39" s="198"/>
      <c r="AY39" s="198"/>
      <c r="AZ39" s="198"/>
      <c r="BA39" s="198"/>
      <c r="BB39" s="198"/>
      <c r="BC39" s="198"/>
      <c r="BD39" s="198"/>
      <c r="BE39" s="198"/>
      <c r="BF39" s="198"/>
      <c r="BG39" s="198"/>
    </row>
    <row r="40">
      <c r="A40" t="str">
        <v>Mg²⁺</v>
      </c>
      <c r="B40" s="266"/>
      <c r="T40" s="198">
        <v>3.245699448231</v>
      </c>
      <c r="U40" s="198">
        <v>3.245699448231</v>
      </c>
      <c r="V40" s="198">
        <v>2.028562155144</v>
      </c>
      <c r="W40" s="198">
        <v>3.245699448231</v>
      </c>
      <c r="X40" s="198"/>
      <c r="Y40" s="198"/>
      <c r="Z40" s="198"/>
      <c r="AA40" s="198"/>
      <c r="AB40" s="198"/>
      <c r="AC40" s="198"/>
      <c r="AD40" s="198"/>
      <c r="AE40" s="198"/>
      <c r="AF40" s="198"/>
      <c r="AG40" s="198"/>
      <c r="AH40" s="198"/>
      <c r="AI40" s="198"/>
      <c r="AJ40" s="198"/>
      <c r="AK40" s="198"/>
      <c r="AL40" s="198"/>
      <c r="AM40" s="198"/>
      <c r="AN40" s="198"/>
      <c r="AO40" s="198"/>
      <c r="AP40" s="198"/>
      <c r="AQ40" s="198"/>
      <c r="AR40" s="198"/>
      <c r="AS40" s="198"/>
      <c r="AT40" s="198"/>
      <c r="AU40" s="198"/>
      <c r="AV40" s="198"/>
      <c r="AW40" s="198"/>
      <c r="AX40" s="198"/>
      <c r="AY40" s="198"/>
      <c r="AZ40" s="198"/>
      <c r="BA40" s="198"/>
      <c r="BB40" s="198"/>
      <c r="BC40" s="198"/>
      <c r="BD40" s="198"/>
      <c r="BE40" s="198"/>
      <c r="BF40" s="198"/>
      <c r="BG40" s="198"/>
    </row>
    <row r="41">
      <c r="A41" t="str">
        <v>Ca²⁺</v>
      </c>
      <c r="B41" s="266"/>
      <c r="T41" s="198">
        <v>0.563396642853</v>
      </c>
      <c r="U41" s="198">
        <v>0.563396642853</v>
      </c>
      <c r="V41" s="198">
        <v>0.090106325464</v>
      </c>
      <c r="W41" s="198">
        <v>0.563396642853</v>
      </c>
      <c r="X41" s="198"/>
      <c r="Y41" s="198"/>
      <c r="Z41" s="198"/>
      <c r="AA41" s="198"/>
      <c r="AB41" s="198"/>
      <c r="AC41" s="198"/>
      <c r="AD41" s="198"/>
      <c r="AE41" s="198"/>
      <c r="AF41" s="198"/>
      <c r="AG41" s="198"/>
      <c r="AH41" s="198"/>
      <c r="AI41" s="198"/>
      <c r="AJ41" s="198"/>
      <c r="AK41" s="198"/>
      <c r="AL41" s="198"/>
      <c r="AM41" s="198"/>
      <c r="AN41" s="198"/>
      <c r="AO41" s="198"/>
      <c r="AP41" s="198"/>
      <c r="AQ41" s="198"/>
      <c r="AR41" s="198"/>
      <c r="AS41" s="198"/>
      <c r="AT41" s="198"/>
      <c r="AU41" s="198"/>
      <c r="AV41" s="198"/>
      <c r="AW41" s="198"/>
      <c r="AX41" s="198"/>
      <c r="AY41" s="198"/>
      <c r="AZ41" s="198"/>
      <c r="BA41" s="198"/>
      <c r="BB41" s="198"/>
      <c r="BC41" s="198"/>
      <c r="BD41" s="198"/>
      <c r="BE41" s="198"/>
      <c r="BF41" s="198"/>
      <c r="BG41" s="198"/>
    </row>
    <row r="42">
      <c r="A42" t="str">
        <v>Fe²⁺</v>
      </c>
      <c r="B42" s="266"/>
      <c r="T42" s="199">
        <v>0.18344663861</v>
      </c>
      <c r="U42" s="199">
        <v>0.18344663861</v>
      </c>
      <c r="V42" s="199">
        <v>0.0</v>
      </c>
      <c r="W42" s="199">
        <v>0.036689327722</v>
      </c>
      <c r="X42" s="199"/>
      <c r="Y42" s="199"/>
      <c r="Z42" s="199"/>
      <c r="AA42" s="199"/>
      <c r="AB42" s="199"/>
      <c r="AC42" s="199"/>
      <c r="AD42" s="199"/>
      <c r="AE42" s="199"/>
      <c r="AF42" s="199"/>
      <c r="AG42" s="199"/>
      <c r="AH42" s="199"/>
      <c r="AI42" s="199"/>
      <c r="AJ42" s="199"/>
      <c r="AK42" s="199"/>
      <c r="AL42" s="199"/>
      <c r="AM42" s="199"/>
      <c r="AN42" s="199"/>
      <c r="AO42" s="199"/>
      <c r="AP42" s="199"/>
      <c r="AQ42" s="199"/>
      <c r="AR42" s="199"/>
      <c r="AS42" s="199"/>
      <c r="AT42" s="199"/>
      <c r="AU42" s="199"/>
      <c r="AV42" s="199"/>
      <c r="AW42" s="199"/>
      <c r="AX42" s="199"/>
      <c r="AY42" s="199"/>
      <c r="AZ42" s="199"/>
      <c r="BA42" s="199"/>
      <c r="BB42" s="199"/>
      <c r="BC42" s="199"/>
      <c r="BD42" s="199"/>
      <c r="BE42" s="199"/>
      <c r="BF42" s="199"/>
      <c r="BG42" s="199"/>
    </row>
    <row r="43">
      <c r="A43" t="str">
        <v>Trace M²⁺</v>
      </c>
      <c r="B43" s="266"/>
      <c r="T43" s="199">
        <v>0.00151591575</v>
      </c>
      <c r="U43" s="199">
        <v>0.00151591575</v>
      </c>
      <c r="V43" s="199">
        <v>0.0</v>
      </c>
      <c r="W43" s="199">
        <v>0.00151591575</v>
      </c>
      <c r="X43" s="199"/>
      <c r="Y43" s="199"/>
      <c r="Z43" s="199"/>
      <c r="AA43" s="199"/>
      <c r="AB43" s="199"/>
      <c r="AC43" s="199"/>
      <c r="AD43" s="199"/>
      <c r="AE43" s="199"/>
      <c r="AF43" s="199"/>
      <c r="AG43" s="199"/>
      <c r="AH43" s="199"/>
      <c r="AI43" s="199"/>
      <c r="AJ43" s="199"/>
      <c r="AK43" s="199"/>
      <c r="AL43" s="199"/>
      <c r="AM43" s="199"/>
      <c r="AN43" s="199"/>
      <c r="AO43" s="199"/>
      <c r="AP43" s="199"/>
      <c r="AQ43" s="199"/>
      <c r="AR43" s="199"/>
      <c r="AS43" s="199"/>
      <c r="AT43" s="199"/>
      <c r="AU43" s="199"/>
      <c r="AV43" s="199"/>
      <c r="AW43" s="199"/>
      <c r="AX43" s="199"/>
      <c r="AY43" s="199"/>
      <c r="AZ43" s="199"/>
      <c r="BA43" s="199"/>
      <c r="BB43" s="199"/>
      <c r="BC43" s="199"/>
      <c r="BD43" s="199"/>
      <c r="BE43" s="199"/>
      <c r="BF43" s="199"/>
      <c r="BG43" s="199"/>
    </row>
    <row r="44">
      <c r="A44" t="str">
        <v>H⁺ (acid)</v>
      </c>
      <c r="B44" s="266"/>
      <c r="T44" s="199">
        <v>1.36</v>
      </c>
      <c r="U44" s="199">
        <v>1.38</v>
      </c>
      <c r="V44" s="199">
        <v>0.0</v>
      </c>
      <c r="W44" s="199">
        <v>0.292</v>
      </c>
      <c r="X44" s="199"/>
      <c r="Y44" s="199"/>
      <c r="Z44" s="199"/>
      <c r="AA44" s="199"/>
      <c r="AB44" s="199"/>
      <c r="AC44" s="199"/>
      <c r="AD44" s="199"/>
      <c r="AE44" s="199"/>
      <c r="AF44" s="199"/>
      <c r="AG44" s="199"/>
      <c r="AH44" s="199"/>
      <c r="AI44" s="199"/>
      <c r="AJ44" s="199"/>
      <c r="AK44" s="199"/>
      <c r="AL44" s="199"/>
      <c r="AM44" s="199"/>
      <c r="AN44" s="199"/>
      <c r="AO44" s="199"/>
      <c r="AP44" s="199"/>
      <c r="AQ44" s="199"/>
      <c r="AR44" s="199"/>
      <c r="AS44" s="199"/>
      <c r="AT44" s="199"/>
      <c r="AU44" s="199"/>
      <c r="AV44" s="199"/>
      <c r="AW44" s="199"/>
      <c r="AX44" s="199"/>
      <c r="AY44" s="199"/>
      <c r="AZ44" s="199"/>
      <c r="BA44" s="199"/>
      <c r="BB44" s="199"/>
      <c r="BC44" s="199"/>
      <c r="BD44" s="199"/>
      <c r="BE44" s="199"/>
      <c r="BF44" s="199"/>
      <c r="BG44" s="199"/>
    </row>
    <row r="45">
      <c r="A45" t="str">
        <v>H₂PO₄⁻</v>
      </c>
      <c r="B45" s="266"/>
      <c r="T45" s="198">
        <v>19.614127299532</v>
      </c>
      <c r="U45" s="198">
        <v>19.614127299532</v>
      </c>
      <c r="V45" s="198">
        <v>16.901077259968</v>
      </c>
      <c r="W45" s="198">
        <v>29.998077046343</v>
      </c>
      <c r="X45" s="198"/>
      <c r="Y45" s="198"/>
      <c r="Z45" s="198"/>
      <c r="AA45" s="198"/>
      <c r="AB45" s="198"/>
      <c r="AC45" s="198"/>
      <c r="AD45" s="198"/>
      <c r="AE45" s="198"/>
      <c r="AF45" s="198"/>
      <c r="AG45" s="198"/>
      <c r="AH45" s="198"/>
      <c r="AI45" s="198"/>
      <c r="AJ45" s="198"/>
      <c r="AK45" s="198"/>
      <c r="AL45" s="198"/>
      <c r="AM45" s="198"/>
      <c r="AN45" s="198"/>
      <c r="AO45" s="198"/>
      <c r="AP45" s="198"/>
      <c r="AQ45" s="198"/>
      <c r="AR45" s="198"/>
      <c r="AS45" s="198"/>
      <c r="AT45" s="198"/>
      <c r="AU45" s="198"/>
      <c r="AV45" s="198"/>
      <c r="AW45" s="198"/>
      <c r="AX45" s="198"/>
      <c r="AY45" s="198"/>
      <c r="AZ45" s="198"/>
      <c r="BA45" s="198"/>
      <c r="BB45" s="198"/>
      <c r="BC45" s="198"/>
      <c r="BD45" s="198"/>
      <c r="BE45" s="198"/>
      <c r="BF45" s="198"/>
      <c r="BG45" s="198"/>
    </row>
    <row r="46">
      <c r="A46" t="str">
        <v>HPO₄²⁻</v>
      </c>
      <c r="B46" s="266"/>
      <c r="T46" s="198">
        <v>20.393068469992</v>
      </c>
      <c r="U46" s="198">
        <v>20.393068469992</v>
      </c>
      <c r="V46" s="198">
        <v>20.428289659059</v>
      </c>
      <c r="W46" s="198">
        <v>30.008453085376</v>
      </c>
      <c r="X46" s="198"/>
      <c r="Y46" s="198"/>
      <c r="Z46" s="198"/>
      <c r="AA46" s="198"/>
      <c r="AB46" s="198"/>
      <c r="AC46" s="198"/>
      <c r="AD46" s="198"/>
      <c r="AE46" s="198"/>
      <c r="AF46" s="198"/>
      <c r="AG46" s="198"/>
      <c r="AH46" s="198"/>
      <c r="AI46" s="198"/>
      <c r="AJ46" s="198"/>
      <c r="AK46" s="198"/>
      <c r="AL46" s="198"/>
      <c r="AM46" s="198"/>
      <c r="AN46" s="198"/>
      <c r="AO46" s="198"/>
      <c r="AP46" s="198"/>
      <c r="AQ46" s="198"/>
      <c r="AR46" s="198"/>
      <c r="AS46" s="198"/>
      <c r="AT46" s="198"/>
      <c r="AU46" s="198"/>
      <c r="AV46" s="198"/>
      <c r="AW46" s="198"/>
      <c r="AX46" s="198"/>
      <c r="AY46" s="198"/>
      <c r="AZ46" s="198"/>
      <c r="BA46" s="198"/>
      <c r="BB46" s="198"/>
      <c r="BC46" s="198"/>
      <c r="BD46" s="198"/>
      <c r="BE46" s="198"/>
      <c r="BF46" s="198"/>
      <c r="BG46" s="198"/>
    </row>
    <row r="47">
      <c r="A47" t="str">
        <v>HCO₃⁻</v>
      </c>
      <c r="B47" s="266"/>
      <c r="T47" s="198">
        <v>0.0</v>
      </c>
      <c r="U47" s="198">
        <v>0.0</v>
      </c>
      <c r="V47" s="198">
        <v>12.498958420132</v>
      </c>
      <c r="W47" s="198">
        <v>39.996666944421</v>
      </c>
      <c r="X47" s="198"/>
      <c r="Y47" s="198"/>
      <c r="Z47" s="198"/>
      <c r="AA47" s="198"/>
      <c r="AB47" s="198"/>
      <c r="AC47" s="198"/>
      <c r="AD47" s="198"/>
      <c r="AE47" s="198"/>
      <c r="AF47" s="198"/>
      <c r="AG47" s="198"/>
      <c r="AH47" s="198"/>
      <c r="AI47" s="198"/>
      <c r="AJ47" s="198"/>
      <c r="AK47" s="198"/>
      <c r="AL47" s="198"/>
      <c r="AM47" s="198"/>
      <c r="AN47" s="198"/>
      <c r="AO47" s="198"/>
      <c r="AP47" s="198"/>
      <c r="AQ47" s="198"/>
      <c r="AR47" s="198"/>
      <c r="AS47" s="198"/>
      <c r="AT47" s="198"/>
      <c r="AU47" s="198"/>
      <c r="AV47" s="198"/>
      <c r="AW47" s="198"/>
      <c r="AX47" s="198"/>
      <c r="AY47" s="198"/>
      <c r="AZ47" s="198"/>
      <c r="BA47" s="198"/>
      <c r="BB47" s="198"/>
      <c r="BC47" s="198"/>
      <c r="BD47" s="198"/>
      <c r="BE47" s="198"/>
      <c r="BF47" s="198"/>
      <c r="BG47" s="198"/>
    </row>
    <row r="48">
      <c r="A48" t="str">
        <v>SO₄²⁻</v>
      </c>
      <c r="B48" s="266"/>
      <c r="T48" s="198">
        <v>12.785982931792</v>
      </c>
      <c r="U48" s="198">
        <v>12.795982931792</v>
      </c>
      <c r="V48" s="198">
        <v>5.585395816413</v>
      </c>
      <c r="W48" s="198">
        <v>12.105225620904</v>
      </c>
      <c r="X48" s="198"/>
      <c r="Y48" s="198"/>
      <c r="Z48" s="198"/>
      <c r="AA48" s="198"/>
      <c r="AB48" s="198"/>
      <c r="AC48" s="198"/>
      <c r="AD48" s="198"/>
      <c r="AE48" s="198"/>
      <c r="AF48" s="198"/>
      <c r="AG48" s="198"/>
      <c r="AH48" s="198"/>
      <c r="AI48" s="198"/>
      <c r="AJ48" s="198"/>
      <c r="AK48" s="198"/>
      <c r="AL48" s="198"/>
      <c r="AM48" s="198"/>
      <c r="AN48" s="198"/>
      <c r="AO48" s="198"/>
      <c r="AP48" s="198"/>
      <c r="AQ48" s="198"/>
      <c r="AR48" s="198"/>
      <c r="AS48" s="198"/>
      <c r="AT48" s="198"/>
      <c r="AU48" s="198"/>
      <c r="AV48" s="198"/>
      <c r="AW48" s="198"/>
      <c r="AX48" s="198"/>
      <c r="AY48" s="198"/>
      <c r="AZ48" s="198"/>
      <c r="BA48" s="198"/>
      <c r="BB48" s="198"/>
      <c r="BC48" s="198"/>
      <c r="BD48" s="198"/>
      <c r="BE48" s="198"/>
      <c r="BF48" s="198"/>
      <c r="BG48" s="198"/>
    </row>
    <row r="49">
      <c r="A49" t="str">
        <v>Cl⁻</v>
      </c>
      <c r="B49" s="266"/>
      <c r="T49" s="198">
        <v>0.0</v>
      </c>
      <c r="U49" s="198">
        <v>0.0</v>
      </c>
      <c r="V49" s="198">
        <v>0.180212650928</v>
      </c>
      <c r="W49" s="198">
        <v>0.0</v>
      </c>
      <c r="X49" s="198"/>
      <c r="Y49" s="198"/>
      <c r="Z49" s="198"/>
      <c r="AA49" s="198"/>
      <c r="AB49" s="198"/>
      <c r="AC49" s="198"/>
      <c r="AD49" s="198"/>
      <c r="AE49" s="198"/>
      <c r="AF49" s="198"/>
      <c r="AG49" s="198"/>
      <c r="AH49" s="198"/>
      <c r="AI49" s="198"/>
      <c r="AJ49" s="198"/>
      <c r="AK49" s="198"/>
      <c r="AL49" s="198"/>
      <c r="AM49" s="198"/>
      <c r="AN49" s="198"/>
      <c r="AO49" s="198"/>
      <c r="AP49" s="198"/>
      <c r="AQ49" s="198"/>
      <c r="AR49" s="198"/>
      <c r="AS49" s="198"/>
      <c r="AT49" s="198"/>
      <c r="AU49" s="198"/>
      <c r="AV49" s="198"/>
      <c r="AW49" s="198"/>
      <c r="AX49" s="198"/>
      <c r="AY49" s="198"/>
      <c r="AZ49" s="198"/>
      <c r="BA49" s="198"/>
      <c r="BB49" s="198"/>
      <c r="BC49" s="198"/>
      <c r="BD49" s="198"/>
      <c r="BE49" s="198"/>
      <c r="BF49" s="198"/>
      <c r="BG49" s="198"/>
    </row>
    <row r="50">
      <c r="A50" t="str">
        <v>MoO₄²⁻</v>
      </c>
      <c r="B50" s="266"/>
      <c r="T50" s="199">
        <v>0.0003719776813391</v>
      </c>
      <c r="U50" s="199">
        <v>0.0003719776813391</v>
      </c>
      <c r="V50" s="199">
        <v>0.0</v>
      </c>
      <c r="W50" s="199">
        <v>0.0003719776813391</v>
      </c>
      <c r="X50" s="199"/>
      <c r="Y50" s="199"/>
      <c r="Z50" s="199"/>
      <c r="AA50" s="199"/>
      <c r="AB50" s="199"/>
      <c r="AC50" s="199"/>
      <c r="AD50" s="199"/>
      <c r="AE50" s="199"/>
      <c r="AF50" s="199"/>
      <c r="AG50" s="199"/>
      <c r="AH50" s="199"/>
      <c r="AI50" s="199"/>
      <c r="AJ50" s="199"/>
      <c r="AK50" s="199"/>
      <c r="AL50" s="199"/>
      <c r="AM50" s="199"/>
      <c r="AN50" s="199"/>
      <c r="AO50" s="199"/>
      <c r="AP50" s="199"/>
      <c r="AQ50" s="199"/>
      <c r="AR50" s="199"/>
      <c r="AS50" s="199"/>
      <c r="AT50" s="199"/>
      <c r="AU50" s="199"/>
      <c r="AV50" s="199"/>
      <c r="AW50" s="199"/>
      <c r="AX50" s="199"/>
      <c r="AY50" s="199"/>
      <c r="AZ50" s="199"/>
      <c r="BA50" s="199"/>
      <c r="BB50" s="199"/>
      <c r="BC50" s="199"/>
      <c r="BD50" s="199"/>
      <c r="BE50" s="199"/>
      <c r="BF50" s="199"/>
      <c r="BG50" s="199"/>
    </row>
    <row r="51">
      <c r="A51" t="str">
        <v>NO₃⁻</v>
      </c>
      <c r="B51" s="266"/>
      <c r="T51" s="198">
        <v>0.0</v>
      </c>
      <c r="U51" s="198">
        <v>0.0</v>
      </c>
      <c r="V51" s="198">
        <v>0.0</v>
      </c>
      <c r="W51" s="198">
        <v>0.0</v>
      </c>
      <c r="X51" s="198"/>
      <c r="Y51" s="198"/>
      <c r="Z51" s="198"/>
      <c r="AA51" s="198"/>
      <c r="AB51" s="198"/>
      <c r="AC51" s="198"/>
      <c r="AD51" s="198"/>
      <c r="AE51" s="198"/>
      <c r="AF51" s="198"/>
      <c r="AG51" s="198"/>
      <c r="AH51" s="198"/>
      <c r="AI51" s="198"/>
      <c r="AJ51" s="198"/>
      <c r="AK51" s="198"/>
      <c r="AL51" s="198"/>
      <c r="AM51" s="198"/>
      <c r="AN51" s="198"/>
      <c r="AO51" s="198"/>
      <c r="AP51" s="198"/>
      <c r="AQ51" s="198"/>
      <c r="AR51" s="198"/>
      <c r="AS51" s="198"/>
      <c r="AT51" s="198"/>
      <c r="AU51" s="198"/>
      <c r="AV51" s="198"/>
      <c r="AW51" s="198"/>
      <c r="AX51" s="198"/>
      <c r="AY51" s="198"/>
      <c r="AZ51" s="198"/>
      <c r="BA51" s="198"/>
      <c r="BB51" s="198"/>
      <c r="BC51" s="198"/>
      <c r="BD51" s="198"/>
      <c r="BE51" s="198"/>
      <c r="BF51" s="198"/>
      <c r="BG51" s="198"/>
    </row>
    <row r="53">
      <c r="A53" s="278" t="inlineStr">
        <is>
          <t xml:space="preserve">WHAT THE MODEL USES – calculated for each medium (Chemistry picks the medium chosen on Summary)</t>
        </is>
      </c>
      <c r="B53" s="278"/>
      <c r="C53" s="278"/>
      <c r="D53" s="278"/>
      <c r="E53" s="278"/>
      <c r="F53" s="278"/>
      <c r="G53" s="278"/>
      <c r="H53" s="278"/>
      <c r="I53" s="278"/>
      <c r="J53" s="278"/>
      <c r="K53" s="278"/>
      <c r="L53" s="278"/>
      <c r="M53" s="278"/>
      <c r="N53" s="278"/>
      <c r="O53" s="278"/>
      <c r="P53" s="278"/>
      <c r="Q53" s="278"/>
      <c r="R53" s="278"/>
      <c r="S53" s="278"/>
      <c r="T53" s="278"/>
      <c r="U53" s="278"/>
      <c r="V53" s="278"/>
      <c r="W53" s="278"/>
    </row>
    <row r="54">
      <c r="A54" s="265" t="inlineStr">
        <is>
          <t xml:space="preserve">Total phosphate (mM)</t>
        </is>
      </c>
      <c r="B54" s="266" t="inlineStr">
        <is>
          <t xml:space="preserve">med_PT</t>
        </is>
      </c>
      <c r="S54" s="303" t="inlineStr">
        <is>
          <t xml:space="preserve">H₂PO₄⁻ + HPO₄²⁻.</t>
        </is>
      </c>
      <c r="T54" s="212" cm="1">
        <f t="array" ref="T54:W54">MMULT(IF(ISNUMBER(ion_P),ion_P,0),ion_mM)</f>
        <v>40.007195769524</v>
      </c>
      <c r="U54" s="212">
        <v>40.007195769524</v>
      </c>
      <c r="V54" s="212">
        <v>37.329366919027</v>
      </c>
      <c r="W54" s="212">
        <v>60.006530131719</v>
      </c>
      <c r="X54" s="212"/>
      <c r="Y54" s="212"/>
      <c r="Z54" s="212"/>
      <c r="AA54" s="212"/>
      <c r="AB54" s="212"/>
      <c r="AC54" s="212"/>
      <c r="AD54" s="212"/>
      <c r="AE54" s="212"/>
      <c r="AF54" s="212"/>
      <c r="AG54" s="212"/>
      <c r="AH54" s="212"/>
      <c r="AI54" s="212"/>
      <c r="AJ54" s="212"/>
      <c r="AK54" s="212"/>
      <c r="AL54" s="212"/>
      <c r="AM54" s="212"/>
      <c r="AN54" s="212"/>
      <c r="AO54" s="212"/>
      <c r="AP54" s="212"/>
      <c r="AQ54" s="212"/>
      <c r="AR54" s="212"/>
      <c r="AS54" s="212"/>
      <c r="AT54" s="212"/>
      <c r="AU54" s="212"/>
      <c r="AV54" s="212"/>
      <c r="AW54" s="212"/>
      <c r="AX54" s="212"/>
      <c r="AY54" s="212"/>
      <c r="AZ54" s="212"/>
      <c r="BA54" s="212"/>
      <c r="BB54" s="212"/>
      <c r="BC54" s="212"/>
      <c r="BD54" s="212"/>
      <c r="BE54" s="212"/>
      <c r="BF54" s="212"/>
      <c r="BG54" s="212"/>
    </row>
    <row r="55">
      <c r="A55" s="265" t="inlineStr">
        <is>
          <t xml:space="preserve">Strong-ion difference (mM)</t>
        </is>
      </c>
      <c r="B55" s="266" t="inlineStr">
        <is>
          <t xml:space="preserve">med_SID</t>
        </is>
      </c>
      <c r="S55" s="303" t="inlineStr">
        <is>
          <t xml:space="preserve">Strong cations − strong anions (row 8 weights). Ammonium is added in Chemistry when it is not the nitrogen source.</t>
        </is>
      </c>
      <c r="T55" s="212" cm="1">
        <f t="array" ref="T55:W55">MMULT(IF(ISNUMBER(ion_sid),ion_sid,0),ion_mM)</f>
        <v>44.767523207277</v>
      </c>
      <c r="U55" s="212">
        <v>44.747523207277</v>
      </c>
      <c r="V55" s="212">
        <v>63.142947675681</v>
      </c>
      <c r="W55" s="212">
        <v>115.446909129278</v>
      </c>
      <c r="X55" s="212"/>
      <c r="Y55" s="212"/>
      <c r="Z55" s="212"/>
      <c r="AA55" s="212"/>
      <c r="AB55" s="212"/>
      <c r="AC55" s="212"/>
      <c r="AD55" s="212"/>
      <c r="AE55" s="212"/>
      <c r="AF55" s="212"/>
      <c r="AG55" s="212"/>
      <c r="AH55" s="212"/>
      <c r="AI55" s="212"/>
      <c r="AJ55" s="212"/>
      <c r="AK55" s="212"/>
      <c r="AL55" s="212"/>
      <c r="AM55" s="212"/>
      <c r="AN55" s="212"/>
      <c r="AO55" s="212"/>
      <c r="AP55" s="212"/>
      <c r="AQ55" s="212"/>
      <c r="AR55" s="212"/>
      <c r="AS55" s="212"/>
      <c r="AT55" s="212"/>
      <c r="AU55" s="212"/>
      <c r="AV55" s="212"/>
      <c r="AW55" s="212"/>
      <c r="AX55" s="212"/>
      <c r="AY55" s="212"/>
      <c r="AZ55" s="212"/>
      <c r="BA55" s="212"/>
      <c r="BB55" s="212"/>
      <c r="BC55" s="212"/>
      <c r="BD55" s="212"/>
      <c r="BE55" s="212"/>
      <c r="BF55" s="212"/>
      <c r="BG55" s="212"/>
    </row>
    <row r="56">
      <c r="A56" s="265" t="inlineStr">
        <is>
          <t xml:space="preserve">Total ammonium (mM)</t>
        </is>
      </c>
      <c r="B56" s="266" t="inlineStr">
        <is>
          <t xml:space="preserve">med_NT</t>
        </is>
      </c>
      <c r="S56" s="303" t="inlineStr">
        <is>
          <t xml:space="preserve">NH₄⁺.</t>
        </is>
      </c>
      <c r="T56" s="212" cm="1">
        <f t="array" ref="T56:W56">MMULT(IF(ISNUMBER(ion_N),ion_N,0),ion_mM)</f>
        <v>14.272741032239</v>
      </c>
      <c r="U56" s="212">
        <v>14.272741032239</v>
      </c>
      <c r="V56" s="212">
        <v>7.113667322537</v>
      </c>
      <c r="W56" s="212">
        <v>14.272741032239</v>
      </c>
      <c r="X56" s="212"/>
      <c r="Y56" s="212"/>
      <c r="Z56" s="212"/>
      <c r="AA56" s="212"/>
      <c r="AB56" s="212"/>
      <c r="AC56" s="212"/>
      <c r="AD56" s="212"/>
      <c r="AE56" s="212"/>
      <c r="AF56" s="212"/>
      <c r="AG56" s="212"/>
      <c r="AH56" s="212"/>
      <c r="AI56" s="212"/>
      <c r="AJ56" s="212"/>
      <c r="AK56" s="212"/>
      <c r="AL56" s="212"/>
      <c r="AM56" s="212"/>
      <c r="AN56" s="212"/>
      <c r="AO56" s="212"/>
      <c r="AP56" s="212"/>
      <c r="AQ56" s="212"/>
      <c r="AR56" s="212"/>
      <c r="AS56" s="212"/>
      <c r="AT56" s="212"/>
      <c r="AU56" s="212"/>
      <c r="AV56" s="212"/>
      <c r="AW56" s="212"/>
      <c r="AX56" s="212"/>
      <c r="AY56" s="212"/>
      <c r="AZ56" s="212"/>
      <c r="BA56" s="212"/>
      <c r="BB56" s="212"/>
      <c r="BC56" s="212"/>
      <c r="BD56" s="212"/>
      <c r="BE56" s="212"/>
      <c r="BF56" s="212"/>
      <c r="BG56" s="212"/>
    </row>
    <row r="57">
      <c r="A57" s="265" t="inlineStr">
        <is>
          <t xml:space="preserve">Chloride (mM)</t>
        </is>
      </c>
      <c r="B57" s="266" t="inlineStr">
        <is>
          <t xml:space="preserve">med_Cl</t>
        </is>
      </c>
      <c r="S57" s="303" t="inlineStr">
        <is>
          <t xml:space="preserve">Cl⁻: the pool the anode can turn into chlorine.</t>
        </is>
      </c>
      <c r="T57" s="212" cm="1">
        <f t="array" ref="T57:W57">MMULT(IF(ISNUMBER(ion_Cl),ion_Cl,0),ion_mM)</f>
        <v>0.0</v>
      </c>
      <c r="U57" s="212">
        <v>0.0</v>
      </c>
      <c r="V57" s="212">
        <v>0.180212650928</v>
      </c>
      <c r="W57" s="212">
        <v>0.0</v>
      </c>
      <c r="X57" s="212"/>
      <c r="Y57" s="212"/>
      <c r="Z57" s="212"/>
      <c r="AA57" s="212"/>
      <c r="AB57" s="212"/>
      <c r="AC57" s="212"/>
      <c r="AD57" s="212"/>
      <c r="AE57" s="212"/>
      <c r="AF57" s="212"/>
      <c r="AG57" s="212"/>
      <c r="AH57" s="212"/>
      <c r="AI57" s="212"/>
      <c r="AJ57" s="212"/>
      <c r="AK57" s="212"/>
      <c r="AL57" s="212"/>
      <c r="AM57" s="212"/>
      <c r="AN57" s="212"/>
      <c r="AO57" s="212"/>
      <c r="AP57" s="212"/>
      <c r="AQ57" s="212"/>
      <c r="AR57" s="212"/>
      <c r="AS57" s="212"/>
      <c r="AT57" s="212"/>
      <c r="AU57" s="212"/>
      <c r="AV57" s="212"/>
      <c r="AW57" s="212"/>
      <c r="AX57" s="212"/>
      <c r="AY57" s="212"/>
      <c r="AZ57" s="212"/>
      <c r="BA57" s="212"/>
      <c r="BB57" s="212"/>
      <c r="BC57" s="212"/>
      <c r="BD57" s="212"/>
      <c r="BE57" s="212"/>
      <c r="BF57" s="212"/>
      <c r="BG57" s="212"/>
    </row>
    <row r="58">
      <c r="A58" s="265" t="inlineStr">
        <is>
          <t xml:space="preserve">Ionic strength, as weighed (mM)</t>
        </is>
      </c>
      <c r="B58" s="266" t="inlineStr">
        <is>
          <t xml:space="preserve">med_I</t>
        </is>
      </c>
      <c r="S58" s="303" t="inlineStr">
        <is>
          <t xml:space="preserve">I = ½ Σ cᵢ zᵢ² over the ions as weighed (not a solved speciation).</t>
        </is>
      </c>
      <c r="T58" s="212" cm="1">
        <f t="array" ref="T58:W58">MMULT(IF(ISNUMBER(ion_z),ion_z^2,0),ion_mM)/2</f>
        <v>123.14645608337</v>
      </c>
      <c r="U58" s="212">
        <v>123.17645608337</v>
      </c>
      <c r="V58" s="212">
        <v>109.739973238051</v>
      </c>
      <c r="W58" s="212">
        <v>200.184197377204</v>
      </c>
      <c r="X58" s="212"/>
      <c r="Y58" s="212"/>
      <c r="Z58" s="212"/>
      <c r="AA58" s="212"/>
      <c r="AB58" s="212"/>
      <c r="AC58" s="212"/>
      <c r="AD58" s="212"/>
      <c r="AE58" s="212"/>
      <c r="AF58" s="212"/>
      <c r="AG58" s="212"/>
      <c r="AH58" s="212"/>
      <c r="AI58" s="212"/>
      <c r="AJ58" s="212"/>
      <c r="AK58" s="212"/>
      <c r="AL58" s="212"/>
      <c r="AM58" s="212"/>
      <c r="AN58" s="212"/>
      <c r="AO58" s="212"/>
      <c r="AP58" s="212"/>
      <c r="AQ58" s="212"/>
      <c r="AR58" s="212"/>
      <c r="AS58" s="212"/>
      <c r="AT58" s="212"/>
      <c r="AU58" s="212"/>
      <c r="AV58" s="212"/>
      <c r="AW58" s="212"/>
      <c r="AX58" s="212"/>
      <c r="AY58" s="212"/>
      <c r="AZ58" s="212"/>
      <c r="BA58" s="212"/>
      <c r="BB58" s="212"/>
      <c r="BC58" s="212"/>
      <c r="BD58" s="212"/>
      <c r="BE58" s="212"/>
      <c r="BF58" s="212"/>
      <c r="BG58" s="212"/>
    </row>
    <row r="59">
      <c r="A59" s="265" t="inlineStr">
        <is>
          <t xml:space="preserve">Ideal conductivity, Kohlrausch sum (mS/cm)</t>
        </is>
      </c>
      <c r="B59" s="266" t="inlineStr">
        <is>
          <t xml:space="preserve">med_kappa0</t>
        </is>
      </c>
      <c r="S59" s="303" t="inlineStr">
        <is>
          <t xml:space="preserve">Σ λᵢ cᵢ before the finite-strength and temperature corrections (Chemistry). A conductivity-meter reading is better.</t>
        </is>
      </c>
      <c r="T59" s="198" cm="1">
        <f t="array" ref="T59:W59">MMULT(IF(ISNUMBER(ion_lam),ion_lam,0),ion_mM)/1000</f>
        <v>9.705026534004</v>
      </c>
      <c r="U59" s="198">
        <v>9.706626534004</v>
      </c>
      <c r="V59" s="198">
        <v>9.063418680202</v>
      </c>
      <c r="W59" s="198">
        <v>16.332071287302</v>
      </c>
      <c r="X59" s="198"/>
      <c r="Y59" s="198"/>
      <c r="Z59" s="198"/>
      <c r="AA59" s="198"/>
      <c r="AB59" s="198"/>
      <c r="AC59" s="198"/>
      <c r="AD59" s="198"/>
      <c r="AE59" s="198"/>
      <c r="AF59" s="198"/>
      <c r="AG59" s="198"/>
      <c r="AH59" s="198"/>
      <c r="AI59" s="198"/>
      <c r="AJ59" s="198"/>
      <c r="AK59" s="198"/>
      <c r="AL59" s="198"/>
      <c r="AM59" s="198"/>
      <c r="AN59" s="198"/>
      <c r="AO59" s="198"/>
      <c r="AP59" s="198"/>
      <c r="AQ59" s="198"/>
      <c r="AR59" s="198"/>
      <c r="AS59" s="198"/>
      <c r="AT59" s="198"/>
      <c r="AU59" s="198"/>
      <c r="AV59" s="198"/>
      <c r="AW59" s="198"/>
      <c r="AX59" s="198"/>
      <c r="AY59" s="198"/>
      <c r="AZ59" s="198"/>
      <c r="BA59" s="198"/>
      <c r="BB59" s="198"/>
      <c r="BC59" s="198"/>
      <c r="BD59" s="198"/>
      <c r="BE59" s="198"/>
      <c r="BF59" s="198"/>
      <c r="BG59" s="198"/>
    </row>
  </sheetData>
  <conditionalFormatting sqref="T18:BG34">
    <cfRule type="expression" dxfId="47" priority="1">
      <formula>AND(COLUMN(T18)-COLUMN($S18)&lt;=med_n,N(T18)&lt;&gt;N(OFFSET($S18,0,med_cmp)))</formula>
    </cfRule>
  </conditionalFormatting>
  <conditionalFormatting sqref="T37:BG51">
    <cfRule type="expression" dxfId="47" priority="2">
      <formula>AND(COLUMN(T37)-COLUMN($S37)&lt;=med_n,ISNUMBER(T37),ABS(T37-OFFSET($S37,0,med_cmp))&gt;1E-9*MAX(1,ABS(T37)))</formula>
    </cfRule>
  </conditionalFormatting>
  <conditionalFormatting sqref="T54:BG59">
    <cfRule type="expression" dxfId="47" priority="3">
      <formula>AND(COLUMN(T54)-COLUMN($S54)&lt;=med_n,ISNUMBER(T54),ABS(T54-OFFSET($S54,0,med_cmp))&gt;1E-9*MAX(1,ABS(T54)))</formula>
    </cfRule>
  </conditionalFormatting>
  <conditionalFormatting sqref="T15:BG15">
    <cfRule type="expression" dxfId="46" priority="4">
      <formula>AND(COLUMN(T15)-COLUMN($S15)&lt;=med_n,T15="Recommended")</formula>
    </cfRule>
  </conditionalFormatting>
  <conditionalFormatting sqref="T15:BG15">
    <cfRule type="expression" dxfId="48" priority="5">
      <formula>AND(COLUMN(T15)-COLUMN($S15)&lt;=med_n,ISNUMBER(SEARCH("don't use",T15)))</formula>
    </cfRule>
  </conditionalFormatting>
  <conditionalFormatting sqref="T15:BG15">
    <cfRule type="expression" dxfId="47" priority="6">
      <formula>AND(COLUMN(T15)-COLUMN($S15)&lt;=med_n,T15&lt;&gt;"",T15&lt;&gt;"Recommended",ISERROR(SEARCH("don't use",T15)))</formula>
    </cfRule>
  </conditionalFormatting>
  <conditionalFormatting sqref="B4">
    <cfRule type="expression" dxfId="48" priority="7">
      <formula>ISNA(med_cmp)</formula>
    </cfRule>
  </conditionalFormatting>
  <dataValidations count="2">
    <dataValidation type="list" allowBlank="1" showErrorMessage="1" errorTitle="Invalid value" error="Choose a medium from the table." sqref="B4">
      <formula1>MediaList</formula1>
    </dataValidation>
    <dataValidation type="list" allowBlank="1" showErrorMessage="1" errorTitle="Invalid value" error="Use one of the listed statuses." sqref="T15:BG15">
      <formula1>"Recommended,External – reference,Historical – don't use"</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sheetPr>
    <tabColor rgb="FF4472C4"/>
  </sheetPr>
  <dimension ref="A1:L26"/>
  <sheetViews>
    <sheetView workbookViewId="0">
      <pane ySplit="4" topLeftCell="A5" activePane="bottomLeft" state="frozen"/>
      <selection pane="bottomLeft" activeCell="A5" sqref="A5"/>
    </sheetView>
  </sheetViews>
  <sheetFormatPr defaultRowHeight="15"/>
  <cols>
    <col min="1" max="1" width="14" customWidth="1"/>
    <col min="2" max="2" width="14" customWidth="1"/>
    <col min="3" max="3" width="4" customWidth="1"/>
    <col min="4" max="12" width="14" customWidth="1"/>
  </cols>
  <sheetData>
    <row r="1">
      <c r="A1" s="263" t="inlineStr">
        <is>
          <t xml:space="preserve">REACTORS – every reactor and its type (left); the geometry of each reactor type (right)</t>
        </is>
      </c>
      <c r="B1" s="263"/>
      <c r="C1" s="263"/>
      <c r="D1" s="263"/>
      <c r="E1" s="263"/>
      <c r="F1" s="263"/>
      <c r="G1" s="263"/>
      <c r="H1" s="263"/>
      <c r="I1" s="263"/>
      <c r="J1" s="263"/>
      <c r="K1" s="263"/>
      <c r="L1" s="263"/>
    </row>
    <row r="2">
      <c r="A2" s="269" t="inlineStr">
        <is>
          <t xml:space="preserve">Add a reactor: type its ID in the first empty row under the Reactors table and choose its type. Add a reactor type the same way under Reactor types. Both tables grow on their own, and the Summary reactor list follows.</t>
        </is>
      </c>
    </row>
    <row r="4" ht="30" customHeight="1">
      <c r="A4" s="264" t="inlineStr">
        <is>
          <t xml:space="preserve">Reactor</t>
        </is>
      </c>
      <c r="B4" s="264" t="inlineStr">
        <is>
          <t xml:space="preserve">Type</t>
        </is>
      </c>
      <c r="D4" s="264" t="inlineStr">
        <is>
          <t xml:space="preserve">Type</t>
        </is>
      </c>
      <c r="E4" s="264" t="inlineStr">
        <is>
          <t xml:space="preserve">Pioreactor</t>
        </is>
      </c>
      <c r="F4" s="264" t="inlineStr">
        <is>
          <t xml:space="preserve">vial (mL)</t>
        </is>
      </c>
      <c r="G4" s="264" t="inlineStr">
        <is>
          <t xml:space="preserve">usable depth (mm)</t>
        </is>
      </c>
      <c r="H4" s="264" t="inlineStr">
        <is>
          <t xml:space="preserve">max working (mL)</t>
        </is>
      </c>
      <c r="I4" s="264" t="inlineStr">
        <is>
          <t xml:space="preserve">total vial (mL)</t>
        </is>
      </c>
      <c r="J4" s="264" t="inlineStr">
        <is>
          <t xml:space="preserve">vial OD (mm)</t>
        </is>
      </c>
      <c r="K4" s="264" t="inlineStr">
        <is>
          <t xml:space="preserve">stir bar L (mm)</t>
        </is>
      </c>
      <c r="L4" s="264" t="inlineStr">
        <is>
          <t xml:space="preserve">stir bar dia (mm)</t>
        </is>
      </c>
    </row>
    <row r="5">
      <c r="A5" s="265" t="inlineStr">
        <is>
          <t xml:space="preserve">imp01</t>
        </is>
      </c>
      <c r="B5" s="268" t="inlineStr">
        <is>
          <t xml:space="preserve">AEP0.1.1</t>
        </is>
      </c>
      <c r="D5" s="265" t="inlineStr">
        <is>
          <t xml:space="preserve">AEP0.1.1</t>
        </is>
      </c>
      <c r="E5" s="268" t="inlineStr">
        <is>
          <t xml:space="preserve">1.1</t>
        </is>
      </c>
      <c r="F5" s="268">
        <v>20.0</v>
      </c>
      <c r="G5" s="268">
        <v>55.0</v>
      </c>
      <c r="H5" s="268">
        <v>16.0</v>
      </c>
      <c r="I5" s="268">
        <v>20.0</v>
      </c>
      <c r="J5" s="268">
        <v>27.48</v>
      </c>
      <c r="K5" s="268">
        <v>12.0</v>
      </c>
      <c r="L5" s="268">
        <v>3.0</v>
      </c>
    </row>
    <row r="6">
      <c r="A6" s="265" t="inlineStr">
        <is>
          <t xml:space="preserve">imp02</t>
        </is>
      </c>
      <c r="B6" s="268" t="inlineStr">
        <is>
          <t xml:space="preserve">AEP0.1.1</t>
        </is>
      </c>
      <c r="D6" s="265" t="inlineStr">
        <is>
          <t xml:space="preserve">MEP0.3</t>
        </is>
      </c>
      <c r="E6" s="268" t="inlineStr">
        <is>
          <t xml:space="preserve">1.1</t>
        </is>
      </c>
      <c r="F6" s="268">
        <v>20.0</v>
      </c>
      <c r="G6" s="268">
        <v>55.0</v>
      </c>
      <c r="H6" s="268">
        <v>16.0</v>
      </c>
      <c r="I6" s="268">
        <v>20.0</v>
      </c>
      <c r="J6" s="268">
        <v>27.48</v>
      </c>
      <c r="K6" s="268">
        <v>12.0</v>
      </c>
      <c r="L6" s="268">
        <v>3.0</v>
      </c>
    </row>
    <row r="7">
      <c r="A7" s="265" t="inlineStr">
        <is>
          <t xml:space="preserve">imp03</t>
        </is>
      </c>
      <c r="B7" s="268" t="inlineStr">
        <is>
          <t xml:space="preserve">AEP0.1.1</t>
        </is>
      </c>
      <c r="D7" s="265" t="inlineStr">
        <is>
          <t xml:space="preserve">AEP0.2</t>
        </is>
      </c>
      <c r="E7" s="268" t="inlineStr">
        <is>
          <t xml:space="preserve">1.5</t>
        </is>
      </c>
      <c r="F7" s="268">
        <v>40.0</v>
      </c>
      <c r="G7" s="268">
        <v>95.0</v>
      </c>
      <c r="H7" s="268">
        <v>30.0</v>
      </c>
      <c r="I7" s="268">
        <v>42.0</v>
      </c>
      <c r="J7" s="268">
        <v>27.48</v>
      </c>
      <c r="K7" s="268">
        <v>15.0</v>
      </c>
      <c r="L7" s="268">
        <v>6.0</v>
      </c>
    </row>
    <row r="8">
      <c r="A8" s="265" t="inlineStr">
        <is>
          <t xml:space="preserve">imp04</t>
        </is>
      </c>
      <c r="B8" s="268" t="inlineStr">
        <is>
          <t xml:space="preserve">AEP0.1.1</t>
        </is>
      </c>
      <c r="D8" s="265" t="inlineStr">
        <is>
          <t xml:space="preserve">AEP0.2a</t>
        </is>
      </c>
      <c r="E8" s="268" t="inlineStr">
        <is>
          <t xml:space="preserve">1.5</t>
        </is>
      </c>
      <c r="F8" s="268">
        <v>40.0</v>
      </c>
      <c r="G8" s="268">
        <v>95.0</v>
      </c>
      <c r="H8" s="268">
        <v>30.0</v>
      </c>
      <c r="I8" s="268">
        <v>42.0</v>
      </c>
      <c r="J8" s="268">
        <v>27.48</v>
      </c>
      <c r="K8" s="268">
        <v>15.0</v>
      </c>
      <c r="L8" s="268">
        <v>6.0</v>
      </c>
    </row>
    <row r="9">
      <c r="A9" s="265" t="inlineStr">
        <is>
          <t xml:space="preserve">imp05</t>
        </is>
      </c>
      <c r="B9" s="268" t="inlineStr">
        <is>
          <t xml:space="preserve">AEP0.1.1</t>
        </is>
      </c>
    </row>
    <row r="10">
      <c r="A10" s="265" t="inlineStr">
        <is>
          <t xml:space="preserve">imp06</t>
        </is>
      </c>
      <c r="B10" s="268" t="inlineStr">
        <is>
          <t xml:space="preserve">AEP0.1.1</t>
        </is>
      </c>
    </row>
    <row r="11">
      <c r="A11" s="265" t="inlineStr">
        <is>
          <t xml:space="preserve">ed01</t>
        </is>
      </c>
      <c r="B11" s="268" t="inlineStr">
        <is>
          <t xml:space="preserve">AEP0.1.1</t>
        </is>
      </c>
    </row>
    <row r="12">
      <c r="A12" s="265" t="inlineStr">
        <is>
          <t xml:space="preserve">ed02</t>
        </is>
      </c>
      <c r="B12" s="268" t="inlineStr">
        <is>
          <t xml:space="preserve">AEP0.1.1</t>
        </is>
      </c>
    </row>
    <row r="13">
      <c r="A13" s="265" t="inlineStr">
        <is>
          <t xml:space="preserve">ed03</t>
        </is>
      </c>
      <c r="B13" s="268" t="inlineStr">
        <is>
          <t xml:space="preserve">AEP0.1.1</t>
        </is>
      </c>
    </row>
    <row r="14">
      <c r="A14" s="265" t="inlineStr">
        <is>
          <t xml:space="preserve">ed04</t>
        </is>
      </c>
      <c r="B14" s="268" t="inlineStr">
        <is>
          <t xml:space="preserve">MEP0.3</t>
        </is>
      </c>
    </row>
    <row r="15">
      <c r="A15" s="265" t="inlineStr">
        <is>
          <t xml:space="preserve">ed05</t>
        </is>
      </c>
      <c r="B15" s="268" t="inlineStr">
        <is>
          <t xml:space="preserve">MEP0.3</t>
        </is>
      </c>
    </row>
    <row r="16">
      <c r="A16" s="265" t="inlineStr">
        <is>
          <t xml:space="preserve">ed06</t>
        </is>
      </c>
      <c r="B16" s="268" t="inlineStr">
        <is>
          <t xml:space="preserve">AEP0.2</t>
        </is>
      </c>
    </row>
    <row r="17">
      <c r="A17" s="265" t="inlineStr">
        <is>
          <t xml:space="preserve">ed07</t>
        </is>
      </c>
      <c r="B17" s="268" t="inlineStr">
        <is>
          <t xml:space="preserve">AEP0.2</t>
        </is>
      </c>
    </row>
    <row r="18">
      <c r="A18" s="265" t="inlineStr">
        <is>
          <t xml:space="preserve">ed08</t>
        </is>
      </c>
      <c r="B18" s="268" t="inlineStr">
        <is>
          <t xml:space="preserve">AEP0.2</t>
        </is>
      </c>
    </row>
    <row r="19">
      <c r="A19" s="265" t="inlineStr">
        <is>
          <t xml:space="preserve">imp07</t>
        </is>
      </c>
      <c r="B19" s="268" t="inlineStr">
        <is>
          <t xml:space="preserve">AEP0.2</t>
        </is>
      </c>
    </row>
    <row r="20">
      <c r="A20" s="265" t="inlineStr">
        <is>
          <t xml:space="preserve">imp08</t>
        </is>
      </c>
      <c r="B20" s="268" t="inlineStr">
        <is>
          <t xml:space="preserve">AEP0.2</t>
        </is>
      </c>
    </row>
    <row r="21">
      <c r="A21" s="265" t="inlineStr">
        <is>
          <t xml:space="preserve">imp09</t>
        </is>
      </c>
      <c r="B21" s="268" t="inlineStr">
        <is>
          <t xml:space="preserve">AEP0.2</t>
        </is>
      </c>
    </row>
    <row r="22">
      <c r="A22" s="265" t="inlineStr">
        <is>
          <t xml:space="preserve">imp10</t>
        </is>
      </c>
      <c r="B22" s="268" t="inlineStr">
        <is>
          <t xml:space="preserve">AEP0.2</t>
        </is>
      </c>
    </row>
    <row r="23">
      <c r="A23" s="265" t="inlineStr">
        <is>
          <t xml:space="preserve">imp11</t>
        </is>
      </c>
      <c r="B23" s="268" t="inlineStr">
        <is>
          <t xml:space="preserve">AEP0.2</t>
        </is>
      </c>
    </row>
    <row r="24">
      <c r="A24" s="265" t="inlineStr">
        <is>
          <t xml:space="preserve">imp12</t>
        </is>
      </c>
      <c r="B24" s="268" t="inlineStr">
        <is>
          <t xml:space="preserve">AEP0.2</t>
        </is>
      </c>
    </row>
    <row r="25">
      <c r="A25" s="265" t="inlineStr">
        <is>
          <t xml:space="preserve">nm01</t>
        </is>
      </c>
      <c r="B25" s="268" t="inlineStr">
        <is>
          <t xml:space="preserve">AEP0.2a</t>
        </is>
      </c>
    </row>
    <row r="26">
      <c r="A26" s="265" t="inlineStr">
        <is>
          <t xml:space="preserve">nm02</t>
        </is>
      </c>
      <c r="B26" s="268" t="inlineStr">
        <is>
          <t xml:space="preserve">AEP0.2</t>
        </is>
      </c>
    </row>
  </sheetData>
  <dataValidations count="1">
    <dataValidation type="list" allowBlank="1" showErrorMessage="1" errorTitle="Invalid value" error="Choose a type from the Reactor types table." sqref="B5:B26">
      <formula1>RxTypeNames</formula1>
    </dataValidation>
  </dataValidations>
  <pageMargins left="0.7" right="0.7" top="0.75" bottom="0.75" header="0.3" footer="0.3"/>
  <tableParts count="2">
    <tablePart r:id="rId1"/>
    <tablePart r:id="rId2"/>
  </tableParts>
</worksheet>
</file>

<file path=xl/worksheets/sheet11.xml><?xml version="1.0" encoding="utf-8"?>
<worksheet xmlns="http://schemas.openxmlformats.org/spreadsheetml/2006/main" xmlns:r="http://schemas.openxmlformats.org/officeDocument/2006/relationships">
  <sheetPr>
    <tabColor rgb="FF4472C4"/>
  </sheetPr>
  <dimension ref="A1:N8"/>
  <sheetViews>
    <sheetView workbookViewId="0">
      <pane ySplit="4" topLeftCell="A5" activePane="bottomLeft" state="frozen"/>
      <selection pane="bottomLeft" activeCell="A5" sqref="A5"/>
    </sheetView>
  </sheetViews>
  <sheetFormatPr defaultRowHeight="15"/>
  <cols>
    <col min="1" max="1" width="16" customWidth="1"/>
    <col min="2" max="13" width="13" customWidth="1"/>
    <col min="14" max="14" width="60" customWidth="1"/>
  </cols>
  <sheetData>
    <row r="1">
      <c r="A1" s="263" t="inlineStr">
        <is>
          <t xml:space="preserve">ELECTRODES – every electrode assembly (selecting one on Summary sets sparger, porosity, cathode and current-density limits)</t>
        </is>
      </c>
      <c r="B1" s="263"/>
      <c r="C1" s="263"/>
      <c r="D1" s="263"/>
      <c r="E1" s="263"/>
      <c r="F1" s="263"/>
      <c r="G1" s="263"/>
      <c r="H1" s="263"/>
      <c r="I1" s="263"/>
      <c r="J1" s="263"/>
      <c r="K1" s="263"/>
      <c r="L1" s="263"/>
      <c r="M1" s="263"/>
      <c r="N1" s="263"/>
    </row>
    <row r="2">
      <c r="A2" s="269" t="inlineStr">
        <is>
          <t xml:space="preserve">Add an electrode assembly: type it in the first empty row under the table and fill its columns. The table grows on its own, and the Summary electrode list follows.</t>
        </is>
      </c>
    </row>
    <row r="4" ht="30" customHeight="1">
      <c r="A4" s="264" t="inlineStr">
        <is>
          <t xml:space="preserve">Electrode</t>
        </is>
      </c>
      <c r="B4" s="264" t="inlineStr">
        <is>
          <t xml:space="preserve">anode material</t>
        </is>
      </c>
      <c r="C4" s="264" t="inlineStr">
        <is>
          <t xml:space="preserve">anode dia (mm)</t>
        </is>
      </c>
      <c r="D4" s="264" t="inlineStr">
        <is>
          <t xml:space="preserve">sparger</t>
        </is>
      </c>
      <c r="E4" s="264" t="inlineStr">
        <is>
          <t xml:space="preserve">sinter porosity</t>
        </is>
      </c>
      <c r="F4" s="264" t="inlineStr">
        <is>
          <t xml:space="preserve">cathode</t>
        </is>
      </c>
      <c r="G4" s="264" t="inlineStr">
        <is>
          <t xml:space="preserve">cathode dia (mm)</t>
        </is>
      </c>
      <c r="H4" s="264" t="inlineStr">
        <is>
          <t xml:space="preserve">etaF</t>
        </is>
      </c>
      <c r="I4" s="264" t="inlineStr">
        <is>
          <t xml:space="preserve">z_e_ORR</t>
        </is>
      </c>
      <c r="J4" s="264" t="inlineStr">
        <is>
          <t xml:space="preserve">anode shape</t>
        </is>
      </c>
      <c r="K4" s="264" t="inlineStr">
        <is>
          <t xml:space="preserve">anode j cont (mA/cm²)</t>
        </is>
      </c>
      <c r="L4" s="264" t="inlineStr">
        <is>
          <t xml:space="preserve">anode j max (mA/cm²)</t>
        </is>
      </c>
      <c r="M4" s="264" t="inlineStr">
        <is>
          <t xml:space="preserve">cathode shape</t>
        </is>
      </c>
      <c r="N4" s="264" t="inlineStr">
        <is>
          <t xml:space="preserve">material note</t>
        </is>
      </c>
    </row>
    <row r="5">
      <c r="A5" s="265" t="inlineStr">
        <is>
          <t xml:space="preserve">Pt/Ti rod</t>
        </is>
      </c>
      <c r="B5" s="268" t="inlineStr">
        <is>
          <t xml:space="preserve">Pt/Ti</t>
        </is>
      </c>
      <c r="C5" s="268">
        <v>6.0</v>
      </c>
      <c r="D5" s="268" t="inlineStr">
        <is>
          <t xml:space="preserve">Tube</t>
        </is>
      </c>
      <c r="E5" s="268" t="inlineStr">
        <is>
          <t xml:space="preserve">n/a</t>
        </is>
      </c>
      <c r="F5" s="268" t="inlineStr">
        <is>
          <t xml:space="preserve">SS rod</t>
        </is>
      </c>
      <c r="G5" s="268">
        <v>6.0</v>
      </c>
      <c r="H5" s="287" t="inlineStr">
        <is>
          <t xml:space="preserve">?</t>
        </is>
      </c>
      <c r="I5" s="268">
        <v>2.0</v>
      </c>
      <c r="J5" s="268" t="inlineStr">
        <is>
          <t xml:space="preserve">rod</t>
        </is>
      </c>
      <c r="K5" s="268">
        <v>100.0</v>
      </c>
      <c r="L5" s="268">
        <v>500.0</v>
      </c>
      <c r="M5" s="268" t="inlineStr">
        <is>
          <t xml:space="preserve">rod</t>
        </is>
      </c>
      <c r="N5" s="269" t="inlineStr">
        <is>
          <t xml:space="preserve">Pt/Ti O₂-evolution; cells bind before the coating.</t>
        </is>
      </c>
    </row>
    <row r="6">
      <c r="A6" s="265" t="inlineStr">
        <is>
          <t xml:space="preserve">MMO rod</t>
        </is>
      </c>
      <c r="B6" s="268" t="inlineStr">
        <is>
          <t xml:space="preserve">MMO</t>
        </is>
      </c>
      <c r="C6" s="268">
        <v>6.0</v>
      </c>
      <c r="D6" s="268" t="inlineStr">
        <is>
          <t xml:space="preserve">Tube</t>
        </is>
      </c>
      <c r="E6" s="268" t="inlineStr">
        <is>
          <t xml:space="preserve">n/a</t>
        </is>
      </c>
      <c r="F6" s="268" t="inlineStr">
        <is>
          <t xml:space="preserve">SS rod</t>
        </is>
      </c>
      <c r="G6" s="268">
        <v>6.0</v>
      </c>
      <c r="H6" s="287" t="inlineStr">
        <is>
          <t xml:space="preserve">?</t>
        </is>
      </c>
      <c r="I6" s="268">
        <v>2.0</v>
      </c>
      <c r="J6" s="268" t="inlineStr">
        <is>
          <t xml:space="preserve">rod</t>
        </is>
      </c>
      <c r="K6" s="268">
        <v>50.0</v>
      </c>
      <c r="L6" s="268">
        <v>500.0</v>
      </c>
      <c r="M6" s="268" t="inlineStr">
        <is>
          <t xml:space="preserve">rod</t>
        </is>
      </c>
      <c r="N6" s="269" t="inlineStr">
        <is>
          <t xml:space="preserve">IrO₂-Ta₂O₅ O₂-selective; derates vs chloride.</t>
        </is>
      </c>
    </row>
    <row r="7">
      <c r="A7" s="265" t="inlineStr">
        <is>
          <t xml:space="preserve">MMO tube</t>
        </is>
      </c>
      <c r="B7" s="268" t="inlineStr">
        <is>
          <t xml:space="preserve">MMO</t>
        </is>
      </c>
      <c r="C7" s="268">
        <v>6.0</v>
      </c>
      <c r="D7" s="268" t="inlineStr">
        <is>
          <t xml:space="preserve">Sintered</t>
        </is>
      </c>
      <c r="E7" s="312">
        <v>0.0</v>
      </c>
      <c r="F7" s="268" t="inlineStr">
        <is>
          <t xml:space="preserve">SS rod</t>
        </is>
      </c>
      <c r="G7" s="268">
        <v>6.0</v>
      </c>
      <c r="H7" s="287" t="inlineStr">
        <is>
          <t xml:space="preserve">?</t>
        </is>
      </c>
      <c r="I7" s="268">
        <v>2.0</v>
      </c>
      <c r="J7" s="268" t="inlineStr">
        <is>
          <t xml:space="preserve">tube</t>
        </is>
      </c>
      <c r="K7" s="268">
        <v>10.0</v>
      </c>
      <c r="L7" s="268">
        <v>60.0</v>
      </c>
      <c r="M7" s="268" t="inlineStr">
        <is>
          <t xml:space="preserve">rod</t>
        </is>
      </c>
      <c r="N7" s="269" t="inlineStr">
        <is>
          <t xml:space="preserve">Tubular MMO CP rating ~100 A/m²; binds near the cell limit.</t>
        </is>
      </c>
    </row>
    <row r="8">
      <c r="A8" s="265" t="inlineStr">
        <is>
          <t xml:space="preserve">Graphite rod</t>
        </is>
      </c>
      <c r="B8" s="268" t="inlineStr">
        <is>
          <t xml:space="preserve">Graphite</t>
        </is>
      </c>
      <c r="C8" s="268">
        <v>6.0</v>
      </c>
      <c r="D8" s="268" t="inlineStr">
        <is>
          <t xml:space="preserve">Tube</t>
        </is>
      </c>
      <c r="E8" s="268" t="inlineStr">
        <is>
          <t xml:space="preserve">n/a</t>
        </is>
      </c>
      <c r="F8" s="268" t="inlineStr">
        <is>
          <t xml:space="preserve">SS rod</t>
        </is>
      </c>
      <c r="G8" s="268">
        <v>6.0</v>
      </c>
      <c r="H8" s="287" t="inlineStr">
        <is>
          <t xml:space="preserve">?</t>
        </is>
      </c>
      <c r="I8" s="268">
        <v>2.0</v>
      </c>
      <c r="J8" s="268" t="inlineStr">
        <is>
          <t xml:space="preserve">rod</t>
        </is>
      </c>
      <c r="K8" s="268">
        <v>35.0</v>
      </c>
      <c r="L8" s="268">
        <v>50.0</v>
      </c>
      <c r="M8" s="268" t="inlineStr">
        <is>
          <t xml:space="preserve">rod</t>
        </is>
      </c>
      <c r="N8" s="269" t="inlineStr">
        <is>
          <t xml:space="preserve">Consumable; ~35 mA/cm² erosion, unsuitable for sustained neutral O₂; testing only.</t>
        </is>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sheetPr>
    <tabColor rgb="FF4472C4"/>
  </sheetPr>
  <dimension ref="A1:J10"/>
  <sheetViews>
    <sheetView workbookViewId="0">
      <pane ySplit="4" topLeftCell="A5" activePane="bottomLeft" state="frozen"/>
      <selection pane="bottomLeft" activeCell="A5" sqref="A5"/>
    </sheetView>
  </sheetViews>
  <sheetFormatPr defaultRowHeight="15"/>
  <cols>
    <col min="1" max="1" width="28" customWidth="1"/>
    <col min="2" max="5" width="13" customWidth="1"/>
    <col min="6" max="6" width="50" customWidth="1"/>
    <col min="7" max="9" width="13" customWidth="1"/>
    <col min="10" max="10" width="50" customWidth="1"/>
  </cols>
  <sheetData>
    <row r="1">
      <c r="A1" s="263" t="inlineStr">
        <is>
          <t xml:space="preserve">ORGANISMS – dissolved-O₂ thresholds and tolerated current densities of each organism (? = not measured)</t>
        </is>
      </c>
      <c r="B1" s="263"/>
      <c r="C1" s="263"/>
      <c r="D1" s="263"/>
      <c r="E1" s="263"/>
      <c r="F1" s="263"/>
      <c r="G1" s="263"/>
      <c r="H1" s="263"/>
      <c r="I1" s="263"/>
      <c r="J1" s="263"/>
    </row>
    <row r="2">
      <c r="A2" s="269" t="inlineStr">
        <is>
          <t xml:space="preserve">Add an organism: type it in the first empty row under the table. Leave a value as ? (or blank) until it is measured; measured values can also go in the Calibrations DO and current-density sections. The Summary organism list follows.</t>
        </is>
      </c>
    </row>
    <row r="4" ht="30" customHeight="1">
      <c r="A4" s="264" t="inlineStr">
        <is>
          <t xml:space="preserve">Organism</t>
        </is>
      </c>
      <c r="B4" s="264" t="inlineStr">
        <is>
          <t xml:space="preserve">minimum DO (mg/L)</t>
        </is>
      </c>
      <c r="C4" s="264" t="inlineStr">
        <is>
          <t xml:space="preserve">optimum DO (mg/L)</t>
        </is>
      </c>
      <c r="D4" s="264" t="inlineStr">
        <is>
          <t xml:space="preserve">impairment DO (mg/L)</t>
        </is>
      </c>
      <c r="E4" s="264" t="inlineStr">
        <is>
          <t xml:space="preserve">toxic DO (mg/L)</t>
        </is>
      </c>
      <c r="F4" s="264" t="inlineStr">
        <is>
          <t xml:space="preserve">DO source</t>
        </is>
      </c>
      <c r="G4" s="264" t="inlineStr">
        <is>
          <t xml:space="preserve">j optimum (mA/cm²)</t>
        </is>
      </c>
      <c r="H4" s="264" t="inlineStr">
        <is>
          <t xml:space="preserve">j ceiling (mA/cm²)</t>
        </is>
      </c>
      <c r="I4" s="264" t="inlineStr">
        <is>
          <t xml:space="preserve">j confidence</t>
        </is>
      </c>
      <c r="J4" s="264" t="inlineStr">
        <is>
          <t xml:space="preserve">j source</t>
        </is>
      </c>
    </row>
    <row r="5">
      <c r="A5" s="265" t="inlineStr">
        <is>
          <t xml:space="preserve">Cupriavidus necator</t>
        </is>
      </c>
      <c r="B5" s="287" t="inlineStr">
        <is>
          <t xml:space="preserve">?</t>
        </is>
      </c>
      <c r="C5" s="268">
        <v>2.6</v>
      </c>
      <c r="D5" s="268">
        <v>3.0</v>
      </c>
      <c r="E5" s="268">
        <v>11.5</v>
      </c>
      <c r="F5" s="269" t="inlineStr">
        <is>
          <t xml:space="preserve">11.5 = Wilde &amp; Schlegel 1982 inhibition datum (the model computes its ceiling via Henry, ~10.7 mg/L at 30 °C). Optimum 2.6 and impairment 3.0 are provisional working values, not sourced measurements (protocols/dissolved-oxygen.md: optimum low, impairment not established).</t>
        </is>
      </c>
      <c r="G5" s="268">
        <v>2.0</v>
      </c>
      <c r="H5" s="268">
        <v>4.0</v>
      </c>
      <c r="I5" s="268" t="inlineStr">
        <is>
          <t xml:space="preserve">low</t>
        </is>
      </c>
      <c r="J5" s="305" t="inlineStr">
        <is>
          <t xml:space="preserve">Inferred analogue (Zhang 2020; Bause 2018 biofilm 0.5). Run screen.</t>
        </is>
      </c>
    </row>
    <row r="6">
      <c r="A6" s="265" t="inlineStr">
        <is>
          <t xml:space="preserve">Xanthobacter autotrophicus</t>
        </is>
      </c>
      <c r="B6" s="287" t="inlineStr">
        <is>
          <t xml:space="preserve">?</t>
        </is>
      </c>
      <c r="C6" s="287" t="inlineStr">
        <is>
          <t xml:space="preserve">?</t>
        </is>
      </c>
      <c r="D6" s="287" t="inlineStr">
        <is>
          <t xml:space="preserve">?</t>
        </is>
      </c>
      <c r="E6" s="268">
        <v>11.5</v>
      </c>
      <c r="F6" s="269" t="inlineStr">
        <is>
          <t xml:space="preserve">Wilde &amp; Schlegel 1982 (~0.30 atm)</t>
        </is>
      </c>
      <c r="G6" s="268">
        <v>2.0</v>
      </c>
      <c r="H6" s="268">
        <v>4.0</v>
      </c>
      <c r="I6" s="268" t="inlineStr">
        <is>
          <t xml:space="preserve">low</t>
        </is>
      </c>
      <c r="J6" s="305" t="inlineStr">
        <is>
          <t xml:space="preserve">No strain-specific j; mixed-HOB analogue. Run screen.</t>
        </is>
      </c>
    </row>
    <row r="7">
      <c r="A7" s="265" t="inlineStr">
        <is>
          <t xml:space="preserve">Xanthobacter flavus</t>
        </is>
      </c>
      <c r="B7" s="287" t="inlineStr">
        <is>
          <t xml:space="preserve">?</t>
        </is>
      </c>
      <c r="C7" s="287" t="inlineStr">
        <is>
          <t xml:space="preserve">?</t>
        </is>
      </c>
      <c r="D7" s="287" t="inlineStr">
        <is>
          <t xml:space="preserve">?</t>
        </is>
      </c>
      <c r="E7" s="315" t="inlineStr">
        <is>
          <t xml:space="preserve">?</t>
        </is>
      </c>
      <c r="F7" s="269" t="inlineStr">
        <is>
          <t xml:space="preserve">no species data — assume genus ~11.5</t>
        </is>
      </c>
      <c r="G7" s="268">
        <v>2.0</v>
      </c>
      <c r="H7" s="268">
        <v>4.0</v>
      </c>
      <c r="I7" s="268" t="inlineStr">
        <is>
          <t xml:space="preserve">low</t>
        </is>
      </c>
      <c r="J7" s="305" t="inlineStr">
        <is>
          <t xml:space="preserve">No strain-specific j; mixed-HOB analogue. Run screen.</t>
        </is>
      </c>
    </row>
    <row r="8">
      <c r="A8" s="265" t="inlineStr">
        <is>
          <t xml:space="preserve">Xanthobacter tagetidis</t>
        </is>
      </c>
      <c r="B8" s="287" t="inlineStr">
        <is>
          <t xml:space="preserve">?</t>
        </is>
      </c>
      <c r="C8" s="287" t="inlineStr">
        <is>
          <t xml:space="preserve">?</t>
        </is>
      </c>
      <c r="D8" s="287" t="inlineStr">
        <is>
          <t xml:space="preserve">?</t>
        </is>
      </c>
      <c r="E8" s="315" t="inlineStr">
        <is>
          <t xml:space="preserve">?</t>
        </is>
      </c>
      <c r="F8" s="269" t="inlineStr">
        <is>
          <t xml:space="preserve">no species data — assume genus ~11.5</t>
        </is>
      </c>
      <c r="G8" s="268">
        <v>2.0</v>
      </c>
      <c r="H8" s="268">
        <v>4.0</v>
      </c>
      <c r="I8" s="268" t="inlineStr">
        <is>
          <t xml:space="preserve">low</t>
        </is>
      </c>
      <c r="J8" s="305" t="inlineStr">
        <is>
          <t xml:space="preserve">No strain-specific j; mixed-HOB analogue. Run screen.</t>
        </is>
      </c>
    </row>
    <row r="9">
      <c r="A9" s="265" t="inlineStr">
        <is>
          <t xml:space="preserve">Cupriavidus metallidurans</t>
        </is>
      </c>
      <c r="B9" s="287" t="inlineStr">
        <is>
          <t xml:space="preserve">?</t>
        </is>
      </c>
      <c r="C9" s="287" t="inlineStr">
        <is>
          <t xml:space="preserve">?</t>
        </is>
      </c>
      <c r="D9" s="287" t="inlineStr">
        <is>
          <t xml:space="preserve">?</t>
        </is>
      </c>
      <c r="E9" s="315" t="inlineStr">
        <is>
          <t xml:space="preserve">?</t>
        </is>
      </c>
      <c r="F9" s="269" t="inlineStr">
        <is>
          <t xml:space="preserve">no species data — assume genus ~11.5</t>
        </is>
      </c>
      <c r="G9" s="268">
        <v>2.0</v>
      </c>
      <c r="H9" s="268">
        <v>4.0</v>
      </c>
      <c r="I9" s="268" t="inlineStr">
        <is>
          <t xml:space="preserve">low</t>
        </is>
      </c>
      <c r="J9" s="305" t="inlineStr">
        <is>
          <t xml:space="preserve">No strain-specific j; genus-mate of necator. Run screen.</t>
        </is>
      </c>
    </row>
    <row r="10">
      <c r="A10" s="265" t="inlineStr">
        <is>
          <t xml:space="preserve">UdG (mixed)</t>
        </is>
      </c>
      <c r="B10" s="287" t="inlineStr">
        <is>
          <t xml:space="preserve">?</t>
        </is>
      </c>
      <c r="C10" s="287" t="inlineStr">
        <is>
          <t xml:space="preserve">?</t>
        </is>
      </c>
      <c r="D10" s="287" t="inlineStr">
        <is>
          <t xml:space="preserve">?</t>
        </is>
      </c>
      <c r="E10" s="315" t="inlineStr">
        <is>
          <t xml:space="preserve">?</t>
        </is>
      </c>
      <c r="F10" s="269" t="inlineStr">
        <is>
          <t xml:space="preserve">Rovira-Alsina 2025; Pous 2022/23</t>
        </is>
      </c>
      <c r="G10" s="268">
        <v>2.14</v>
      </c>
      <c r="H10" s="268">
        <v>4.29</v>
      </c>
      <c r="I10" s="268" t="inlineStr">
        <is>
          <t xml:space="preserve">med</t>
        </is>
      </c>
      <c r="J10" s="306" t="inlineStr">
        <is>
          <t xml:space="preserve">Zhang 2020 (JCP 263:121596) + Pous 2022 (BiTE 18:101010); undivided cell.</t>
        </is>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sheetPr>
    <tabColor rgb="FFA5A5A5"/>
  </sheetPr>
  <dimension ref="A1:H16"/>
  <sheetViews>
    <sheetView workbookViewId="0">
      <pane ySplit="8" topLeftCell="A9" activePane="bottomLeft" state="frozen"/>
      <selection pane="bottomLeft" activeCell="A9" sqref="A9"/>
    </sheetView>
  </sheetViews>
  <sheetFormatPr defaultRowHeight="15"/>
  <cols>
    <col min="1" max="1" width="16" customWidth="1"/>
    <col min="2" max="2" width="12" customWidth="1"/>
    <col min="3" max="8" width="15" customWidth="1"/>
  </cols>
  <sheetData>
    <row r="1">
      <c r="A1" s="263" t="inlineStr">
        <is>
          <t xml:space="preserve">CALIBRATION LOG – ELECTROLYSIS CURRENT</t>
        </is>
      </c>
      <c r="B1" s="263"/>
      <c r="C1" s="263"/>
      <c r="D1" s="263"/>
      <c r="E1" s="263"/>
      <c r="F1" s="263"/>
      <c r="G1" s="263"/>
      <c r="H1" s="263"/>
    </row>
    <row r="2">
      <c r="A2" s="243" t="str">
        <f>HYPERLINK("https://github.com/amy-bo/electroPioreactor/blob/AEP02/Media/protocols/gerrit-current.md","Protocol (opens on GitHub)")</f>
        <v>Protocol (opens on GitHub)</v>
      </c>
    </row>
    <row r="3">
      <c r="A3" s="269" t="inlineStr">
        <is>
          <t xml:space="preserve">Value in use: one least-squares fit of current against intensity over every included point for the active reactor (pooled, so a run with more points weighs more).</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slope</t>
        </is>
      </c>
      <c r="C5" s="265" t="inlineStr">
        <is>
          <t xml:space="preserve">mA/%</t>
        </is>
      </c>
      <c r="D5" s="201" t="str">
        <f>cal_gerrit_slope</f>
        <v>no included runs — model uses its default</v>
      </c>
    </row>
    <row r="6">
      <c r="A6" s="265" t="inlineStr">
        <is>
          <t xml:space="preserve">Value in use - intercept</t>
        </is>
      </c>
      <c r="C6" s="265" t="inlineStr">
        <is>
          <t xml:space="preserve">mA</t>
        </is>
      </c>
      <c r="D6" s="201" t="str">
        <f>cal_gerrit_int</f>
        <v>no included runs — model uses its default</v>
      </c>
    </row>
    <row r="8" ht="45" customHeight="1">
      <c r="A8" s="264" t="inlineStr">
        <is>
          <t xml:space="preserve">Researcher</t>
        </is>
      </c>
      <c r="B8" s="264" t="inlineStr">
        <is>
          <t xml:space="preserve">Date</t>
        </is>
      </c>
      <c r="C8" s="264" t="inlineStr">
        <is>
          <t xml:space="preserve">Reactor</t>
        </is>
      </c>
      <c r="D8" s="264" t="inlineStr">
        <is>
          <t xml:space="preserve">Intensity (%)</t>
        </is>
      </c>
      <c r="E8" s="264" t="inlineStr">
        <is>
          <t xml:space="preserve">Current (mA)</t>
        </is>
      </c>
      <c r="F8" s="264" t="inlineStr">
        <is>
          <t xml:space="preserve">Type (auto)</t>
        </is>
      </c>
      <c r="G8" s="264" t="inlineStr">
        <is>
          <t xml:space="preserve">Include?</t>
        </is>
      </c>
      <c r="H8" s="264" t="inlineStr">
        <is>
          <t xml:space="preserve">Notes</t>
        </is>
      </c>
    </row>
    <row r="9">
      <c r="A9" s="309"/>
      <c r="B9" s="227"/>
      <c r="C9" s="309"/>
      <c r="D9" s="309"/>
      <c r="E9" s="309"/>
      <c r="F9" s="201" t="str">
        <f>IFERROR(INDEX(ReactorTypeList,MATCH(CalCurrent[[#This Row],[Reactor]],ReactorList,0)),"")</f>
        <v/>
      </c>
      <c r="G9" s="309"/>
      <c r="H9" s="309"/>
    </row>
    <row r="10">
      <c r="A10" s="309"/>
      <c r="B10" s="227"/>
      <c r="C10" s="309"/>
      <c r="D10" s="309"/>
      <c r="E10" s="309"/>
      <c r="F10" s="201" t="str">
        <f>IFERROR(INDEX(ReactorTypeList,MATCH(CalCurrent[[#This Row],[Reactor]],ReactorList,0)),"")</f>
        <v/>
      </c>
      <c r="G10" s="309"/>
      <c r="H10" s="309"/>
    </row>
    <row r="11">
      <c r="A11" s="309"/>
      <c r="B11" s="227"/>
      <c r="C11" s="309"/>
      <c r="D11" s="309"/>
      <c r="E11" s="309"/>
      <c r="F11" s="201" t="str">
        <f>IFERROR(INDEX(ReactorTypeList,MATCH(CalCurrent[[#This Row],[Reactor]],ReactorList,0)),"")</f>
        <v/>
      </c>
      <c r="G11" s="309"/>
      <c r="H11" s="309"/>
    </row>
    <row r="12">
      <c r="A12" s="309"/>
      <c r="B12" s="227"/>
      <c r="C12" s="309"/>
      <c r="D12" s="309"/>
      <c r="E12" s="309"/>
      <c r="F12" s="201" t="str">
        <f>IFERROR(INDEX(ReactorTypeList,MATCH(CalCurrent[[#This Row],[Reactor]],ReactorList,0)),"")</f>
        <v/>
      </c>
      <c r="G12" s="309"/>
      <c r="H12" s="309"/>
    </row>
    <row r="13">
      <c r="A13" s="309"/>
      <c r="B13" s="227"/>
      <c r="C13" s="309"/>
      <c r="D13" s="309"/>
      <c r="E13" s="309"/>
      <c r="F13" s="201" t="str">
        <f>IFERROR(INDEX(ReactorTypeList,MATCH(CalCurrent[[#This Row],[Reactor]],ReactorList,0)),"")</f>
        <v/>
      </c>
      <c r="G13" s="309"/>
      <c r="H13" s="309"/>
    </row>
    <row r="14">
      <c r="A14" s="309"/>
      <c r="B14" s="227"/>
      <c r="C14" s="309"/>
      <c r="D14" s="309"/>
      <c r="E14" s="309"/>
      <c r="F14" s="201" t="str">
        <f>IFERROR(INDEX(ReactorTypeList,MATCH(CalCurrent[[#This Row],[Reactor]],ReactorList,0)),"")</f>
        <v/>
      </c>
      <c r="G14" s="309"/>
      <c r="H14" s="309"/>
    </row>
    <row r="15">
      <c r="A15" s="309"/>
      <c r="B15" s="227"/>
      <c r="C15" s="309"/>
      <c r="D15" s="309"/>
      <c r="E15" s="309"/>
      <c r="F15" s="201" t="str">
        <f>IFERROR(INDEX(ReactorTypeList,MATCH(CalCurrent[[#This Row],[Reactor]],ReactorList,0)),"")</f>
        <v/>
      </c>
      <c r="G15" s="309"/>
      <c r="H15" s="309"/>
    </row>
    <row r="16">
      <c r="A16" s="309"/>
      <c r="B16" s="227"/>
      <c r="C16" s="309"/>
      <c r="D16" s="309"/>
      <c r="E16" s="309"/>
      <c r="F16" s="201" t="str">
        <f>IFERROR(INDEX(ReactorTypeList,MATCH(CalCurrent[[#This Row],[Reactor]],ReactorList,0)),"")</f>
        <v/>
      </c>
      <c r="G16" s="309"/>
      <c r="H16" s="309"/>
    </row>
  </sheetData>
  <dataValidations count="2">
    <dataValidation type="list" allowBlank="1" showErrorMessage="1" errorTitle="Invalid value" error="Choose from the list." sqref="C9:C16">
      <formula1>ReactorList</formula1>
    </dataValidation>
    <dataValidation type="list" allowBlank="1" showErrorMessage="1" errorTitle="Invalid value" error="Choose from the list." sqref="G9:G16">
      <formula1>"y,n"</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sheetPr>
    <tabColor rgb="FFA5A5A5"/>
  </sheetPr>
  <dimension ref="A1:L16"/>
  <sheetViews>
    <sheetView workbookViewId="0">
      <pane ySplit="8" topLeftCell="A9" activePane="bottomLeft" state="frozen"/>
      <selection pane="bottomLeft" activeCell="A9" sqref="A9"/>
    </sheetView>
  </sheetViews>
  <sheetFormatPr defaultRowHeight="15"/>
  <cols>
    <col min="1" max="1" width="16" customWidth="1"/>
    <col min="2" max="2" width="12" customWidth="1"/>
    <col min="3" max="12" width="15" customWidth="1"/>
  </cols>
  <sheetData>
    <row r="1">
      <c r="A1" s="263" t="inlineStr">
        <is>
          <t xml:space="preserve">CALIBRATION LOG – FARADAIC EFFICIENCY  (cathodic etaF, anodic etaF_OER)</t>
        </is>
      </c>
      <c r="B1" s="263"/>
      <c r="C1" s="263"/>
      <c r="D1" s="263"/>
      <c r="E1" s="263"/>
      <c r="F1" s="263"/>
      <c r="G1" s="263"/>
      <c r="H1" s="263"/>
      <c r="I1" s="263"/>
      <c r="J1" s="263"/>
      <c r="K1" s="263"/>
      <c r="L1" s="263"/>
    </row>
    <row r="2">
      <c r="A2" s="243" t="str">
        <f>HYPERLINK("https://github.com/amy-bo/electroPioreactor/blob/AEP02/Media/protocols/faradaic-efficiency.md","Protocol (opens on GitHub)")</f>
        <v>Protocol (opens on GitHub)</v>
      </c>
    </row>
    <row r="3">
      <c r="A3" s="269" t="inlineStr">
        <is>
          <t xml:space="preserve">Value in use: average of the included runs for the active reactor, taken separately for the H2 (cathode) and O2 (anode) electrodes. The gas volume is corrected for saturated water vapour at the temperature you record, per protocols/faradaic-efficiency.md.</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cathode (H2)</t>
        </is>
      </c>
      <c r="C5" s="265" t="inlineStr">
        <is>
          <t xml:space="preserve">-</t>
        </is>
      </c>
      <c r="D5" s="201" t="str">
        <f>cal_etaF</f>
        <v>no included runs — model uses its default</v>
      </c>
    </row>
    <row r="6">
      <c r="A6" s="265" t="inlineStr">
        <is>
          <t xml:space="preserve">Value in use - anode (O2)</t>
        </is>
      </c>
      <c r="C6" s="265" t="inlineStr">
        <is>
          <t xml:space="preserve">-</t>
        </is>
      </c>
      <c r="D6" s="201" t="str">
        <f>cal_etaF_OER</f>
        <v>no included runs — model uses its default</v>
      </c>
    </row>
    <row r="8" ht="45" customHeight="1">
      <c r="A8" s="264" t="inlineStr">
        <is>
          <t xml:space="preserve">Researcher</t>
        </is>
      </c>
      <c r="B8" s="264" t="inlineStr">
        <is>
          <t xml:space="preserve">Date</t>
        </is>
      </c>
      <c r="C8" s="264" t="inlineStr">
        <is>
          <t xml:space="preserve">Reactor</t>
        </is>
      </c>
      <c r="D8" s="264" t="inlineStr">
        <is>
          <t xml:space="preserve">Charge Q (C)</t>
        </is>
      </c>
      <c r="E8" s="264" t="inlineStr">
        <is>
          <t xml:space="preserve">Gas volume (mL)</t>
        </is>
      </c>
      <c r="F8" s="264" t="inlineStr">
        <is>
          <t xml:space="preserve">Temp (°C)</t>
        </is>
      </c>
      <c r="G8" s="264" t="inlineStr">
        <is>
          <t xml:space="preserve">Pressure (Pa)</t>
        </is>
      </c>
      <c r="H8" s="264" t="inlineStr">
        <is>
          <t xml:space="preserve">Gas (H2 or O2)</t>
        </is>
      </c>
      <c r="I8" s="264" t="inlineStr">
        <is>
          <t xml:space="preserve">etaF (computed)</t>
        </is>
      </c>
      <c r="J8" s="264" t="inlineStr">
        <is>
          <t xml:space="preserve">Type (auto)</t>
        </is>
      </c>
      <c r="K8" s="264" t="inlineStr">
        <is>
          <t xml:space="preserve">Include?</t>
        </is>
      </c>
      <c r="L8" s="264" t="inlineStr">
        <is>
          <t xml:space="preserve">Notes</t>
        </is>
      </c>
    </row>
    <row r="9">
      <c r="A9" s="309"/>
      <c r="B9" s="227"/>
      <c r="C9" s="309"/>
      <c r="D9" s="309"/>
      <c r="E9" s="309"/>
      <c r="F9" s="309"/>
      <c r="G9" s="309"/>
      <c r="H9" s="309"/>
      <c r="I9"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9" s="201" t="str">
        <f>IFERROR(INDEX(ReactorTypeList,MATCH(CalFaradaic[[#This Row],[Reactor]],ReactorList,0)),"")</f>
        <v/>
      </c>
      <c r="K9" s="309"/>
      <c r="L9" s="309"/>
    </row>
    <row r="10">
      <c r="A10" s="309"/>
      <c r="B10" s="227"/>
      <c r="C10" s="309"/>
      <c r="D10" s="309"/>
      <c r="E10" s="309"/>
      <c r="F10" s="309"/>
      <c r="G10" s="309"/>
      <c r="H10" s="309"/>
      <c r="I10"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0" s="201" t="str">
        <f>IFERROR(INDEX(ReactorTypeList,MATCH(CalFaradaic[[#This Row],[Reactor]],ReactorList,0)),"")</f>
        <v/>
      </c>
      <c r="K10" s="309"/>
      <c r="L10" s="309"/>
    </row>
    <row r="11">
      <c r="A11" s="309"/>
      <c r="B11" s="227"/>
      <c r="C11" s="309"/>
      <c r="D11" s="309"/>
      <c r="E11" s="309"/>
      <c r="F11" s="309"/>
      <c r="G11" s="309"/>
      <c r="H11" s="309"/>
      <c r="I11"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1" s="201" t="str">
        <f>IFERROR(INDEX(ReactorTypeList,MATCH(CalFaradaic[[#This Row],[Reactor]],ReactorList,0)),"")</f>
        <v/>
      </c>
      <c r="K11" s="309"/>
      <c r="L11" s="309"/>
    </row>
    <row r="12">
      <c r="A12" s="309"/>
      <c r="B12" s="227"/>
      <c r="C12" s="309"/>
      <c r="D12" s="309"/>
      <c r="E12" s="309"/>
      <c r="F12" s="309"/>
      <c r="G12" s="309"/>
      <c r="H12" s="309"/>
      <c r="I12"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2" s="201" t="str">
        <f>IFERROR(INDEX(ReactorTypeList,MATCH(CalFaradaic[[#This Row],[Reactor]],ReactorList,0)),"")</f>
        <v/>
      </c>
      <c r="K12" s="309"/>
      <c r="L12" s="309"/>
    </row>
    <row r="13">
      <c r="A13" s="309"/>
      <c r="B13" s="227"/>
      <c r="C13" s="309"/>
      <c r="D13" s="309"/>
      <c r="E13" s="309"/>
      <c r="F13" s="309"/>
      <c r="G13" s="309"/>
      <c r="H13" s="309"/>
      <c r="I13"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3" s="201" t="str">
        <f>IFERROR(INDEX(ReactorTypeList,MATCH(CalFaradaic[[#This Row],[Reactor]],ReactorList,0)),"")</f>
        <v/>
      </c>
      <c r="K13" s="309"/>
      <c r="L13" s="309"/>
    </row>
    <row r="14">
      <c r="A14" s="309"/>
      <c r="B14" s="227"/>
      <c r="C14" s="309"/>
      <c r="D14" s="309"/>
      <c r="E14" s="309"/>
      <c r="F14" s="309"/>
      <c r="G14" s="309"/>
      <c r="H14" s="309"/>
      <c r="I14"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4" s="201" t="str">
        <f>IFERROR(INDEX(ReactorTypeList,MATCH(CalFaradaic[[#This Row],[Reactor]],ReactorList,0)),"")</f>
        <v/>
      </c>
      <c r="K14" s="309"/>
      <c r="L14" s="309"/>
    </row>
    <row r="15">
      <c r="A15" s="309"/>
      <c r="B15" s="227"/>
      <c r="C15" s="309"/>
      <c r="D15" s="309"/>
      <c r="E15" s="309"/>
      <c r="F15" s="309"/>
      <c r="G15" s="309"/>
      <c r="H15" s="309"/>
      <c r="I15"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5" s="201" t="str">
        <f>IFERROR(INDEX(ReactorTypeList,MATCH(CalFaradaic[[#This Row],[Reactor]],ReactorList,0)),"")</f>
        <v/>
      </c>
      <c r="K15" s="309"/>
      <c r="L15" s="309"/>
    </row>
    <row r="16">
      <c r="A16" s="309"/>
      <c r="B16" s="227"/>
      <c r="C16" s="309"/>
      <c r="D16" s="309"/>
      <c r="E16" s="309"/>
      <c r="F16" s="309"/>
      <c r="G16" s="309"/>
      <c r="H16" s="309"/>
      <c r="I16"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6" s="201" t="str">
        <f>IFERROR(INDEX(ReactorTypeList,MATCH(CalFaradaic[[#This Row],[Reactor]],ReactorList,0)),"")</f>
        <v/>
      </c>
      <c r="K16" s="309"/>
      <c r="L16" s="309"/>
    </row>
  </sheetData>
  <dataValidations count="3">
    <dataValidation type="list" allowBlank="1" showErrorMessage="1" errorTitle="Invalid value" error="Choose from the list." sqref="C9:C16">
      <formula1>ReactorList</formula1>
    </dataValidation>
    <dataValidation type="list" allowBlank="1" showErrorMessage="1" errorTitle="Invalid value" error="Choose from the list." sqref="K9:K16">
      <formula1>"y,n"</formula1>
    </dataValidation>
    <dataValidation type="list" allowBlank="1" showErrorMessage="1" errorTitle="Invalid value" error="Choose from the list." sqref="H9:H16">
      <formula1>"H2,O2"</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sheetPr>
    <tabColor rgb="FFA5A5A5"/>
  </sheetPr>
  <dimension ref="A1:G15"/>
  <sheetViews>
    <sheetView workbookViewId="0">
      <pane ySplit="7" topLeftCell="A8" activePane="bottomLeft" state="frozen"/>
      <selection pane="bottomLeft" activeCell="A8" sqref="A8"/>
    </sheetView>
  </sheetViews>
  <sheetFormatPr defaultRowHeight="15"/>
  <cols>
    <col min="1" max="1" width="16" customWidth="1"/>
    <col min="2" max="2" width="12" customWidth="1"/>
    <col min="3" max="7" width="15" customWidth="1"/>
  </cols>
  <sheetData>
    <row r="1">
      <c r="A1" s="263" t="inlineStr">
        <is>
          <t xml:space="preserve">CALIBRATION LOG – SURFACE kLa  (oxygen surface transfer)</t>
        </is>
      </c>
      <c r="B1" s="263"/>
      <c r="C1" s="263"/>
      <c r="D1" s="263"/>
      <c r="E1" s="263"/>
      <c r="F1" s="263"/>
      <c r="G1" s="263"/>
    </row>
    <row r="2">
      <c r="A2" s="243" t="str">
        <f>HYPERLINK("https://github.com/amy-bo/electroPioreactor/blob/AEP02/Media/protocols/surface-kla.md","Protocol (opens on GitHub)")</f>
        <v>Protocol (opens on GitHub)</v>
      </c>
    </row>
    <row r="3">
      <c r="A3" s="269" t="inlineStr">
        <is>
          <t xml:space="preserve">Value in use: average of the included kLa runs for the active reactor.</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kLa</t>
        </is>
      </c>
      <c r="C5" s="265" t="inlineStr">
        <is>
          <t xml:space="preserve">1/h</t>
        </is>
      </c>
      <c r="D5" s="201" t="str">
        <f>cal_kLa</f>
        <v>no included runs — model uses its default</v>
      </c>
    </row>
    <row r="7" ht="45" customHeight="1">
      <c r="A7" s="264" t="inlineStr">
        <is>
          <t xml:space="preserve">Researcher</t>
        </is>
      </c>
      <c r="B7" s="264" t="inlineStr">
        <is>
          <t xml:space="preserve">Date</t>
        </is>
      </c>
      <c r="C7" s="264" t="inlineStr">
        <is>
          <t xml:space="preserve">Reactor</t>
        </is>
      </c>
      <c r="D7" s="264" t="inlineStr">
        <is>
          <t xml:space="preserve">kLa (1/h)</t>
        </is>
      </c>
      <c r="E7" s="264" t="inlineStr">
        <is>
          <t xml:space="preserve">Type (auto)</t>
        </is>
      </c>
      <c r="F7" s="264" t="inlineStr">
        <is>
          <t xml:space="preserve">Include?</t>
        </is>
      </c>
      <c r="G7" s="264" t="inlineStr">
        <is>
          <t xml:space="preserve">Notes</t>
        </is>
      </c>
    </row>
    <row r="8">
      <c r="A8" s="309"/>
      <c r="B8" s="227"/>
      <c r="C8" s="309"/>
      <c r="D8" s="309"/>
      <c r="E8" s="201" t="str">
        <f>IFERROR(INDEX(ReactorTypeList,MATCH(CalKLa[[#This Row],[Reactor]],ReactorList,0)),"")</f>
        <v/>
      </c>
      <c r="F8" s="309"/>
      <c r="G8" s="309"/>
    </row>
    <row r="9">
      <c r="A9" s="309"/>
      <c r="B9" s="227"/>
      <c r="C9" s="309"/>
      <c r="D9" s="309"/>
      <c r="E9" s="201" t="str">
        <f>IFERROR(INDEX(ReactorTypeList,MATCH(CalKLa[[#This Row],[Reactor]],ReactorList,0)),"")</f>
        <v/>
      </c>
      <c r="F9" s="309"/>
      <c r="G9" s="309"/>
    </row>
    <row r="10">
      <c r="A10" s="309"/>
      <c r="B10" s="227"/>
      <c r="C10" s="309"/>
      <c r="D10" s="309"/>
      <c r="E10" s="201" t="str">
        <f>IFERROR(INDEX(ReactorTypeList,MATCH(CalKLa[[#This Row],[Reactor]],ReactorList,0)),"")</f>
        <v/>
      </c>
      <c r="F10" s="309"/>
      <c r="G10" s="309"/>
    </row>
    <row r="11">
      <c r="A11" s="309"/>
      <c r="B11" s="227"/>
      <c r="C11" s="309"/>
      <c r="D11" s="309"/>
      <c r="E11" s="201" t="str">
        <f>IFERROR(INDEX(ReactorTypeList,MATCH(CalKLa[[#This Row],[Reactor]],ReactorList,0)),"")</f>
        <v/>
      </c>
      <c r="F11" s="309"/>
      <c r="G11" s="309"/>
    </row>
    <row r="12">
      <c r="A12" s="309"/>
      <c r="B12" s="227"/>
      <c r="C12" s="309"/>
      <c r="D12" s="309"/>
      <c r="E12" s="201" t="str">
        <f>IFERROR(INDEX(ReactorTypeList,MATCH(CalKLa[[#This Row],[Reactor]],ReactorList,0)),"")</f>
        <v/>
      </c>
      <c r="F12" s="309"/>
      <c r="G12" s="309"/>
    </row>
    <row r="13">
      <c r="A13" s="309"/>
      <c r="B13" s="227"/>
      <c r="C13" s="309"/>
      <c r="D13" s="309"/>
      <c r="E13" s="201" t="str">
        <f>IFERROR(INDEX(ReactorTypeList,MATCH(CalKLa[[#This Row],[Reactor]],ReactorList,0)),"")</f>
        <v/>
      </c>
      <c r="F13" s="309"/>
      <c r="G13" s="309"/>
    </row>
    <row r="14">
      <c r="A14" s="309"/>
      <c r="B14" s="227"/>
      <c r="C14" s="309"/>
      <c r="D14" s="309"/>
      <c r="E14" s="201" t="str">
        <f>IFERROR(INDEX(ReactorTypeList,MATCH(CalKLa[[#This Row],[Reactor]],ReactorList,0)),"")</f>
        <v/>
      </c>
      <c r="F14" s="309"/>
      <c r="G14" s="309"/>
    </row>
    <row r="15">
      <c r="A15" s="309"/>
      <c r="B15" s="227"/>
      <c r="C15" s="309"/>
      <c r="D15" s="309"/>
      <c r="E15" s="201" t="str">
        <f>IFERROR(INDEX(ReactorTypeList,MATCH(CalKLa[[#This Row],[Reactor]],ReactorList,0)),"")</f>
        <v/>
      </c>
      <c r="F15" s="309"/>
      <c r="G15" s="309"/>
    </row>
  </sheetData>
  <dataValidations count="2">
    <dataValidation type="list" allowBlank="1" showErrorMessage="1" errorTitle="Invalid value" error="Choose from the list." sqref="C8:C15">
      <formula1>ReactorList</formula1>
    </dataValidation>
    <dataValidation type="list" allowBlank="1" showErrorMessage="1" errorTitle="Invalid value" error="Choose from the list." sqref="F8:F15">
      <formula1>"y,n"</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sheetPr>
    <tabColor rgb="FFA5A5A5"/>
  </sheetPr>
  <dimension ref="A1:J16"/>
  <sheetViews>
    <sheetView workbookViewId="0">
      <pane ySplit="8" topLeftCell="A9" activePane="bottomLeft" state="frozen"/>
      <selection pane="bottomLeft" activeCell="A9" sqref="A9"/>
    </sheetView>
  </sheetViews>
  <sheetFormatPr defaultRowHeight="15"/>
  <cols>
    <col min="1" max="1" width="16" customWidth="1"/>
    <col min="2" max="2" width="12" customWidth="1"/>
    <col min="3" max="10" width="15" customWidth="1"/>
  </cols>
  <sheetData>
    <row r="1">
      <c r="A1" s="263" t="inlineStr">
        <is>
          <t xml:space="preserve">CALIBRATION LOG – CO2 FLOW  (dosing flow rate)</t>
        </is>
      </c>
      <c r="B1" s="263"/>
      <c r="C1" s="263"/>
      <c r="D1" s="263"/>
      <c r="E1" s="263"/>
      <c r="F1" s="263"/>
      <c r="G1" s="263"/>
      <c r="H1" s="263"/>
      <c r="I1" s="263"/>
      <c r="J1" s="263"/>
    </row>
    <row r="2">
      <c r="A2" s="243" t="str">
        <f>HYPERLINK("https://github.com/amy-bo/electroPioreactor/blob/AEP02/Media/protocols/flow-calibration.md","Protocol (opens on GitHub)")</f>
        <v>Protocol (opens on GitHub)</v>
      </c>
    </row>
    <row r="3">
      <c r="A3" s="269" t="inlineStr">
        <is>
          <t xml:space="preserve">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flow rate</t>
        </is>
      </c>
      <c r="C5" s="265" t="inlineStr">
        <is>
          <t xml:space="preserve">mL/s</t>
        </is>
      </c>
      <c r="D5" s="201" t="str">
        <f>cal_flow</f>
        <v>no included runs — model uses its default</v>
      </c>
    </row>
    <row r="6">
      <c r="A6" s="265" t="inlineStr">
        <is>
          <t xml:space="preserve">Value in use - minimum reliable pulse</t>
        </is>
      </c>
      <c r="C6" s="265" t="inlineStr">
        <is>
          <t xml:space="preserve">s</t>
        </is>
      </c>
      <c r="D6" s="201" t="str">
        <f>cal_pulse_floor</f>
        <v>no included runs — model uses its default</v>
      </c>
    </row>
    <row r="8" ht="45" customHeight="1">
      <c r="A8" s="264" t="inlineStr">
        <is>
          <t xml:space="preserve">Researcher</t>
        </is>
      </c>
      <c r="B8" s="264" t="inlineStr">
        <is>
          <t xml:space="preserve">Date</t>
        </is>
      </c>
      <c r="C8" s="264" t="inlineStr">
        <is>
          <t xml:space="preserve">Reactor</t>
        </is>
      </c>
      <c r="D8" s="264" t="inlineStr">
        <is>
          <t xml:space="preserve">CO2 volume (mL)</t>
        </is>
      </c>
      <c r="E8" s="264" t="inlineStr">
        <is>
          <t xml:space="preserve">Time (s)</t>
        </is>
      </c>
      <c r="F8" s="264" t="inlineStr">
        <is>
          <t xml:space="preserve">Flow (computed, mL/s)</t>
        </is>
      </c>
      <c r="G8" s="264" t="inlineStr">
        <is>
          <t xml:space="preserve">Type (auto)</t>
        </is>
      </c>
      <c r="H8" s="264" t="inlineStr">
        <is>
          <t xml:space="preserve">Include?</t>
        </is>
      </c>
      <c r="I8" s="264" t="inlineStr">
        <is>
          <t xml:space="preserve">Notes</t>
        </is>
      </c>
      <c r="J8" s="264" t="inlineStr">
        <is>
          <t xml:space="preserve">Min pulse (s)</t>
        </is>
      </c>
    </row>
    <row r="9">
      <c r="A9" s="309"/>
      <c r="B9" s="227"/>
      <c r="C9" s="309"/>
      <c r="D9" s="309"/>
      <c r="E9" s="309"/>
      <c r="F9" s="201" t="str">
        <f>IFERROR(CalFlow[[#This Row],[CO2 volume (mL)]]/CalFlow[[#This Row],[Time (s)]],"")</f>
        <v/>
      </c>
      <c r="G9" s="201" t="str">
        <f>IFERROR(INDEX(ReactorTypeList,MATCH(CalFlow[[#This Row],[Reactor]],ReactorList,0)),"")</f>
        <v/>
      </c>
      <c r="H9" s="309"/>
      <c r="I9" s="309"/>
      <c r="J9" s="309"/>
    </row>
    <row r="10">
      <c r="A10" s="309"/>
      <c r="B10" s="227"/>
      <c r="C10" s="309"/>
      <c r="D10" s="309"/>
      <c r="E10" s="309"/>
      <c r="F10" s="201" t="str">
        <f>IFERROR(CalFlow[[#This Row],[CO2 volume (mL)]]/CalFlow[[#This Row],[Time (s)]],"")</f>
        <v/>
      </c>
      <c r="G10" s="201" t="str">
        <f>IFERROR(INDEX(ReactorTypeList,MATCH(CalFlow[[#This Row],[Reactor]],ReactorList,0)),"")</f>
        <v/>
      </c>
      <c r="H10" s="309"/>
      <c r="I10" s="309"/>
      <c r="J10" s="309"/>
    </row>
    <row r="11">
      <c r="A11" s="309"/>
      <c r="B11" s="227"/>
      <c r="C11" s="309"/>
      <c r="D11" s="309"/>
      <c r="E11" s="309"/>
      <c r="F11" s="201" t="str">
        <f>IFERROR(CalFlow[[#This Row],[CO2 volume (mL)]]/CalFlow[[#This Row],[Time (s)]],"")</f>
        <v/>
      </c>
      <c r="G11" s="201" t="str">
        <f>IFERROR(INDEX(ReactorTypeList,MATCH(CalFlow[[#This Row],[Reactor]],ReactorList,0)),"")</f>
        <v/>
      </c>
      <c r="H11" s="309"/>
      <c r="I11" s="309"/>
      <c r="J11" s="309"/>
    </row>
    <row r="12">
      <c r="A12" s="309"/>
      <c r="B12" s="227"/>
      <c r="C12" s="309"/>
      <c r="D12" s="309"/>
      <c r="E12" s="309"/>
      <c r="F12" s="201" t="str">
        <f>IFERROR(CalFlow[[#This Row],[CO2 volume (mL)]]/CalFlow[[#This Row],[Time (s)]],"")</f>
        <v/>
      </c>
      <c r="G12" s="201" t="str">
        <f>IFERROR(INDEX(ReactorTypeList,MATCH(CalFlow[[#This Row],[Reactor]],ReactorList,0)),"")</f>
        <v/>
      </c>
      <c r="H12" s="309"/>
      <c r="I12" s="309"/>
      <c r="J12" s="309"/>
    </row>
    <row r="13">
      <c r="A13" s="309"/>
      <c r="B13" s="227"/>
      <c r="C13" s="309"/>
      <c r="D13" s="309"/>
      <c r="E13" s="309"/>
      <c r="F13" s="201" t="str">
        <f>IFERROR(CalFlow[[#This Row],[CO2 volume (mL)]]/CalFlow[[#This Row],[Time (s)]],"")</f>
        <v/>
      </c>
      <c r="G13" s="201" t="str">
        <f>IFERROR(INDEX(ReactorTypeList,MATCH(CalFlow[[#This Row],[Reactor]],ReactorList,0)),"")</f>
        <v/>
      </c>
      <c r="H13" s="309"/>
      <c r="I13" s="309"/>
      <c r="J13" s="309"/>
    </row>
    <row r="14">
      <c r="A14" s="309"/>
      <c r="B14" s="227"/>
      <c r="C14" s="309"/>
      <c r="D14" s="309"/>
      <c r="E14" s="309"/>
      <c r="F14" s="201" t="str">
        <f>IFERROR(CalFlow[[#This Row],[CO2 volume (mL)]]/CalFlow[[#This Row],[Time (s)]],"")</f>
        <v/>
      </c>
      <c r="G14" s="201" t="str">
        <f>IFERROR(INDEX(ReactorTypeList,MATCH(CalFlow[[#This Row],[Reactor]],ReactorList,0)),"")</f>
        <v/>
      </c>
      <c r="H14" s="309"/>
      <c r="I14" s="309"/>
      <c r="J14" s="309"/>
    </row>
    <row r="15">
      <c r="A15" s="309"/>
      <c r="B15" s="227"/>
      <c r="C15" s="309"/>
      <c r="D15" s="309"/>
      <c r="E15" s="309"/>
      <c r="F15" s="201" t="str">
        <f>IFERROR(CalFlow[[#This Row],[CO2 volume (mL)]]/CalFlow[[#This Row],[Time (s)]],"")</f>
        <v/>
      </c>
      <c r="G15" s="201" t="str">
        <f>IFERROR(INDEX(ReactorTypeList,MATCH(CalFlow[[#This Row],[Reactor]],ReactorList,0)),"")</f>
        <v/>
      </c>
      <c r="H15" s="309"/>
      <c r="I15" s="309"/>
      <c r="J15" s="309"/>
    </row>
    <row r="16">
      <c r="A16" s="309"/>
      <c r="B16" s="227"/>
      <c r="C16" s="309"/>
      <c r="D16" s="309"/>
      <c r="E16" s="309"/>
      <c r="F16" s="201" t="str">
        <f>IFERROR(CalFlow[[#This Row],[CO2 volume (mL)]]/CalFlow[[#This Row],[Time (s)]],"")</f>
        <v/>
      </c>
      <c r="G16" s="201" t="str">
        <f>IFERROR(INDEX(ReactorTypeList,MATCH(CalFlow[[#This Row],[Reactor]],ReactorList,0)),"")</f>
        <v/>
      </c>
      <c r="H16" s="309"/>
      <c r="I16" s="309"/>
      <c r="J16" s="309"/>
    </row>
  </sheetData>
  <dataValidations count="2">
    <dataValidation type="list" allowBlank="1" showErrorMessage="1" errorTitle="Invalid value" error="Choose from the list." sqref="C9:C16">
      <formula1>ReactorList</formula1>
    </dataValidation>
    <dataValidation type="list" allowBlank="1" showErrorMessage="1" errorTitle="Invalid value" error="Choose from the list." sqref="H9:H16">
      <formula1>"y,n"</formula1>
    </dataValidation>
  </dataValidations>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sheetPr>
    <tabColor rgb="FFA5A5A5"/>
  </sheetPr>
  <dimension ref="A1:N18"/>
  <sheetViews>
    <sheetView workbookViewId="0">
      <pane ySplit="10" topLeftCell="A11" activePane="bottomLeft" state="frozen"/>
      <selection pane="bottomLeft" activeCell="A11" sqref="A11"/>
    </sheetView>
  </sheetViews>
  <sheetFormatPr defaultRowHeight="15"/>
  <cols>
    <col min="1" max="1" width="16" customWidth="1"/>
    <col min="2" max="2" width="12" customWidth="1"/>
    <col min="3" max="14" width="15" customWidth="1"/>
  </cols>
  <sheetData>
    <row r="1">
      <c r="A1" s="263" t="inlineStr">
        <is>
          <t xml:space="preserve">CALIBRATION LOG – VIAL GEOMETRY  (true volume &amp; bore depth)</t>
        </is>
      </c>
      <c r="B1" s="263"/>
      <c r="C1" s="263"/>
      <c r="D1" s="263"/>
      <c r="E1" s="263"/>
      <c r="F1" s="263"/>
      <c r="G1" s="263"/>
      <c r="H1" s="263"/>
      <c r="I1" s="263"/>
      <c r="J1" s="263"/>
      <c r="K1" s="263"/>
      <c r="L1" s="263"/>
      <c r="M1" s="263"/>
      <c r="N1" s="263"/>
    </row>
    <row r="2">
      <c r="A2" s="243" t="str">
        <f>HYPERLINK("https://github.com/amy-bo/electroPioreactor/blob/AEP02/Media/protocols/vial-geometry.md","Protocol (opens on GitHub)")</f>
        <v>Protocol (opens on GitHub)</v>
      </c>
    </row>
    <row r="3">
      <c r="A3" s="269" t="inlineStr">
        <is>
          <t xml:space="preserve">Value in use: average across included vials of the active reactor type (all vials of a type are nominally identical). Headspace and total volume feed the model; the volume-equivalent depth (D75) is reported for the geometry check only, because a tapered vial’s equivalent depth is not its physical depth.</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total vial volume</t>
        </is>
      </c>
      <c r="C5" s="265" t="inlineStr">
        <is>
          <t xml:space="preserve">mL</t>
        </is>
      </c>
      <c r="D5" s="201" t="str">
        <f>cal_Vtot</f>
        <v>no included runs — model uses its default</v>
      </c>
    </row>
    <row r="6">
      <c r="A6" s="265" t="inlineStr">
        <is>
          <t xml:space="preserve">Value in use - volume-equivalent depth (body volume ÷ A_x; not the physical depth)</t>
        </is>
      </c>
      <c r="C6" s="265" t="inlineStr">
        <is>
          <t xml:space="preserve">mm</t>
        </is>
      </c>
      <c r="D6" s="201" t="str">
        <f>cal_Dint</f>
        <v>no included runs — model uses its default</v>
      </c>
    </row>
    <row r="7">
      <c r="A7" s="265" t="inlineStr">
        <is>
          <t xml:space="preserve">Value in use - headspace at working fill</t>
        </is>
      </c>
      <c r="C7" s="265" t="inlineStr">
        <is>
          <t xml:space="preserve">mL</t>
        </is>
      </c>
      <c r="D7" s="201" t="str">
        <f>cal_hs</f>
        <v>no included runs — model uses its default</v>
      </c>
    </row>
    <row r="8">
      <c r="A8" s="265" t="inlineStr">
        <is>
          <t xml:space="preserve">Value in use - working fill behind that headspace</t>
        </is>
      </c>
      <c r="C8" s="265" t="inlineStr">
        <is>
          <t xml:space="preserve">mL</t>
        </is>
      </c>
      <c r="D8" s="201" t="str">
        <f>cal_hs_fill</f>
        <v>no included runs — model uses its default</v>
      </c>
    </row>
    <row r="10" ht="45" customHeight="1">
      <c r="A10" s="264" t="inlineStr">
        <is>
          <t xml:space="preserve">Researcher</t>
        </is>
      </c>
      <c r="B10" s="264" t="inlineStr">
        <is>
          <t xml:space="preserve">Date</t>
        </is>
      </c>
      <c r="C10" s="264" t="inlineStr">
        <is>
          <t xml:space="preserve">Reactor</t>
        </is>
      </c>
      <c r="D10" s="264" t="inlineStr">
        <is>
          <t xml:space="preserve">Headspace mass (g)</t>
        </is>
      </c>
      <c r="E10" s="264" t="inlineStr">
        <is>
          <t xml:space="preserve">Body mass (g)</t>
        </is>
      </c>
      <c r="F10" s="264" t="inlineStr">
        <is>
          <t xml:space="preserve">Temp (°C)</t>
        </is>
      </c>
      <c r="G10" s="264" t="inlineStr">
        <is>
          <t xml:space="preserve">V total (computed, mL)</t>
        </is>
      </c>
      <c r="H10" s="264" t="inlineStr">
        <is>
          <t xml:space="preserve">Volume-equivalent depth (computed, mm)</t>
        </is>
      </c>
      <c r="I10" s="264" t="inlineStr">
        <is>
          <t xml:space="preserve">Type (auto)</t>
        </is>
      </c>
      <c r="J10" s="264" t="inlineStr">
        <is>
          <t xml:space="preserve">Include?</t>
        </is>
      </c>
      <c r="K10" s="264" t="inlineStr">
        <is>
          <t xml:space="preserve">Notes</t>
        </is>
      </c>
      <c r="L10" s="264" t="inlineStr">
        <is>
          <t xml:space="preserve">Headspace (computed, mL)</t>
        </is>
      </c>
      <c r="M10" s="264" t="inlineStr">
        <is>
          <t xml:space="preserve">Working-fill mass (g)</t>
        </is>
      </c>
      <c r="N10" s="264" t="inlineStr">
        <is>
          <t xml:space="preserve">Working fill (computed, mL)</t>
        </is>
      </c>
    </row>
    <row r="11">
      <c r="A11" s="309"/>
      <c r="B11" s="227"/>
      <c r="C11" s="309"/>
      <c r="D11" s="309"/>
      <c r="E11" s="309"/>
      <c r="F11" s="309"/>
      <c r="G11" s="201" t="str">
        <f>IF(CalVial[[#This Row],[Body mass (g)]]="","",IFERROR(CalVial[[#This Row],[Body mass (g)]]/((Calibrations!ca_rho_0+Calibrations!ca_rho_k*CalVial[[#This Row],[Temp (°C)]])/1000),""))</f>
        <v/>
      </c>
      <c r="H11" s="201" t="str">
        <f>IF(CalVial[[#This Row],[Body mass (g)]]="","",IFERROR((CalVial[[#This Row],[Body mass (g)]]/((Calibrations!ca_rho_0+Calibrations!ca_rho_k*CalVial[[#This Row],[Temp (°C)]])/1000))*1000/Calibrations!A_x,""))</f>
        <v/>
      </c>
      <c r="I11" s="201" t="str">
        <f>IFERROR(INDEX(ReactorTypeList,MATCH(CalVial[[#This Row],[Reactor]],ReactorList,0)),"")</f>
        <v/>
      </c>
      <c r="J11" s="309"/>
      <c r="K11" s="309"/>
      <c r="L11" s="201" t="str">
        <f>IF(CalVial[[#This Row],[Headspace mass (g)]]="","",IFERROR(CalVial[[#This Row],[Headspace mass (g)]]/((Calibrations!ca_rho_0+Calibrations!ca_rho_k*CalVial[[#This Row],[Temp (°C)]])/1000),""))</f>
        <v/>
      </c>
      <c r="M11" s="309"/>
      <c r="N11" s="201" t="str">
        <f>IF(CalVial[[#This Row],[Working-fill mass (g)]]="","",IFERROR(CalVial[[#This Row],[Working-fill mass (g)]]/((Calibrations!ca_rho_0+Calibrations!ca_rho_k*CalVial[[#This Row],[Temp (°C)]])/1000),""))</f>
        <v/>
      </c>
    </row>
    <row r="12">
      <c r="A12" s="309"/>
      <c r="B12" s="227"/>
      <c r="C12" s="309"/>
      <c r="D12" s="309"/>
      <c r="E12" s="309"/>
      <c r="F12" s="309"/>
      <c r="G12" s="201" t="str">
        <f>IF(CalVial[[#This Row],[Body mass (g)]]="","",IFERROR(CalVial[[#This Row],[Body mass (g)]]/((Calibrations!ca_rho_0+Calibrations!ca_rho_k*CalVial[[#This Row],[Temp (°C)]])/1000),""))</f>
        <v/>
      </c>
      <c r="H12" s="201" t="str">
        <f>IF(CalVial[[#This Row],[Body mass (g)]]="","",IFERROR((CalVial[[#This Row],[Body mass (g)]]/((Calibrations!ca_rho_0+Calibrations!ca_rho_k*CalVial[[#This Row],[Temp (°C)]])/1000))*1000/Calibrations!A_x,""))</f>
        <v/>
      </c>
      <c r="I12" s="201" t="str">
        <f>IFERROR(INDEX(ReactorTypeList,MATCH(CalVial[[#This Row],[Reactor]],ReactorList,0)),"")</f>
        <v/>
      </c>
      <c r="J12" s="309"/>
      <c r="K12" s="309"/>
      <c r="L12" s="201" t="str">
        <f>IF(CalVial[[#This Row],[Headspace mass (g)]]="","",IFERROR(CalVial[[#This Row],[Headspace mass (g)]]/((Calibrations!ca_rho_0+Calibrations!ca_rho_k*CalVial[[#This Row],[Temp (°C)]])/1000),""))</f>
        <v/>
      </c>
      <c r="M12" s="309"/>
      <c r="N12" s="201" t="str">
        <f>IF(CalVial[[#This Row],[Working-fill mass (g)]]="","",IFERROR(CalVial[[#This Row],[Working-fill mass (g)]]/((Calibrations!ca_rho_0+Calibrations!ca_rho_k*CalVial[[#This Row],[Temp (°C)]])/1000),""))</f>
        <v/>
      </c>
    </row>
    <row r="13">
      <c r="A13" s="309"/>
      <c r="B13" s="227"/>
      <c r="C13" s="309"/>
      <c r="D13" s="309"/>
      <c r="E13" s="309"/>
      <c r="F13" s="309"/>
      <c r="G13" s="201" t="str">
        <f>IF(CalVial[[#This Row],[Body mass (g)]]="","",IFERROR(CalVial[[#This Row],[Body mass (g)]]/((Calibrations!ca_rho_0+Calibrations!ca_rho_k*CalVial[[#This Row],[Temp (°C)]])/1000),""))</f>
        <v/>
      </c>
      <c r="H13" s="201" t="str">
        <f>IF(CalVial[[#This Row],[Body mass (g)]]="","",IFERROR((CalVial[[#This Row],[Body mass (g)]]/((Calibrations!ca_rho_0+Calibrations!ca_rho_k*CalVial[[#This Row],[Temp (°C)]])/1000))*1000/Calibrations!A_x,""))</f>
        <v/>
      </c>
      <c r="I13" s="201" t="str">
        <f>IFERROR(INDEX(ReactorTypeList,MATCH(CalVial[[#This Row],[Reactor]],ReactorList,0)),"")</f>
        <v/>
      </c>
      <c r="J13" s="309"/>
      <c r="K13" s="309"/>
      <c r="L13" s="201" t="str">
        <f>IF(CalVial[[#This Row],[Headspace mass (g)]]="","",IFERROR(CalVial[[#This Row],[Headspace mass (g)]]/((Calibrations!ca_rho_0+Calibrations!ca_rho_k*CalVial[[#This Row],[Temp (°C)]])/1000),""))</f>
        <v/>
      </c>
      <c r="M13" s="309"/>
      <c r="N13" s="201" t="str">
        <f>IF(CalVial[[#This Row],[Working-fill mass (g)]]="","",IFERROR(CalVial[[#This Row],[Working-fill mass (g)]]/((Calibrations!ca_rho_0+Calibrations!ca_rho_k*CalVial[[#This Row],[Temp (°C)]])/1000),""))</f>
        <v/>
      </c>
    </row>
    <row r="14">
      <c r="A14" s="309"/>
      <c r="B14" s="227"/>
      <c r="C14" s="309"/>
      <c r="D14" s="309"/>
      <c r="E14" s="309"/>
      <c r="F14" s="309"/>
      <c r="G14" s="201" t="str">
        <f>IF(CalVial[[#This Row],[Body mass (g)]]="","",IFERROR(CalVial[[#This Row],[Body mass (g)]]/((Calibrations!ca_rho_0+Calibrations!ca_rho_k*CalVial[[#This Row],[Temp (°C)]])/1000),""))</f>
        <v/>
      </c>
      <c r="H14" s="201" t="str">
        <f>IF(CalVial[[#This Row],[Body mass (g)]]="","",IFERROR((CalVial[[#This Row],[Body mass (g)]]/((Calibrations!ca_rho_0+Calibrations!ca_rho_k*CalVial[[#This Row],[Temp (°C)]])/1000))*1000/Calibrations!A_x,""))</f>
        <v/>
      </c>
      <c r="I14" s="201" t="str">
        <f>IFERROR(INDEX(ReactorTypeList,MATCH(CalVial[[#This Row],[Reactor]],ReactorList,0)),"")</f>
        <v/>
      </c>
      <c r="J14" s="309"/>
      <c r="K14" s="309"/>
      <c r="L14" s="201" t="str">
        <f>IF(CalVial[[#This Row],[Headspace mass (g)]]="","",IFERROR(CalVial[[#This Row],[Headspace mass (g)]]/((Calibrations!ca_rho_0+Calibrations!ca_rho_k*CalVial[[#This Row],[Temp (°C)]])/1000),""))</f>
        <v/>
      </c>
      <c r="M14" s="309"/>
      <c r="N14" s="201" t="str">
        <f>IF(CalVial[[#This Row],[Working-fill mass (g)]]="","",IFERROR(CalVial[[#This Row],[Working-fill mass (g)]]/((Calibrations!ca_rho_0+Calibrations!ca_rho_k*CalVial[[#This Row],[Temp (°C)]])/1000),""))</f>
        <v/>
      </c>
    </row>
    <row r="15">
      <c r="A15" s="309"/>
      <c r="B15" s="227"/>
      <c r="C15" s="309"/>
      <c r="D15" s="309"/>
      <c r="E15" s="309"/>
      <c r="F15" s="309"/>
      <c r="G15" s="201" t="str">
        <f>IF(CalVial[[#This Row],[Body mass (g)]]="","",IFERROR(CalVial[[#This Row],[Body mass (g)]]/((Calibrations!ca_rho_0+Calibrations!ca_rho_k*CalVial[[#This Row],[Temp (°C)]])/1000),""))</f>
        <v/>
      </c>
      <c r="H15" s="201" t="str">
        <f>IF(CalVial[[#This Row],[Body mass (g)]]="","",IFERROR((CalVial[[#This Row],[Body mass (g)]]/((Calibrations!ca_rho_0+Calibrations!ca_rho_k*CalVial[[#This Row],[Temp (°C)]])/1000))*1000/Calibrations!A_x,""))</f>
        <v/>
      </c>
      <c r="I15" s="201" t="str">
        <f>IFERROR(INDEX(ReactorTypeList,MATCH(CalVial[[#This Row],[Reactor]],ReactorList,0)),"")</f>
        <v/>
      </c>
      <c r="J15" s="309"/>
      <c r="K15" s="309"/>
      <c r="L15" s="201" t="str">
        <f>IF(CalVial[[#This Row],[Headspace mass (g)]]="","",IFERROR(CalVial[[#This Row],[Headspace mass (g)]]/((Calibrations!ca_rho_0+Calibrations!ca_rho_k*CalVial[[#This Row],[Temp (°C)]])/1000),""))</f>
        <v/>
      </c>
      <c r="M15" s="309"/>
      <c r="N15" s="201" t="str">
        <f>IF(CalVial[[#This Row],[Working-fill mass (g)]]="","",IFERROR(CalVial[[#This Row],[Working-fill mass (g)]]/((Calibrations!ca_rho_0+Calibrations!ca_rho_k*CalVial[[#This Row],[Temp (°C)]])/1000),""))</f>
        <v/>
      </c>
    </row>
    <row r="16">
      <c r="A16" s="309"/>
      <c r="B16" s="227"/>
      <c r="C16" s="309"/>
      <c r="D16" s="309"/>
      <c r="E16" s="309"/>
      <c r="F16" s="309"/>
      <c r="G16" s="201" t="str">
        <f>IF(CalVial[[#This Row],[Body mass (g)]]="","",IFERROR(CalVial[[#This Row],[Body mass (g)]]/((Calibrations!ca_rho_0+Calibrations!ca_rho_k*CalVial[[#This Row],[Temp (°C)]])/1000),""))</f>
        <v/>
      </c>
      <c r="H16" s="201" t="str">
        <f>IF(CalVial[[#This Row],[Body mass (g)]]="","",IFERROR((CalVial[[#This Row],[Body mass (g)]]/((Calibrations!ca_rho_0+Calibrations!ca_rho_k*CalVial[[#This Row],[Temp (°C)]])/1000))*1000/Calibrations!A_x,""))</f>
        <v/>
      </c>
      <c r="I16" s="201" t="str">
        <f>IFERROR(INDEX(ReactorTypeList,MATCH(CalVial[[#This Row],[Reactor]],ReactorList,0)),"")</f>
        <v/>
      </c>
      <c r="J16" s="309"/>
      <c r="K16" s="309"/>
      <c r="L16" s="201" t="str">
        <f>IF(CalVial[[#This Row],[Headspace mass (g)]]="","",IFERROR(CalVial[[#This Row],[Headspace mass (g)]]/((Calibrations!ca_rho_0+Calibrations!ca_rho_k*CalVial[[#This Row],[Temp (°C)]])/1000),""))</f>
        <v/>
      </c>
      <c r="M16" s="309"/>
      <c r="N16" s="201" t="str">
        <f>IF(CalVial[[#This Row],[Working-fill mass (g)]]="","",IFERROR(CalVial[[#This Row],[Working-fill mass (g)]]/((Calibrations!ca_rho_0+Calibrations!ca_rho_k*CalVial[[#This Row],[Temp (°C)]])/1000),""))</f>
        <v/>
      </c>
    </row>
    <row r="17">
      <c r="A17" s="309"/>
      <c r="B17" s="227"/>
      <c r="C17" s="309"/>
      <c r="D17" s="309"/>
      <c r="E17" s="309"/>
      <c r="F17" s="309"/>
      <c r="G17" s="201" t="str">
        <f>IF(CalVial[[#This Row],[Body mass (g)]]="","",IFERROR(CalVial[[#This Row],[Body mass (g)]]/((Calibrations!ca_rho_0+Calibrations!ca_rho_k*CalVial[[#This Row],[Temp (°C)]])/1000),""))</f>
        <v/>
      </c>
      <c r="H17" s="201" t="str">
        <f>IF(CalVial[[#This Row],[Body mass (g)]]="","",IFERROR((CalVial[[#This Row],[Body mass (g)]]/((Calibrations!ca_rho_0+Calibrations!ca_rho_k*CalVial[[#This Row],[Temp (°C)]])/1000))*1000/Calibrations!A_x,""))</f>
        <v/>
      </c>
      <c r="I17" s="201" t="str">
        <f>IFERROR(INDEX(ReactorTypeList,MATCH(CalVial[[#This Row],[Reactor]],ReactorList,0)),"")</f>
        <v/>
      </c>
      <c r="J17" s="309"/>
      <c r="K17" s="309"/>
      <c r="L17" s="201" t="str">
        <f>IF(CalVial[[#This Row],[Headspace mass (g)]]="","",IFERROR(CalVial[[#This Row],[Headspace mass (g)]]/((Calibrations!ca_rho_0+Calibrations!ca_rho_k*CalVial[[#This Row],[Temp (°C)]])/1000),""))</f>
        <v/>
      </c>
      <c r="M17" s="309"/>
      <c r="N17" s="201" t="str">
        <f>IF(CalVial[[#This Row],[Working-fill mass (g)]]="","",IFERROR(CalVial[[#This Row],[Working-fill mass (g)]]/((Calibrations!ca_rho_0+Calibrations!ca_rho_k*CalVial[[#This Row],[Temp (°C)]])/1000),""))</f>
        <v/>
      </c>
    </row>
    <row r="18">
      <c r="A18" s="309"/>
      <c r="B18" s="227"/>
      <c r="C18" s="309"/>
      <c r="D18" s="309"/>
      <c r="E18" s="309"/>
      <c r="F18" s="309"/>
      <c r="G18" s="201" t="str">
        <f>IF(CalVial[[#This Row],[Body mass (g)]]="","",IFERROR(CalVial[[#This Row],[Body mass (g)]]/((Calibrations!ca_rho_0+Calibrations!ca_rho_k*CalVial[[#This Row],[Temp (°C)]])/1000),""))</f>
        <v/>
      </c>
      <c r="H18" s="201" t="str">
        <f>IF(CalVial[[#This Row],[Body mass (g)]]="","",IFERROR((CalVial[[#This Row],[Body mass (g)]]/((Calibrations!ca_rho_0+Calibrations!ca_rho_k*CalVial[[#This Row],[Temp (°C)]])/1000))*1000/Calibrations!A_x,""))</f>
        <v/>
      </c>
      <c r="I18" s="201" t="str">
        <f>IFERROR(INDEX(ReactorTypeList,MATCH(CalVial[[#This Row],[Reactor]],ReactorList,0)),"")</f>
        <v/>
      </c>
      <c r="J18" s="309"/>
      <c r="K18" s="309"/>
      <c r="L18" s="201" t="str">
        <f>IF(CalVial[[#This Row],[Headspace mass (g)]]="","",IFERROR(CalVial[[#This Row],[Headspace mass (g)]]/((Calibrations!ca_rho_0+Calibrations!ca_rho_k*CalVial[[#This Row],[Temp (°C)]])/1000),""))</f>
        <v/>
      </c>
      <c r="M18" s="309"/>
      <c r="N18" s="201" t="str">
        <f>IF(CalVial[[#This Row],[Working-fill mass (g)]]="","",IFERROR(CalVial[[#This Row],[Working-fill mass (g)]]/((Calibrations!ca_rho_0+Calibrations!ca_rho_k*CalVial[[#This Row],[Temp (°C)]])/1000),""))</f>
        <v/>
      </c>
    </row>
  </sheetData>
  <dataValidations count="2">
    <dataValidation type="list" allowBlank="1" showErrorMessage="1" errorTitle="Invalid value" error="Choose from the list." sqref="C11:C18">
      <formula1>ReactorList</formula1>
    </dataValidation>
    <dataValidation type="list" allowBlank="1" showErrorMessage="1" errorTitle="Invalid value" error="Choose from the list." sqref="J11:J18">
      <formula1>"y,n"</formula1>
    </dataValidation>
  </dataValidations>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sheetPr>
    <tabColor rgb="FFA5A5A5"/>
  </sheetPr>
  <dimension ref="A1:H16"/>
  <sheetViews>
    <sheetView workbookViewId="0">
      <pane ySplit="8" topLeftCell="A9" activePane="bottomLeft" state="frozen"/>
      <selection pane="bottomLeft" activeCell="A9" sqref="A9"/>
    </sheetView>
  </sheetViews>
  <sheetFormatPr defaultRowHeight="15"/>
  <cols>
    <col min="1" max="1" width="16" customWidth="1"/>
    <col min="2" max="2" width="12" customWidth="1"/>
    <col min="3" max="8" width="15" customWidth="1"/>
  </cols>
  <sheetData>
    <row r="1">
      <c r="A1" s="263" t="inlineStr">
        <is>
          <t xml:space="preserve">CALIBRATION LOG – SINTER POROSITY  (sparger frit grade)</t>
        </is>
      </c>
      <c r="B1" s="263"/>
      <c r="C1" s="263"/>
      <c r="D1" s="263"/>
      <c r="E1" s="263"/>
      <c r="F1" s="263"/>
      <c r="G1" s="263"/>
      <c r="H1" s="263"/>
    </row>
    <row r="2">
      <c r="A2" s="243" t="str">
        <f>HYPERLINK("https://github.com/amy-bo/electroPioreactor/blob/AEP02/Media/protocols/sinter-porosity.md","Protocol (opens on GitHub)")</f>
        <v>Protocol (opens on GitHub)</v>
      </c>
    </row>
    <row r="3">
      <c r="A3" s="269" t="inlineStr">
        <is>
          <t xml:space="preserve">Value in use: the bubble points of the most recent included runs for the active reactor are averaged first (D90) and then graded once (D89), so conflicting runs never average into a fractional grade; a pore size outside the listed DURAN classes is reported and the model keeps its default.</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porosity grade</t>
        </is>
      </c>
      <c r="C5" s="265" t="inlineStr">
        <is>
          <t xml:space="preserve">0-5</t>
        </is>
      </c>
      <c r="D5" s="201" t="str">
        <f>cal_sinter</f>
        <v>no included runs — model uses its default</v>
      </c>
    </row>
    <row r="6">
      <c r="A6" s="265" t="inlineStr">
        <is>
          <t xml:space="preserve">Value in use - bubble point (mean of the latest included runs)</t>
        </is>
      </c>
      <c r="C6" s="265" t="inlineStr">
        <is>
          <t xml:space="preserve">kPa</t>
        </is>
      </c>
      <c r="D6" s="201" t="str">
        <f>Calibrations!cal_bp</f>
        <v>no included runs — model uses its default</v>
      </c>
    </row>
    <row r="8" ht="45" customHeight="1">
      <c r="A8" s="264" t="inlineStr">
        <is>
          <t xml:space="preserve">Researcher</t>
        </is>
      </c>
      <c r="B8" s="264" t="inlineStr">
        <is>
          <t xml:space="preserve">Date</t>
        </is>
      </c>
      <c r="C8" s="264" t="inlineStr">
        <is>
          <t xml:space="preserve">Reactor</t>
        </is>
      </c>
      <c r="D8" s="264" t="inlineStr">
        <is>
          <t xml:space="preserve">Bubble point (kPa)</t>
        </is>
      </c>
      <c r="E8" s="264" t="inlineStr">
        <is>
          <t xml:space="preserve">Grade (computed)</t>
        </is>
      </c>
      <c r="F8" s="264" t="inlineStr">
        <is>
          <t xml:space="preserve">Type (auto)</t>
        </is>
      </c>
      <c r="G8" s="264" t="inlineStr">
        <is>
          <t xml:space="preserve">Include?</t>
        </is>
      </c>
      <c r="H8" s="264" t="inlineStr">
        <is>
          <t xml:space="preserve">Notes</t>
        </is>
      </c>
    </row>
    <row r="9">
      <c r="A9" s="309"/>
      <c r="B9" s="227"/>
      <c r="C9" s="309"/>
      <c r="D9" s="309"/>
      <c r="E9"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9" s="201" t="str">
        <f>IFERROR(INDEX(ReactorTypeList,MATCH(CalSinter[[#This Row],[Reactor]],ReactorList,0)),"")</f>
        <v/>
      </c>
      <c r="G9" s="309"/>
      <c r="H9" s="309"/>
    </row>
    <row r="10">
      <c r="A10" s="309"/>
      <c r="B10" s="227"/>
      <c r="C10" s="309"/>
      <c r="D10" s="309"/>
      <c r="E10"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0" s="277" t="str">
        <f>IFERROR(INDEX(ReactorTypeList,MATCH(CalSinter[[#This Row],[Reactor]],ReactorList,0)),"")</f>
        <v/>
      </c>
      <c r="G10" s="309"/>
      <c r="H10" s="309"/>
    </row>
    <row r="11">
      <c r="A11" s="309"/>
      <c r="B11" s="227"/>
      <c r="C11" s="309"/>
      <c r="D11" s="309"/>
      <c r="E11"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1" s="277" t="str">
        <f>IFERROR(INDEX(ReactorTypeList,MATCH(CalSinter[[#This Row],[Reactor]],ReactorList,0)),"")</f>
        <v/>
      </c>
      <c r="G11" s="309"/>
      <c r="H11" s="309"/>
    </row>
    <row r="12">
      <c r="A12" s="309"/>
      <c r="B12" s="227"/>
      <c r="C12" s="309"/>
      <c r="D12" s="309"/>
      <c r="E12"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2" s="277" t="str">
        <f>IFERROR(INDEX(ReactorTypeList,MATCH(CalSinter[[#This Row],[Reactor]],ReactorList,0)),"")</f>
        <v/>
      </c>
      <c r="G12" s="309"/>
      <c r="H12" s="309"/>
    </row>
    <row r="13">
      <c r="A13" s="309"/>
      <c r="B13" s="227"/>
      <c r="C13" s="309"/>
      <c r="D13" s="309"/>
      <c r="E13"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3" s="277" t="str">
        <f>IFERROR(INDEX(ReactorTypeList,MATCH(CalSinter[[#This Row],[Reactor]],ReactorList,0)),"")</f>
        <v/>
      </c>
      <c r="G13" s="309"/>
      <c r="H13" s="309"/>
    </row>
    <row r="14">
      <c r="A14" s="309"/>
      <c r="B14" s="227"/>
      <c r="C14" s="309"/>
      <c r="D14" s="309"/>
      <c r="E14"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4" s="201" t="str">
        <f>IFERROR(INDEX(ReactorTypeList,MATCH(CalSinter[[#This Row],[Reactor]],ReactorList,0)),"")</f>
        <v/>
      </c>
      <c r="G14" s="309"/>
      <c r="H14" s="309"/>
    </row>
    <row r="15">
      <c r="A15" s="309"/>
      <c r="B15" s="227"/>
      <c r="C15" s="309"/>
      <c r="D15" s="309"/>
      <c r="E15"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5" s="201" t="str">
        <f>IFERROR(INDEX(ReactorTypeList,MATCH(CalSinter[[#This Row],[Reactor]],ReactorList,0)),"")</f>
        <v/>
      </c>
      <c r="G15" s="309"/>
      <c r="H15" s="309"/>
    </row>
    <row r="16">
      <c r="A16" s="309"/>
      <c r="B16" s="227"/>
      <c r="C16" s="309"/>
      <c r="D16" s="309"/>
      <c r="E16"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6" s="201" t="str">
        <f>IFERROR(INDEX(ReactorTypeList,MATCH(CalSinter[[#This Row],[Reactor]],ReactorList,0)),"")</f>
        <v/>
      </c>
      <c r="G16" s="309"/>
      <c r="H16" s="309"/>
    </row>
  </sheetData>
  <dataValidations count="2">
    <dataValidation type="list" allowBlank="1" showErrorMessage="1" errorTitle="Invalid value" error="Choose from the list." sqref="C9:C16">
      <formula1>ReactorList</formula1>
    </dataValidation>
    <dataValidation type="list" allowBlank="1" showErrorMessage="1" errorTitle="Invalid value" error="Choose from the list." sqref="G9:G16">
      <formula1>"y,n"</formula1>
    </dataValidation>
  </dataValidation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sheetPr>
    <tabColor rgb="FFA5A5A5"/>
  </sheetPr>
  <dimension ref="A1:I18"/>
  <sheetViews>
    <sheetView workbookViewId="0">
      <pane ySplit="10" topLeftCell="A11" activePane="bottomLeft" state="frozen"/>
      <selection pane="bottomLeft" activeCell="A11" sqref="A11"/>
    </sheetView>
  </sheetViews>
  <sheetFormatPr defaultRowHeight="15"/>
  <cols>
    <col min="1" max="1" width="16" customWidth="1"/>
    <col min="2" max="2" width="12" customWidth="1"/>
    <col min="3" max="9" width="15" customWidth="1"/>
  </cols>
  <sheetData>
    <row r="1">
      <c r="A1" s="263" t="inlineStr">
        <is>
          <t xml:space="preserve">CALIBRATION LOG – DISSOLVED-OXYGEN THRESHOLDS  (per organism)</t>
        </is>
      </c>
      <c r="B1" s="263"/>
      <c r="C1" s="263"/>
      <c r="D1" s="263"/>
      <c r="E1" s="263"/>
      <c r="F1" s="263"/>
      <c r="G1" s="263"/>
      <c r="H1" s="263"/>
      <c r="I1" s="263"/>
    </row>
    <row r="2">
      <c r="A2" s="243" t="str">
        <f>HYPERLINK("https://github.com/amy-bo/electroPioreactor/blob/AEP02/Media/protocols/dissolved-oxygen.md","Protocol (opens on GitHub)")</f>
        <v>Protocol (opens on GitHub)</v>
      </c>
    </row>
    <row r="3">
      <c r="A3" s="269" t="inlineStr">
        <is>
          <t xml:space="preserve">Value in use: average of the included values for the active organism.</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minimum DO</t>
        </is>
      </c>
      <c r="C5" s="265" t="inlineStr">
        <is>
          <t xml:space="preserve">mg/L</t>
        </is>
      </c>
      <c r="D5" s="201" t="str">
        <f>cal_DO_min</f>
        <v>no included runs — model uses its default</v>
      </c>
    </row>
    <row r="6">
      <c r="A6" s="265" t="inlineStr">
        <is>
          <t xml:space="preserve">Value in use - optimum DO</t>
        </is>
      </c>
      <c r="C6" s="265" t="inlineStr">
        <is>
          <t xml:space="preserve">mg/L</t>
        </is>
      </c>
      <c r="D6" s="201" t="str">
        <f>cal_DO_opt</f>
        <v>no included runs — model uses its default</v>
      </c>
    </row>
    <row r="7">
      <c r="A7" s="265" t="inlineStr">
        <is>
          <t xml:space="preserve">Value in use - impairment DO</t>
        </is>
      </c>
      <c r="C7" s="265" t="inlineStr">
        <is>
          <t xml:space="preserve">mg/L</t>
        </is>
      </c>
      <c r="D7" s="201" t="str">
        <f>cal_DO_impair</f>
        <v>no included runs — model uses its default</v>
      </c>
    </row>
    <row r="8">
      <c r="A8" s="265" t="inlineStr">
        <is>
          <t xml:space="preserve">Value in use - toxic DO</t>
        </is>
      </c>
      <c r="C8" s="265" t="inlineStr">
        <is>
          <t xml:space="preserve">mg/L</t>
        </is>
      </c>
      <c r="D8" s="201" t="str">
        <f>cal_DO_toxic</f>
        <v>no included runs — model uses its default</v>
      </c>
    </row>
    <row r="10" ht="45" customHeight="1">
      <c r="A10" s="264" t="inlineStr">
        <is>
          <t xml:space="preserve">Researcher</t>
        </is>
      </c>
      <c r="B10" s="264" t="inlineStr">
        <is>
          <t xml:space="preserve">Date</t>
        </is>
      </c>
      <c r="C10" s="264" t="inlineStr">
        <is>
          <t xml:space="preserve">Organism</t>
        </is>
      </c>
      <c r="D10" s="264" t="inlineStr">
        <is>
          <t xml:space="preserve">Min DO (mg/L)</t>
        </is>
      </c>
      <c r="E10" s="264" t="inlineStr">
        <is>
          <t xml:space="preserve">Optimum DO (mg/L)</t>
        </is>
      </c>
      <c r="F10" s="264" t="inlineStr">
        <is>
          <t xml:space="preserve">Impairment DO (mg/L)</t>
        </is>
      </c>
      <c r="G10" s="264" t="inlineStr">
        <is>
          <t xml:space="preserve">Toxic DO (mg/L)</t>
        </is>
      </c>
      <c r="H10" s="264" t="inlineStr">
        <is>
          <t xml:space="preserve">Include?</t>
        </is>
      </c>
      <c r="I10" s="264" t="inlineStr">
        <is>
          <t xml:space="preserve">Notes</t>
        </is>
      </c>
    </row>
    <row r="11">
      <c r="A11" s="309"/>
      <c r="B11" s="227"/>
      <c r="C11" s="309"/>
      <c r="D11" s="309"/>
      <c r="E11" s="309"/>
      <c r="F11" s="309"/>
      <c r="G11" s="309"/>
      <c r="H11" s="309"/>
      <c r="I11" s="309"/>
    </row>
    <row r="12">
      <c r="A12" s="309"/>
      <c r="B12" s="227"/>
      <c r="C12" s="309"/>
      <c r="D12" s="309"/>
      <c r="E12" s="309"/>
      <c r="F12" s="309"/>
      <c r="G12" s="309"/>
      <c r="H12" s="309"/>
      <c r="I12" s="309"/>
    </row>
    <row r="13">
      <c r="A13" s="309"/>
      <c r="B13" s="227"/>
      <c r="C13" s="309"/>
      <c r="D13" s="309"/>
      <c r="E13" s="309"/>
      <c r="F13" s="309"/>
      <c r="G13" s="309"/>
      <c r="H13" s="309"/>
      <c r="I13" s="309"/>
    </row>
    <row r="14">
      <c r="A14" s="309"/>
      <c r="B14" s="227"/>
      <c r="C14" s="309"/>
      <c r="D14" s="309"/>
      <c r="E14" s="309"/>
      <c r="F14" s="309"/>
      <c r="G14" s="309"/>
      <c r="H14" s="309"/>
      <c r="I14" s="309"/>
    </row>
    <row r="15">
      <c r="A15" s="309"/>
      <c r="B15" s="227"/>
      <c r="C15" s="309"/>
      <c r="D15" s="309"/>
      <c r="E15" s="309"/>
      <c r="F15" s="309"/>
      <c r="G15" s="309"/>
      <c r="H15" s="309"/>
      <c r="I15" s="309"/>
    </row>
    <row r="16">
      <c r="A16" s="309"/>
      <c r="B16" s="227"/>
      <c r="C16" s="309"/>
      <c r="D16" s="309"/>
      <c r="E16" s="309"/>
      <c r="F16" s="309"/>
      <c r="G16" s="309"/>
      <c r="H16" s="309"/>
      <c r="I16" s="309"/>
    </row>
    <row r="17">
      <c r="A17" s="309"/>
      <c r="B17" s="227"/>
      <c r="C17" s="309"/>
      <c r="D17" s="309"/>
      <c r="E17" s="309"/>
      <c r="F17" s="309"/>
      <c r="G17" s="309"/>
      <c r="H17" s="309"/>
      <c r="I17" s="309"/>
    </row>
    <row r="18">
      <c r="A18" s="309"/>
      <c r="B18" s="227"/>
      <c r="C18" s="309"/>
      <c r="D18" s="309"/>
      <c r="E18" s="309"/>
      <c r="F18" s="309"/>
      <c r="G18" s="309"/>
      <c r="H18" s="309"/>
      <c r="I18" s="309"/>
    </row>
  </sheetData>
  <dataValidations count="2">
    <dataValidation type="list" allowBlank="1" showErrorMessage="1" errorTitle="Invalid value" error="Choose from the list." sqref="H11:H18">
      <formula1>"y,n"</formula1>
    </dataValidation>
    <dataValidation type="list" allowBlank="1" showErrorMessage="1" errorTitle="Invalid value" error="Choose from the list." sqref="C11:C18">
      <formula1>OrganismList</formula1>
    </dataValidation>
  </dataValidations>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sheetPr>
    <tabColor rgb="FFA5A5A5"/>
  </sheetPr>
  <dimension ref="A1:J17"/>
  <sheetViews>
    <sheetView workbookViewId="0">
      <pane ySplit="9" topLeftCell="A10" activePane="bottomLeft" state="frozen"/>
      <selection pane="bottomLeft" activeCell="A10" sqref="A10"/>
    </sheetView>
  </sheetViews>
  <sheetFormatPr defaultRowHeight="15"/>
  <cols>
    <col min="1" max="1" width="16" customWidth="1"/>
    <col min="2" max="2" width="12" customWidth="1"/>
    <col min="3" max="10" width="15" customWidth="1"/>
  </cols>
  <sheetData>
    <row r="1">
      <c r="A1" s="263" t="inlineStr">
        <is>
          <t xml:space="preserve">CALIBRATION LOG – KNALLGAS UPTAKE RATIO  (per organism)</t>
        </is>
      </c>
      <c r="B1" s="263"/>
      <c r="C1" s="263"/>
      <c r="D1" s="263"/>
      <c r="E1" s="263"/>
      <c r="F1" s="263"/>
      <c r="G1" s="263"/>
      <c r="H1" s="263"/>
      <c r="I1" s="263"/>
      <c r="J1" s="263"/>
    </row>
    <row r="2">
      <c r="A2" s="243" t="str">
        <f>HYPERLINK("https://github.com/amy-bo/electroPioreactor/blob/AEP02/Media/protocols/knallgas-stoichiometry.md","Protocol (opens on GitHub)")</f>
        <v>Protocol (opens on GitHub)</v>
      </c>
    </row>
    <row r="3">
      <c r="A3" s="269" t="inlineStr">
        <is>
          <t xml:space="preserve">Value in use: each included run is reduced to O₂ per H₂ and CO₂ per H₂ (columns I–J), the ratios are averaged over the included runs for the active organism, and the model takes them on an H₂ basis of knall_H2_basis (D199), so a run’s size does not weight the result.</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H2</t>
        </is>
      </c>
      <c r="C5" s="265" t="inlineStr">
        <is>
          <t xml:space="preserve">parts</t>
        </is>
      </c>
      <c r="D5" s="201" t="str">
        <f>cal_knall_H2</f>
        <v>no included runs — model uses its default</v>
      </c>
    </row>
    <row r="6">
      <c r="A6" s="265" t="inlineStr">
        <is>
          <t xml:space="preserve">Value in use - O2</t>
        </is>
      </c>
      <c r="C6" s="265" t="inlineStr">
        <is>
          <t xml:space="preserve">parts</t>
        </is>
      </c>
      <c r="D6" s="201" t="str">
        <f>cal_knall_O2</f>
        <v>no included runs — model uses its default</v>
      </c>
    </row>
    <row r="7">
      <c r="A7" s="265" t="inlineStr">
        <is>
          <t xml:space="preserve">Value in use - CO2</t>
        </is>
      </c>
      <c r="C7" s="265" t="inlineStr">
        <is>
          <t xml:space="preserve">parts</t>
        </is>
      </c>
      <c r="D7" s="201" t="str">
        <f>cal_knall_CO2</f>
        <v>no included runs — model uses its default</v>
      </c>
    </row>
    <row r="9" ht="45" customHeight="1">
      <c r="A9" s="264" t="inlineStr">
        <is>
          <t xml:space="preserve">Researcher</t>
        </is>
      </c>
      <c r="B9" s="264" t="inlineStr">
        <is>
          <t xml:space="preserve">Date</t>
        </is>
      </c>
      <c r="C9" s="264" t="inlineStr">
        <is>
          <t xml:space="preserve">Organism</t>
        </is>
      </c>
      <c r="D9" s="264" t="inlineStr">
        <is>
          <t xml:space="preserve">H2</t>
        </is>
      </c>
      <c r="E9" s="264" t="inlineStr">
        <is>
          <t xml:space="preserve">O2</t>
        </is>
      </c>
      <c r="F9" s="264" t="inlineStr">
        <is>
          <t xml:space="preserve">CO2</t>
        </is>
      </c>
      <c r="G9" s="264" t="inlineStr">
        <is>
          <t xml:space="preserve">Include?</t>
        </is>
      </c>
      <c r="H9" s="264" t="inlineStr">
        <is>
          <t xml:space="preserve">Notes</t>
        </is>
      </c>
      <c r="I9" s="264" t="inlineStr">
        <is>
          <t xml:space="preserve">O₂ per H₂ (computed)</t>
        </is>
      </c>
      <c r="J9" s="264" t="inlineStr">
        <is>
          <t xml:space="preserve">CO₂ per H₂ (computed)</t>
        </is>
      </c>
    </row>
    <row r="10">
      <c r="A10" s="309"/>
      <c r="B10" s="227"/>
      <c r="C10" s="309"/>
      <c r="D10" s="309"/>
      <c r="E10" s="309"/>
      <c r="F10" s="309"/>
      <c r="G10" s="309"/>
      <c r="H10" s="309"/>
      <c r="I10" s="201" t="str">
        <f>IF(OR(CalKnallgas[[#This Row],[H2]]="",CalKnallgas[[#This Row],[O2]]=""),"",IFERROR(IF(CalKnallgas[[#This Row],[H2]]&gt;0,CalKnallgas[[#This Row],[O2]]/CalKnallgas[[#This Row],[H2]],""),""))</f>
        <v/>
      </c>
      <c r="J10" s="201" t="str">
        <f>IF(OR(CalKnallgas[[#This Row],[H2]]="",CalKnallgas[[#This Row],[CO2]]=""),"",IFERROR(IF(CalKnallgas[[#This Row],[H2]]&gt;0,CalKnallgas[[#This Row],[CO2]]/CalKnallgas[[#This Row],[H2]],""),""))</f>
        <v/>
      </c>
    </row>
    <row r="11">
      <c r="A11" s="309"/>
      <c r="B11" s="227"/>
      <c r="C11" s="309"/>
      <c r="D11" s="309"/>
      <c r="E11" s="309"/>
      <c r="F11" s="309"/>
      <c r="G11" s="309"/>
      <c r="H11" s="309"/>
      <c r="I11" s="201" t="str">
        <f>IF(OR(CalKnallgas[[#This Row],[H2]]="",CalKnallgas[[#This Row],[O2]]=""),"",IFERROR(IF(CalKnallgas[[#This Row],[H2]]&gt;0,CalKnallgas[[#This Row],[O2]]/CalKnallgas[[#This Row],[H2]],""),""))</f>
        <v/>
      </c>
      <c r="J11" s="201" t="str">
        <f>IF(OR(CalKnallgas[[#This Row],[H2]]="",CalKnallgas[[#This Row],[CO2]]=""),"",IFERROR(IF(CalKnallgas[[#This Row],[H2]]&gt;0,CalKnallgas[[#This Row],[CO2]]/CalKnallgas[[#This Row],[H2]],""),""))</f>
        <v/>
      </c>
    </row>
    <row r="12">
      <c r="A12" s="309"/>
      <c r="B12" s="227"/>
      <c r="C12" s="309"/>
      <c r="D12" s="309"/>
      <c r="E12" s="309"/>
      <c r="F12" s="309"/>
      <c r="G12" s="309"/>
      <c r="H12" s="309"/>
      <c r="I12" s="201" t="str">
        <f>IF(OR(CalKnallgas[[#This Row],[H2]]="",CalKnallgas[[#This Row],[O2]]=""),"",IFERROR(IF(CalKnallgas[[#This Row],[H2]]&gt;0,CalKnallgas[[#This Row],[O2]]/CalKnallgas[[#This Row],[H2]],""),""))</f>
        <v/>
      </c>
      <c r="J12" s="201" t="str">
        <f>IF(OR(CalKnallgas[[#This Row],[H2]]="",CalKnallgas[[#This Row],[CO2]]=""),"",IFERROR(IF(CalKnallgas[[#This Row],[H2]]&gt;0,CalKnallgas[[#This Row],[CO2]]/CalKnallgas[[#This Row],[H2]],""),""))</f>
        <v/>
      </c>
    </row>
    <row r="13">
      <c r="A13" s="309"/>
      <c r="B13" s="227"/>
      <c r="C13" s="309"/>
      <c r="D13" s="309"/>
      <c r="E13" s="309"/>
      <c r="F13" s="309"/>
      <c r="G13" s="309"/>
      <c r="H13" s="309"/>
      <c r="I13" s="201" t="str">
        <f>IF(OR(CalKnallgas[[#This Row],[H2]]="",CalKnallgas[[#This Row],[O2]]=""),"",IFERROR(IF(CalKnallgas[[#This Row],[H2]]&gt;0,CalKnallgas[[#This Row],[O2]]/CalKnallgas[[#This Row],[H2]],""),""))</f>
        <v/>
      </c>
      <c r="J13" s="201" t="str">
        <f>IF(OR(CalKnallgas[[#This Row],[H2]]="",CalKnallgas[[#This Row],[CO2]]=""),"",IFERROR(IF(CalKnallgas[[#This Row],[H2]]&gt;0,CalKnallgas[[#This Row],[CO2]]/CalKnallgas[[#This Row],[H2]],""),""))</f>
        <v/>
      </c>
    </row>
    <row r="14">
      <c r="A14" s="309"/>
      <c r="B14" s="227"/>
      <c r="C14" s="309"/>
      <c r="D14" s="309"/>
      <c r="E14" s="309"/>
      <c r="F14" s="309"/>
      <c r="G14" s="309"/>
      <c r="H14" s="309"/>
      <c r="I14" s="201" t="str">
        <f>IF(OR(CalKnallgas[[#This Row],[H2]]="",CalKnallgas[[#This Row],[O2]]=""),"",IFERROR(IF(CalKnallgas[[#This Row],[H2]]&gt;0,CalKnallgas[[#This Row],[O2]]/CalKnallgas[[#This Row],[H2]],""),""))</f>
        <v/>
      </c>
      <c r="J14" s="201" t="str">
        <f>IF(OR(CalKnallgas[[#This Row],[H2]]="",CalKnallgas[[#This Row],[CO2]]=""),"",IFERROR(IF(CalKnallgas[[#This Row],[H2]]&gt;0,CalKnallgas[[#This Row],[CO2]]/CalKnallgas[[#This Row],[H2]],""),""))</f>
        <v/>
      </c>
    </row>
    <row r="15">
      <c r="A15" s="309"/>
      <c r="B15" s="227"/>
      <c r="C15" s="309"/>
      <c r="D15" s="309"/>
      <c r="E15" s="309"/>
      <c r="F15" s="309"/>
      <c r="G15" s="309"/>
      <c r="H15" s="309"/>
      <c r="I15" s="201" t="str">
        <f>IF(OR(CalKnallgas[[#This Row],[H2]]="",CalKnallgas[[#This Row],[O2]]=""),"",IFERROR(IF(CalKnallgas[[#This Row],[H2]]&gt;0,CalKnallgas[[#This Row],[O2]]/CalKnallgas[[#This Row],[H2]],""),""))</f>
        <v/>
      </c>
      <c r="J15" s="201" t="str">
        <f>IF(OR(CalKnallgas[[#This Row],[H2]]="",CalKnallgas[[#This Row],[CO2]]=""),"",IFERROR(IF(CalKnallgas[[#This Row],[H2]]&gt;0,CalKnallgas[[#This Row],[CO2]]/CalKnallgas[[#This Row],[H2]],""),""))</f>
        <v/>
      </c>
    </row>
    <row r="16">
      <c r="A16" s="309"/>
      <c r="B16" s="227"/>
      <c r="C16" s="309"/>
      <c r="D16" s="309"/>
      <c r="E16" s="309"/>
      <c r="F16" s="309"/>
      <c r="G16" s="309"/>
      <c r="H16" s="309"/>
      <c r="I16" s="201" t="str">
        <f>IF(OR(CalKnallgas[[#This Row],[H2]]="",CalKnallgas[[#This Row],[O2]]=""),"",IFERROR(IF(CalKnallgas[[#This Row],[H2]]&gt;0,CalKnallgas[[#This Row],[O2]]/CalKnallgas[[#This Row],[H2]],""),""))</f>
        <v/>
      </c>
      <c r="J16" s="201" t="str">
        <f>IF(OR(CalKnallgas[[#This Row],[H2]]="",CalKnallgas[[#This Row],[CO2]]=""),"",IFERROR(IF(CalKnallgas[[#This Row],[H2]]&gt;0,CalKnallgas[[#This Row],[CO2]]/CalKnallgas[[#This Row],[H2]],""),""))</f>
        <v/>
      </c>
    </row>
    <row r="17">
      <c r="A17" s="309"/>
      <c r="B17" s="227"/>
      <c r="C17" s="309"/>
      <c r="D17" s="309"/>
      <c r="E17" s="309"/>
      <c r="F17" s="309"/>
      <c r="G17" s="309"/>
      <c r="H17" s="309"/>
      <c r="I17" s="201" t="str">
        <f>IF(OR(CalKnallgas[[#This Row],[H2]]="",CalKnallgas[[#This Row],[O2]]=""),"",IFERROR(IF(CalKnallgas[[#This Row],[H2]]&gt;0,CalKnallgas[[#This Row],[O2]]/CalKnallgas[[#This Row],[H2]],""),""))</f>
        <v/>
      </c>
      <c r="J17" s="201" t="str">
        <f>IF(OR(CalKnallgas[[#This Row],[H2]]="",CalKnallgas[[#This Row],[CO2]]=""),"",IFERROR(IF(CalKnallgas[[#This Row],[H2]]&gt;0,CalKnallgas[[#This Row],[CO2]]/CalKnallgas[[#This Row],[H2]],""),""))</f>
        <v/>
      </c>
    </row>
  </sheetData>
  <dataValidations count="2">
    <dataValidation type="list" allowBlank="1" showErrorMessage="1" errorTitle="Invalid value" error="Choose from the list." sqref="G10:G17">
      <formula1>"y,n"</formula1>
    </dataValidation>
    <dataValidation type="list" allowBlank="1" showErrorMessage="1" errorTitle="Invalid value" error="Choose from the list." sqref="C10:C17">
      <formula1>OrganismList</formula1>
    </dataValidation>
  </dataValidations>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sheetPr>
    <tabColor rgb="FFA5A5A5"/>
  </sheetPr>
  <dimension ref="A1:G16"/>
  <sheetViews>
    <sheetView workbookViewId="0">
      <pane ySplit="8" topLeftCell="A9" activePane="bottomLeft" state="frozen"/>
      <selection pane="bottomLeft" activeCell="A9" sqref="A9"/>
    </sheetView>
  </sheetViews>
  <sheetFormatPr defaultRowHeight="15"/>
  <cols>
    <col min="1" max="1" width="16" customWidth="1"/>
    <col min="2" max="2" width="12" customWidth="1"/>
    <col min="3" max="7" width="15" customWidth="1"/>
  </cols>
  <sheetData>
    <row r="1">
      <c r="A1" s="263" t="inlineStr">
        <is>
          <t xml:space="preserve">CALIBRATION LOG – CURRENT-DENSITY TOLERANCE  (per organism)</t>
        </is>
      </c>
      <c r="B1" s="263"/>
      <c r="C1" s="263"/>
      <c r="D1" s="263"/>
      <c r="E1" s="263"/>
      <c r="F1" s="263"/>
      <c r="G1" s="263"/>
    </row>
    <row r="2">
      <c r="A2" s="243" t="str">
        <f>HYPERLINK("https://github.com/amy-bo/electroPioreactor/blob/AEP02/Media/protocols/current-density-screen.md","Protocol (opens on GitHub)")</f>
        <v>Protocol (opens on GitHub)</v>
      </c>
    </row>
    <row r="3">
      <c r="A3" s="269" t="inlineStr">
        <is>
          <t xml:space="preserve">Value in use: average of the included screen results for the active organism.</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optimum j</t>
        </is>
      </c>
      <c r="C5" s="265" t="inlineStr">
        <is>
          <t xml:space="preserve">mA/cm²</t>
        </is>
      </c>
      <c r="D5" s="201" t="str">
        <f>cal_j_opt</f>
        <v>no included runs — model uses its default</v>
      </c>
    </row>
    <row r="6">
      <c r="A6" s="265" t="inlineStr">
        <is>
          <t xml:space="preserve">Value in use - ceiling j</t>
        </is>
      </c>
      <c r="C6" s="265" t="inlineStr">
        <is>
          <t xml:space="preserve">mA/cm²</t>
        </is>
      </c>
      <c r="D6" s="201" t="str">
        <f>cal_j_ceiling</f>
        <v>no included runs — model uses its default</v>
      </c>
    </row>
    <row r="8" ht="45" customHeight="1">
      <c r="A8" s="264" t="inlineStr">
        <is>
          <t xml:space="preserve">Researcher</t>
        </is>
      </c>
      <c r="B8" s="264" t="inlineStr">
        <is>
          <t xml:space="preserve">Date</t>
        </is>
      </c>
      <c r="C8" s="264" t="inlineStr">
        <is>
          <t xml:space="preserve">Organism</t>
        </is>
      </c>
      <c r="D8" s="264" t="inlineStr">
        <is>
          <t xml:space="preserve">j optimum (mA/cm²)</t>
        </is>
      </c>
      <c r="E8" s="264" t="inlineStr">
        <is>
          <t xml:space="preserve">j ceiling (mA/cm²)</t>
        </is>
      </c>
      <c r="F8" s="264" t="inlineStr">
        <is>
          <t xml:space="preserve">Include?</t>
        </is>
      </c>
      <c r="G8" s="264" t="inlineStr">
        <is>
          <t xml:space="preserve">Notes</t>
        </is>
      </c>
    </row>
    <row r="9">
      <c r="A9" s="309"/>
      <c r="B9" s="227"/>
      <c r="C9" s="309"/>
      <c r="D9" s="309"/>
      <c r="E9" s="309"/>
      <c r="F9" s="309"/>
      <c r="G9" s="309"/>
    </row>
    <row r="10">
      <c r="A10" s="309"/>
      <c r="B10" s="227"/>
      <c r="C10" s="309"/>
      <c r="D10" s="309"/>
      <c r="E10" s="309"/>
      <c r="F10" s="309"/>
      <c r="G10" s="309"/>
    </row>
    <row r="11">
      <c r="A11" s="309"/>
      <c r="B11" s="227"/>
      <c r="C11" s="309"/>
      <c r="D11" s="309"/>
      <c r="E11" s="309"/>
      <c r="F11" s="309"/>
      <c r="G11" s="309"/>
    </row>
    <row r="12">
      <c r="A12" s="309"/>
      <c r="B12" s="227"/>
      <c r="C12" s="309"/>
      <c r="D12" s="309"/>
      <c r="E12" s="309"/>
      <c r="F12" s="309"/>
      <c r="G12" s="309"/>
    </row>
    <row r="13">
      <c r="A13" s="309"/>
      <c r="B13" s="227"/>
      <c r="C13" s="309"/>
      <c r="D13" s="309"/>
      <c r="E13" s="309"/>
      <c r="F13" s="309"/>
      <c r="G13" s="309"/>
    </row>
    <row r="14">
      <c r="A14" s="309"/>
      <c r="B14" s="227"/>
      <c r="C14" s="309"/>
      <c r="D14" s="309"/>
      <c r="E14" s="309"/>
      <c r="F14" s="309"/>
      <c r="G14" s="309"/>
    </row>
    <row r="15">
      <c r="A15" s="309"/>
      <c r="B15" s="227"/>
      <c r="C15" s="309"/>
      <c r="D15" s="309"/>
      <c r="E15" s="309"/>
      <c r="F15" s="309"/>
      <c r="G15" s="309"/>
    </row>
    <row r="16">
      <c r="A16" s="309"/>
      <c r="B16" s="227"/>
      <c r="C16" s="309"/>
      <c r="D16" s="309"/>
      <c r="E16" s="309"/>
      <c r="F16" s="309"/>
      <c r="G16" s="309"/>
    </row>
  </sheetData>
  <dataValidations count="2">
    <dataValidation type="list" allowBlank="1" showErrorMessage="1" errorTitle="Invalid value" error="Choose from the list." sqref="F9:F16">
      <formula1>"y,n"</formula1>
    </dataValidation>
    <dataValidation type="list" allowBlank="1" showErrorMessage="1" errorTitle="Invalid value" error="Choose from the list." sqref="C9:C16">
      <formula1>OrganismList</formula1>
    </dataValidation>
  </dataValidations>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sheetPr>
    <tabColor rgb="FFA5A5A5"/>
  </sheetPr>
  <dimension ref="A1:O15"/>
  <sheetViews>
    <sheetView workbookViewId="0">
      <pane ySplit="7" topLeftCell="A8" activePane="bottomLeft" state="frozen"/>
      <selection pane="bottomLeft" activeCell="A8" sqref="A8"/>
    </sheetView>
  </sheetViews>
  <sheetFormatPr defaultRowHeight="15"/>
  <cols>
    <col min="1" max="1" width="16" customWidth="1"/>
    <col min="2" max="2" width="12" customWidth="1"/>
    <col min="3" max="15" width="15" customWidth="1"/>
  </cols>
  <sheetData>
    <row r="1">
      <c r="A1" s="263" t="inlineStr">
        <is>
          <t xml:space="preserve">CALIBRATION LOG – ELECTRODE MASS TRANSFER  (ferricyanide limiting current)</t>
        </is>
      </c>
      <c r="B1" s="263"/>
      <c r="C1" s="263"/>
      <c r="D1" s="263"/>
      <c r="E1" s="263"/>
      <c r="F1" s="263"/>
      <c r="G1" s="263"/>
      <c r="H1" s="263"/>
      <c r="I1" s="263"/>
      <c r="J1" s="263"/>
      <c r="K1" s="263"/>
      <c r="L1" s="263"/>
      <c r="M1" s="263"/>
      <c r="N1" s="263"/>
      <c r="O1" s="263"/>
    </row>
    <row r="2">
      <c r="A2" s="243" t="str">
        <f>HYPERLINK("https://github.com/amy-bo/electroPioreactor/blob/AEP02/Media/protocols/electrode-mass-transfer.md","Protocol (opens on GitHub)")</f>
        <v>Protocol (opens on GitHub)</v>
      </c>
    </row>
    <row r="3">
      <c r="A3" s="269" t="inlineStr">
        <is>
          <t xml:space="preserve">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k_m O₂</t>
        </is>
      </c>
      <c r="C5" s="265" t="inlineStr">
        <is>
          <t xml:space="preserve">cm/s</t>
        </is>
      </c>
      <c r="D5" s="201" t="str">
        <f>cal_km_O2</f>
        <v>no included runs — model uses its default</v>
      </c>
    </row>
    <row r="7" ht="45" customHeight="1">
      <c r="A7" s="264" t="inlineStr">
        <is>
          <t xml:space="preserve">Researcher</t>
        </is>
      </c>
      <c r="B7" s="264" t="inlineStr">
        <is>
          <t xml:space="preserve">Date</t>
        </is>
      </c>
      <c r="C7" s="264" t="inlineStr">
        <is>
          <t xml:space="preserve">Reactor</t>
        </is>
      </c>
      <c r="D7" s="264" t="inlineStr">
        <is>
          <t xml:space="preserve">Electrode</t>
        </is>
      </c>
      <c r="E7" s="264" t="inlineStr">
        <is>
          <t xml:space="preserve">Stir rate (rpm)</t>
        </is>
      </c>
      <c r="F7" s="264" t="inlineStr">
        <is>
          <t xml:space="preserve">Temp (°C)</t>
        </is>
      </c>
      <c r="G7" s="264" t="inlineStr">
        <is>
          <t xml:space="preserve">Limiting current (mA)</t>
        </is>
      </c>
      <c r="H7" s="264" t="inlineStr">
        <is>
          <t xml:space="preserve">Electrode area (cm²)</t>
        </is>
      </c>
      <c r="I7" s="264" t="inlineStr">
        <is>
          <t xml:space="preserve">Ferricyanide (mM)</t>
        </is>
      </c>
      <c r="J7" s="264" t="inlineStr">
        <is>
          <t xml:space="preserve">D ferricyanide (m²/s)</t>
        </is>
      </c>
      <c r="K7" s="264" t="inlineStr">
        <is>
          <t xml:space="preserve">k_m ferricyanide (computed, cm/s)</t>
        </is>
      </c>
      <c r="L7" s="264" t="inlineStr">
        <is>
          <t xml:space="preserve">k_m O₂ (computed, cm/s)</t>
        </is>
      </c>
      <c r="M7" s="264" t="inlineStr">
        <is>
          <t xml:space="preserve">Type (auto)</t>
        </is>
      </c>
      <c r="N7" s="264" t="inlineStr">
        <is>
          <t xml:space="preserve">Include?</t>
        </is>
      </c>
      <c r="O7" s="264" t="inlineStr">
        <is>
          <t xml:space="preserve">Notes</t>
        </is>
      </c>
    </row>
    <row r="8">
      <c r="A8" s="309"/>
      <c r="B8" s="227"/>
      <c r="C8" s="309"/>
      <c r="D8" s="309"/>
      <c r="E8" s="309"/>
      <c r="F8" s="309"/>
      <c r="G8" s="309"/>
      <c r="H8" s="309"/>
      <c r="I8" s="309"/>
      <c r="J8" s="309"/>
      <c r="K8" s="201" t="str">
        <f>IF(OR(CalKm[[#This Row],[Limiting current (mA)]]="",CalKm[[#This Row],[Electrode area (cm²)]]="",CalKm[[#This Row],[Ferricyanide (mM)]]=""),"",IFERROR((CalKm[[#This Row],[Limiting current (mA)]]/1000)/(Calibrations!n_e_fcn*Calibrations!F_const*(CalKm[[#This Row],[Electrode area (cm²)]]/10000)*CalKm[[#This Row],[Ferricyanide (mM)]])*100,""))</f>
        <v/>
      </c>
      <c r="L8" s="201" t="str">
        <f>IF(OR(CalKm[[#This Row],[k_m ferricyanide (computed, cm/s)]]="",CalKm[[#This Row],[D ferricyanide (m²/s)]]=""),"",IFERROR(CalKm[[#This Row],[k_m ferricyanide (computed, cm/s)]]*(Calibrations!D_O2/CalKm[[#This Row],[D ferricyanide (m²/s)]])^Calibrations!km_exp,""))</f>
        <v/>
      </c>
      <c r="M8" s="201" t="str">
        <f>IFERROR(INDEX(ReactorTypeList,MATCH(CalKm[[#This Row],[Reactor]],ReactorList,0)),"")</f>
        <v/>
      </c>
      <c r="N8" s="309"/>
      <c r="O8" s="309"/>
    </row>
    <row r="9">
      <c r="A9" s="309"/>
      <c r="B9" s="227"/>
      <c r="C9" s="309"/>
      <c r="D9" s="309"/>
      <c r="E9" s="309"/>
      <c r="F9" s="309"/>
      <c r="G9" s="309"/>
      <c r="H9" s="309"/>
      <c r="I9" s="309"/>
      <c r="J9" s="309"/>
      <c r="K9" s="201" t="str">
        <f>IF(OR(CalKm[[#This Row],[Limiting current (mA)]]="",CalKm[[#This Row],[Electrode area (cm²)]]="",CalKm[[#This Row],[Ferricyanide (mM)]]=""),"",IFERROR((CalKm[[#This Row],[Limiting current (mA)]]/1000)/(Calibrations!n_e_fcn*Calibrations!F_const*(CalKm[[#This Row],[Electrode area (cm²)]]/10000)*CalKm[[#This Row],[Ferricyanide (mM)]])*100,""))</f>
        <v/>
      </c>
      <c r="L9" s="201" t="str">
        <f>IF(OR(CalKm[[#This Row],[k_m ferricyanide (computed, cm/s)]]="",CalKm[[#This Row],[D ferricyanide (m²/s)]]=""),"",IFERROR(CalKm[[#This Row],[k_m ferricyanide (computed, cm/s)]]*(Calibrations!D_O2/CalKm[[#This Row],[D ferricyanide (m²/s)]])^Calibrations!km_exp,""))</f>
        <v/>
      </c>
      <c r="M9" s="201" t="str">
        <f>IFERROR(INDEX(ReactorTypeList,MATCH(CalKm[[#This Row],[Reactor]],ReactorList,0)),"")</f>
        <v/>
      </c>
      <c r="N9" s="309"/>
      <c r="O9" s="309"/>
    </row>
    <row r="10">
      <c r="A10" s="309"/>
      <c r="B10" s="227"/>
      <c r="C10" s="309"/>
      <c r="D10" s="309"/>
      <c r="E10" s="309"/>
      <c r="F10" s="309"/>
      <c r="G10" s="309"/>
      <c r="H10" s="309"/>
      <c r="I10" s="309"/>
      <c r="J10" s="309"/>
      <c r="K10" s="201" t="str">
        <f>IF(OR(CalKm[[#This Row],[Limiting current (mA)]]="",CalKm[[#This Row],[Electrode area (cm²)]]="",CalKm[[#This Row],[Ferricyanide (mM)]]=""),"",IFERROR((CalKm[[#This Row],[Limiting current (mA)]]/1000)/(Calibrations!n_e_fcn*Calibrations!F_const*(CalKm[[#This Row],[Electrode area (cm²)]]/10000)*CalKm[[#This Row],[Ferricyanide (mM)]])*100,""))</f>
        <v/>
      </c>
      <c r="L10" s="201" t="str">
        <f>IF(OR(CalKm[[#This Row],[k_m ferricyanide (computed, cm/s)]]="",CalKm[[#This Row],[D ferricyanide (m²/s)]]=""),"",IFERROR(CalKm[[#This Row],[k_m ferricyanide (computed, cm/s)]]*(Calibrations!D_O2/CalKm[[#This Row],[D ferricyanide (m²/s)]])^Calibrations!km_exp,""))</f>
        <v/>
      </c>
      <c r="M10" s="201" t="str">
        <f>IFERROR(INDEX(ReactorTypeList,MATCH(CalKm[[#This Row],[Reactor]],ReactorList,0)),"")</f>
        <v/>
      </c>
      <c r="N10" s="309"/>
      <c r="O10" s="309"/>
    </row>
    <row r="11">
      <c r="A11" s="309"/>
      <c r="B11" s="227"/>
      <c r="C11" s="309"/>
      <c r="D11" s="309"/>
      <c r="E11" s="309"/>
      <c r="F11" s="309"/>
      <c r="G11" s="309"/>
      <c r="H11" s="309"/>
      <c r="I11" s="309"/>
      <c r="J11" s="309"/>
      <c r="K11" s="201" t="str">
        <f>IF(OR(CalKm[[#This Row],[Limiting current (mA)]]="",CalKm[[#This Row],[Electrode area (cm²)]]="",CalKm[[#This Row],[Ferricyanide (mM)]]=""),"",IFERROR((CalKm[[#This Row],[Limiting current (mA)]]/1000)/(Calibrations!n_e_fcn*Calibrations!F_const*(CalKm[[#This Row],[Electrode area (cm²)]]/10000)*CalKm[[#This Row],[Ferricyanide (mM)]])*100,""))</f>
        <v/>
      </c>
      <c r="L11" s="201" t="str">
        <f>IF(OR(CalKm[[#This Row],[k_m ferricyanide (computed, cm/s)]]="",CalKm[[#This Row],[D ferricyanide (m²/s)]]=""),"",IFERROR(CalKm[[#This Row],[k_m ferricyanide (computed, cm/s)]]*(Calibrations!D_O2/CalKm[[#This Row],[D ferricyanide (m²/s)]])^Calibrations!km_exp,""))</f>
        <v/>
      </c>
      <c r="M11" s="201" t="str">
        <f>IFERROR(INDEX(ReactorTypeList,MATCH(CalKm[[#This Row],[Reactor]],ReactorList,0)),"")</f>
        <v/>
      </c>
      <c r="N11" s="309"/>
      <c r="O11" s="309"/>
    </row>
    <row r="12">
      <c r="A12" s="309"/>
      <c r="B12" s="227"/>
      <c r="C12" s="309"/>
      <c r="D12" s="309"/>
      <c r="E12" s="309"/>
      <c r="F12" s="309"/>
      <c r="G12" s="309"/>
      <c r="H12" s="309"/>
      <c r="I12" s="309"/>
      <c r="J12" s="309"/>
      <c r="K12" s="201" t="str">
        <f>IF(OR(CalKm[[#This Row],[Limiting current (mA)]]="",CalKm[[#This Row],[Electrode area (cm²)]]="",CalKm[[#This Row],[Ferricyanide (mM)]]=""),"",IFERROR((CalKm[[#This Row],[Limiting current (mA)]]/1000)/(Calibrations!n_e_fcn*Calibrations!F_const*(CalKm[[#This Row],[Electrode area (cm²)]]/10000)*CalKm[[#This Row],[Ferricyanide (mM)]])*100,""))</f>
        <v/>
      </c>
      <c r="L12" s="201" t="str">
        <f>IF(OR(CalKm[[#This Row],[k_m ferricyanide (computed, cm/s)]]="",CalKm[[#This Row],[D ferricyanide (m²/s)]]=""),"",IFERROR(CalKm[[#This Row],[k_m ferricyanide (computed, cm/s)]]*(Calibrations!D_O2/CalKm[[#This Row],[D ferricyanide (m²/s)]])^Calibrations!km_exp,""))</f>
        <v/>
      </c>
      <c r="M12" s="201" t="str">
        <f>IFERROR(INDEX(ReactorTypeList,MATCH(CalKm[[#This Row],[Reactor]],ReactorList,0)),"")</f>
        <v/>
      </c>
      <c r="N12" s="309"/>
      <c r="O12" s="309"/>
    </row>
    <row r="13">
      <c r="A13" s="309"/>
      <c r="B13" s="227"/>
      <c r="C13" s="309"/>
      <c r="D13" s="309"/>
      <c r="E13" s="309"/>
      <c r="F13" s="309"/>
      <c r="G13" s="309"/>
      <c r="H13" s="309"/>
      <c r="I13" s="309"/>
      <c r="J13" s="309"/>
      <c r="K13" s="201" t="str">
        <f>IF(OR(CalKm[[#This Row],[Limiting current (mA)]]="",CalKm[[#This Row],[Electrode area (cm²)]]="",CalKm[[#This Row],[Ferricyanide (mM)]]=""),"",IFERROR((CalKm[[#This Row],[Limiting current (mA)]]/1000)/(Calibrations!n_e_fcn*Calibrations!F_const*(CalKm[[#This Row],[Electrode area (cm²)]]/10000)*CalKm[[#This Row],[Ferricyanide (mM)]])*100,""))</f>
        <v/>
      </c>
      <c r="L13" s="201" t="str">
        <f>IF(OR(CalKm[[#This Row],[k_m ferricyanide (computed, cm/s)]]="",CalKm[[#This Row],[D ferricyanide (m²/s)]]=""),"",IFERROR(CalKm[[#This Row],[k_m ferricyanide (computed, cm/s)]]*(Calibrations!D_O2/CalKm[[#This Row],[D ferricyanide (m²/s)]])^Calibrations!km_exp,""))</f>
        <v/>
      </c>
      <c r="M13" s="201" t="str">
        <f>IFERROR(INDEX(ReactorTypeList,MATCH(CalKm[[#This Row],[Reactor]],ReactorList,0)),"")</f>
        <v/>
      </c>
      <c r="N13" s="309"/>
      <c r="O13" s="309"/>
    </row>
    <row r="14">
      <c r="A14" s="309"/>
      <c r="B14" s="227"/>
      <c r="C14" s="309"/>
      <c r="D14" s="309"/>
      <c r="E14" s="309"/>
      <c r="F14" s="309"/>
      <c r="G14" s="309"/>
      <c r="H14" s="309"/>
      <c r="I14" s="309"/>
      <c r="J14" s="309"/>
      <c r="K14" s="201" t="str">
        <f>IF(OR(CalKm[[#This Row],[Limiting current (mA)]]="",CalKm[[#This Row],[Electrode area (cm²)]]="",CalKm[[#This Row],[Ferricyanide (mM)]]=""),"",IFERROR((CalKm[[#This Row],[Limiting current (mA)]]/1000)/(Calibrations!n_e_fcn*Calibrations!F_const*(CalKm[[#This Row],[Electrode area (cm²)]]/10000)*CalKm[[#This Row],[Ferricyanide (mM)]])*100,""))</f>
        <v/>
      </c>
      <c r="L14" s="201" t="str">
        <f>IF(OR(CalKm[[#This Row],[k_m ferricyanide (computed, cm/s)]]="",CalKm[[#This Row],[D ferricyanide (m²/s)]]=""),"",IFERROR(CalKm[[#This Row],[k_m ferricyanide (computed, cm/s)]]*(Calibrations!D_O2/CalKm[[#This Row],[D ferricyanide (m²/s)]])^Calibrations!km_exp,""))</f>
        <v/>
      </c>
      <c r="M14" s="201" t="str">
        <f>IFERROR(INDEX(ReactorTypeList,MATCH(CalKm[[#This Row],[Reactor]],ReactorList,0)),"")</f>
        <v/>
      </c>
      <c r="N14" s="309"/>
      <c r="O14" s="309"/>
    </row>
    <row r="15">
      <c r="A15" s="309"/>
      <c r="B15" s="227"/>
      <c r="C15" s="309"/>
      <c r="D15" s="309"/>
      <c r="E15" s="309"/>
      <c r="F15" s="309"/>
      <c r="G15" s="309"/>
      <c r="H15" s="309"/>
      <c r="I15" s="309"/>
      <c r="J15" s="309"/>
      <c r="K15" s="201" t="str">
        <f>IF(OR(CalKm[[#This Row],[Limiting current (mA)]]="",CalKm[[#This Row],[Electrode area (cm²)]]="",CalKm[[#This Row],[Ferricyanide (mM)]]=""),"",IFERROR((CalKm[[#This Row],[Limiting current (mA)]]/1000)/(Calibrations!n_e_fcn*Calibrations!F_const*(CalKm[[#This Row],[Electrode area (cm²)]]/10000)*CalKm[[#This Row],[Ferricyanide (mM)]])*100,""))</f>
        <v/>
      </c>
      <c r="L15" s="201" t="str">
        <f>IF(OR(CalKm[[#This Row],[k_m ferricyanide (computed, cm/s)]]="",CalKm[[#This Row],[D ferricyanide (m²/s)]]=""),"",IFERROR(CalKm[[#This Row],[k_m ferricyanide (computed, cm/s)]]*(Calibrations!D_O2/CalKm[[#This Row],[D ferricyanide (m²/s)]])^Calibrations!km_exp,""))</f>
        <v/>
      </c>
      <c r="M15" s="201" t="str">
        <f>IFERROR(INDEX(ReactorTypeList,MATCH(CalKm[[#This Row],[Reactor]],ReactorList,0)),"")</f>
        <v/>
      </c>
      <c r="N15" s="309"/>
      <c r="O15" s="309"/>
    </row>
  </sheetData>
  <dataValidations count="3">
    <dataValidation type="list" allowBlank="1" showErrorMessage="1" errorTitle="Invalid value" error="Choose from the list." sqref="C8:C15">
      <formula1>ReactorList</formula1>
    </dataValidation>
    <dataValidation type="list" allowBlank="1" showErrorMessage="1" errorTitle="Invalid value" error="Choose from the list." sqref="N8:N15">
      <formula1>"y,n"</formula1>
    </dataValidation>
    <dataValidation type="list" allowBlank="1" showErrorMessage="1" errorTitle="Invalid value" error="Choose from the list." sqref="D8:D15">
      <formula1>ElectrodeList</formula1>
    </dataValidation>
  </dataValidations>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sheetPr>
    <tabColor rgb="FFA5A5A5"/>
  </sheetPr>
  <dimension ref="A1:L15"/>
  <sheetViews>
    <sheetView workbookViewId="0">
      <pane ySplit="7" topLeftCell="A8" activePane="bottomLeft" state="frozen"/>
      <selection pane="bottomLeft" activeCell="A8" sqref="A8"/>
    </sheetView>
  </sheetViews>
  <sheetFormatPr defaultRowHeight="15"/>
  <cols>
    <col min="1" max="1" width="16" customWidth="1"/>
    <col min="2" max="2" width="12" customWidth="1"/>
    <col min="3" max="12" width="15" customWidth="1"/>
  </cols>
  <sheetData>
    <row r="1">
      <c r="A1" s="263" t="inlineStr">
        <is>
          <t xml:space="preserve">CALIBRATION LOG – MONOCHLORAMINE LIFETIME  (DPD combined chlorine at plateau)</t>
        </is>
      </c>
      <c r="B1" s="263"/>
      <c r="C1" s="263"/>
      <c r="D1" s="263"/>
      <c r="E1" s="263"/>
      <c r="F1" s="263"/>
      <c r="G1" s="263"/>
      <c r="H1" s="263"/>
      <c r="I1" s="263"/>
      <c r="J1" s="263"/>
      <c r="K1" s="263"/>
      <c r="L1" s="263"/>
    </row>
    <row r="2">
      <c r="A2" s="243" t="str">
        <f>HYPERLINK("https://github.com/amy-bo/electroPioreactor/blob/AEP02/Media/protocols/chlorine-species.md","Protocol (opens on GitHub)")</f>
        <v>Protocol (opens on GitHub)</v>
      </c>
    </row>
    <row r="3">
      <c r="A3" s="269"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monochloramine lifetime</t>
        </is>
      </c>
      <c r="C5" s="265" t="inlineStr">
        <is>
          <t xml:space="preserve">h</t>
        </is>
      </c>
      <c r="D5" s="201" t="str">
        <f>cal_tau_NH2Cl</f>
        <v>no included runs — model uses its default</v>
      </c>
    </row>
    <row r="7" ht="45" customHeight="1">
      <c r="A7" s="264" t="inlineStr">
        <is>
          <t xml:space="preserve">Researcher</t>
        </is>
      </c>
      <c r="B7" s="264" t="inlineStr">
        <is>
          <t xml:space="preserve">Date</t>
        </is>
      </c>
      <c r="C7" s="264" t="inlineStr">
        <is>
          <t xml:space="preserve">Reactor</t>
        </is>
      </c>
      <c r="D7" s="264" t="inlineStr">
        <is>
          <t xml:space="preserve">Medium</t>
        </is>
      </c>
      <c r="E7" s="264" t="inlineStr">
        <is>
          <t xml:space="preserve">Combined chlorine plateau (mg/L as Cl₂)</t>
        </is>
      </c>
      <c r="F7" s="264" t="inlineStr">
        <is>
          <t xml:space="preserve">Chloride turnover k (1/s)</t>
        </is>
      </c>
      <c r="G7" s="264" t="inlineStr">
        <is>
          <t xml:space="preserve">Chloride pool C (mol/L)</t>
        </is>
      </c>
      <c r="H7" s="264" t="inlineStr">
        <is>
          <t xml:space="preserve">Max production P (mol/L/s)</t>
        </is>
      </c>
      <c r="I7" s="264" t="inlineStr">
        <is>
          <t xml:space="preserve">Lifetime (computed, h)</t>
        </is>
      </c>
      <c r="J7" s="264" t="inlineStr">
        <is>
          <t xml:space="preserve">Type (auto)</t>
        </is>
      </c>
      <c r="K7" s="264" t="inlineStr">
        <is>
          <t xml:space="preserve">Include?</t>
        </is>
      </c>
      <c r="L7" s="264" t="inlineStr">
        <is>
          <t xml:space="preserve">Notes</t>
        </is>
      </c>
    </row>
    <row r="8">
      <c r="A8" s="309"/>
      <c r="B8" s="227"/>
      <c r="C8" s="309"/>
      <c r="D8" s="309"/>
      <c r="E8" s="309"/>
      <c r="F8" s="309"/>
      <c r="G8" s="309"/>
      <c r="H8" s="309"/>
      <c r="I8"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8" s="201" t="str">
        <f>IFERROR(INDEX(ReactorTypeList,MATCH(CalChloramine[[#This Row],[Reactor]],ReactorList,0)),"")</f>
        <v/>
      </c>
      <c r="K8" s="309"/>
      <c r="L8" s="309"/>
    </row>
    <row r="9">
      <c r="A9" s="309"/>
      <c r="B9" s="227"/>
      <c r="C9" s="309"/>
      <c r="D9" s="309"/>
      <c r="E9" s="309"/>
      <c r="F9" s="309"/>
      <c r="G9" s="309"/>
      <c r="H9" s="309"/>
      <c r="I9"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9" s="201" t="str">
        <f>IFERROR(INDEX(ReactorTypeList,MATCH(CalChloramine[[#This Row],[Reactor]],ReactorList,0)),"")</f>
        <v/>
      </c>
      <c r="K9" s="309"/>
      <c r="L9" s="309"/>
    </row>
    <row r="10">
      <c r="A10" s="309"/>
      <c r="B10" s="227"/>
      <c r="C10" s="309"/>
      <c r="D10" s="309"/>
      <c r="E10" s="309"/>
      <c r="F10" s="309"/>
      <c r="G10" s="309"/>
      <c r="H10" s="309"/>
      <c r="I10"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10" s="201" t="str">
        <f>IFERROR(INDEX(ReactorTypeList,MATCH(CalChloramine[[#This Row],[Reactor]],ReactorList,0)),"")</f>
        <v/>
      </c>
      <c r="K10" s="309"/>
      <c r="L10" s="309"/>
    </row>
    <row r="11">
      <c r="A11" s="309"/>
      <c r="B11" s="227"/>
      <c r="C11" s="309"/>
      <c r="D11" s="309"/>
      <c r="E11" s="309"/>
      <c r="F11" s="309"/>
      <c r="G11" s="309"/>
      <c r="H11" s="309"/>
      <c r="I11"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11" s="201" t="str">
        <f>IFERROR(INDEX(ReactorTypeList,MATCH(CalChloramine[[#This Row],[Reactor]],ReactorList,0)),"")</f>
        <v/>
      </c>
      <c r="K11" s="309"/>
      <c r="L11" s="309"/>
    </row>
    <row r="12">
      <c r="A12" s="309"/>
      <c r="B12" s="227"/>
      <c r="C12" s="309"/>
      <c r="D12" s="309"/>
      <c r="E12" s="309"/>
      <c r="F12" s="309"/>
      <c r="G12" s="309"/>
      <c r="H12" s="309"/>
      <c r="I12"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12" s="201" t="str">
        <f>IFERROR(INDEX(ReactorTypeList,MATCH(CalChloramine[[#This Row],[Reactor]],ReactorList,0)),"")</f>
        <v/>
      </c>
      <c r="K12" s="309"/>
      <c r="L12" s="309"/>
    </row>
    <row r="13">
      <c r="A13" s="309"/>
      <c r="B13" s="227"/>
      <c r="C13" s="309"/>
      <c r="D13" s="309"/>
      <c r="E13" s="309"/>
      <c r="F13" s="309"/>
      <c r="G13" s="309"/>
      <c r="H13" s="309"/>
      <c r="I13"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13" s="201" t="str">
        <f>IFERROR(INDEX(ReactorTypeList,MATCH(CalChloramine[[#This Row],[Reactor]],ReactorList,0)),"")</f>
        <v/>
      </c>
      <c r="K13" s="309"/>
      <c r="L13" s="309"/>
    </row>
    <row r="14">
      <c r="A14" s="309"/>
      <c r="B14" s="227"/>
      <c r="C14" s="309"/>
      <c r="D14" s="309"/>
      <c r="E14" s="309"/>
      <c r="F14" s="309"/>
      <c r="G14" s="309"/>
      <c r="H14" s="309"/>
      <c r="I14"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14" s="201" t="str">
        <f>IFERROR(INDEX(ReactorTypeList,MATCH(CalChloramine[[#This Row],[Reactor]],ReactorList,0)),"")</f>
        <v/>
      </c>
      <c r="K14" s="309"/>
      <c r="L14" s="309"/>
    </row>
    <row r="15">
      <c r="A15" s="309"/>
      <c r="B15" s="227"/>
      <c r="C15" s="309"/>
      <c r="D15" s="309"/>
      <c r="E15" s="309"/>
      <c r="F15" s="309"/>
      <c r="G15" s="309"/>
      <c r="H15" s="309"/>
      <c r="I15"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15" s="201" t="str">
        <f>IFERROR(INDEX(ReactorTypeList,MATCH(CalChloramine[[#This Row],[Reactor]],ReactorList,0)),"")</f>
        <v/>
      </c>
      <c r="K15" s="309"/>
      <c r="L15" s="309"/>
    </row>
  </sheetData>
  <dataValidations count="3">
    <dataValidation type="list" allowBlank="1" showErrorMessage="1" errorTitle="Invalid value" error="Choose from the list." sqref="C8:C15">
      <formula1>ReactorList</formula1>
    </dataValidation>
    <dataValidation type="list" allowBlank="1" showErrorMessage="1" errorTitle="Invalid value" error="Choose from the list." sqref="K8:K15">
      <formula1>"y,n"</formula1>
    </dataValidation>
    <dataValidation type="list" allowBlank="1" showErrorMessage="1" errorTitle="Invalid value" error="Choose from the list." sqref="D8:D15">
      <formula1>MediaList</formula1>
    </dataValidation>
  </dataValidations>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sheetPr>
    <tabColor rgb="FFA5A5A5"/>
  </sheetPr>
  <dimension ref="A1:J25"/>
  <sheetViews>
    <sheetView workbookViewId="0">
      <pane ySplit="5" topLeftCell="A6" activePane="bottomLeft" state="frozen"/>
      <selection pane="bottomLeft" activeCell="A6" sqref="A6"/>
    </sheetView>
  </sheetViews>
  <sheetFormatPr defaultRowHeight="15"/>
  <cols>
    <col min="1" max="1" width="16" customWidth="1"/>
    <col min="2" max="2" width="12" customWidth="1"/>
    <col min="3" max="10" width="15" customWidth="1"/>
  </cols>
  <sheetData>
    <row r="1">
      <c r="A1" s="263" t="inlineStr">
        <is>
          <t xml:space="preserve">EXPERIMENT RECORD – one row per experiment done; leave a condition blank when the result holds for any value of it</t>
        </is>
      </c>
      <c r="B1" s="263"/>
      <c r="C1" s="263"/>
      <c r="D1" s="263"/>
      <c r="E1" s="263"/>
      <c r="F1" s="263"/>
      <c r="G1" s="263"/>
      <c r="H1" s="263"/>
      <c r="I1" s="263"/>
      <c r="J1" s="263"/>
    </row>
    <row r="2">
      <c r="A2" s="269" t="inlineStr">
        <is>
          <t xml:space="preserve">Status in Summary column D: Done or Approximate when the recorded conditions match. A completion record does not itself replace an operative parameter or validate growth/productivity; the additional Summary validation rows are manual evidence statuses.</t>
        </is>
      </c>
    </row>
    <row r="3">
      <c r="A3" s="269" t="inlineStr">
        <is>
          <t xml:space="preserve">Add an experiment: type it in the first empty row under the table; it grows on its own. Summary column D (experiment status) reads it.</t>
        </is>
      </c>
    </row>
    <row r="5" ht="45" customHeight="1">
      <c r="A5" s="264" t="inlineStr">
        <is>
          <t xml:space="preserve">Researcher</t>
        </is>
      </c>
      <c r="B5" s="264" t="inlineStr">
        <is>
          <t xml:space="preserve">Date</t>
        </is>
      </c>
      <c r="C5" s="264" t="inlineStr">
        <is>
          <t xml:space="preserve">Experiment (Summary list)</t>
        </is>
      </c>
      <c r="D5" s="264" t="inlineStr">
        <is>
          <t xml:space="preserve">Reactor or type</t>
        </is>
      </c>
      <c r="E5" s="264" t="inlineStr">
        <is>
          <t xml:space="preserve">Electrode</t>
        </is>
      </c>
      <c r="F5" s="264" t="inlineStr">
        <is>
          <t xml:space="preserve">Organism</t>
        </is>
      </c>
      <c r="G5" s="264" t="inlineStr">
        <is>
          <t xml:space="preserve">Medium</t>
        </is>
      </c>
      <c r="H5" s="264" t="inlineStr">
        <is>
          <t xml:space="preserve">Temp (°C)</t>
        </is>
      </c>
      <c r="I5" s="264" t="inlineStr">
        <is>
          <t xml:space="preserve">Result</t>
        </is>
      </c>
      <c r="J5" s="264" t="inlineStr">
        <is>
          <t xml:space="preserve">Notes</t>
        </is>
      </c>
    </row>
    <row r="6">
      <c r="A6" s="268" t="inlineStr">
        <is>
          <t xml:space="preserve">Edinburgh MSc</t>
        </is>
      </c>
      <c r="B6" s="227"/>
      <c r="C6" s="268" t="inlineStr">
        <is>
          <t xml:space="preserve">Measure the cell voltage at a known setpoint</t>
        </is>
      </c>
      <c r="D6" s="268" t="inlineStr">
        <is>
          <t xml:space="preserve">MEP0.3</t>
        </is>
      </c>
      <c r="E6" s="268"/>
      <c r="F6" s="268"/>
      <c r="G6" s="268" t="inlineStr">
        <is>
          <t xml:space="preserve">UdG phosphate</t>
        </is>
      </c>
      <c r="H6" s="268">
        <v>30.0</v>
      </c>
      <c r="I6" s="268" t="inlineStr">
        <is>
          <t xml:space="preserve">Approximate</t>
        </is>
      </c>
      <c r="J6" s="268" t="inlineStr">
        <is>
          <t xml:space="preserve">About 3.4 V at 3 % power in Exp 1 (ed04/ed05, lab notebook, June 2026); meter and electrode not recorded.</t>
        </is>
      </c>
    </row>
    <row r="7">
      <c r="A7" s="268" t="inlineStr">
        <is>
          <t xml:space="preserve">Edinburgh MSc</t>
        </is>
      </c>
      <c r="B7" s="227">
        <v>46190.0</v>
      </c>
      <c r="C7" s="268" t="inlineStr">
        <is>
          <t xml:space="preserve">Sparger-attached flow check</t>
        </is>
      </c>
      <c r="D7" s="268" t="inlineStr">
        <is>
          <t xml:space="preserve">ed04</t>
        </is>
      </c>
      <c r="E7" s="268"/>
      <c r="F7" s="268"/>
      <c r="G7" s="268"/>
      <c r="H7" s="268"/>
      <c r="I7" s="268" t="inlineStr">
        <is>
          <t xml:space="preserve">Approximate</t>
        </is>
      </c>
      <c r="J7" s="268" t="inlineStr">
        <is>
          <t xml:space="preserve">Pulse ladder 0.1–4 s on 17 Jun 2026 (CO2 flows rows 4–46), collected from the inlet tube because the cap leaked, not through the sparger.</t>
        </is>
      </c>
    </row>
    <row r="8">
      <c r="A8" s="268" t="inlineStr">
        <is>
          <t xml:space="preserve">Edinburgh MSc</t>
        </is>
      </c>
      <c r="B8" s="227">
        <v>46190.0</v>
      </c>
      <c r="C8" s="268" t="inlineStr">
        <is>
          <t xml:space="preserve">Bench-characterise the solenoid pulse floor</t>
        </is>
      </c>
      <c r="D8" s="268" t="inlineStr">
        <is>
          <t xml:space="preserve">ed04</t>
        </is>
      </c>
      <c r="E8" s="268"/>
      <c r="F8" s="268"/>
      <c r="G8" s="268"/>
      <c r="H8" s="268"/>
      <c r="I8" s="268" t="inlineStr">
        <is>
          <t xml:space="preserve">Approximate</t>
        </is>
      </c>
      <c r="J8" s="268" t="inlineStr">
        <is>
          <t xml:space="preserve">0.25 s minimum sparge from the same ladder (CO2 flows I4); 0.1 and 0.2 s pulses tried, two outliers excluded (column L).</t>
        </is>
      </c>
    </row>
    <row r="9">
      <c r="A9" s="268" t="inlineStr">
        <is>
          <t xml:space="preserve">Edinburgh MSc</t>
        </is>
      </c>
      <c r="B9" s="227">
        <v>46190.0</v>
      </c>
      <c r="C9" s="268" t="inlineStr">
        <is>
          <t xml:space="preserve">No-carryover maximum flow</t>
        </is>
      </c>
      <c r="D9" s="268" t="inlineStr">
        <is>
          <t xml:space="preserve">ed04</t>
        </is>
      </c>
      <c r="E9" s="268"/>
      <c r="F9" s="268"/>
      <c r="G9" s="268"/>
      <c r="H9" s="268"/>
      <c r="I9" s="268" t="inlineStr">
        <is>
          <t xml:space="preserve">Approximate</t>
        </is>
      </c>
      <c r="J9" s="268" t="inlineStr">
        <is>
          <t xml:space="preserve">3.33 mL/s set by inspection as the most that keeps bubbles out of the vial neck (CO2 flows J4); column K not yet entered.</t>
        </is>
      </c>
    </row>
    <row r="10">
      <c r="A10"/>
      <c r="B10"/>
      <c r="C10"/>
      <c r="D10"/>
      <c r="E10"/>
      <c r="F10"/>
      <c r="G10"/>
      <c r="H10"/>
      <c r="I10"/>
      <c r="J10"/>
    </row>
    <row r="11">
      <c r="A11"/>
      <c r="B11"/>
      <c r="C11"/>
      <c r="D11"/>
      <c r="E11"/>
      <c r="F11"/>
      <c r="G11"/>
      <c r="H11"/>
      <c r="I11"/>
      <c r="J11"/>
    </row>
    <row r="12">
      <c r="A12"/>
      <c r="B12"/>
      <c r="C12"/>
      <c r="D12"/>
      <c r="E12"/>
      <c r="F12"/>
      <c r="G12"/>
      <c r="H12"/>
      <c r="I12"/>
      <c r="J12"/>
    </row>
    <row r="13">
      <c r="A13"/>
      <c r="B13"/>
      <c r="C13"/>
      <c r="D13"/>
      <c r="E13"/>
      <c r="F13"/>
      <c r="G13"/>
      <c r="H13"/>
      <c r="I13"/>
      <c r="J13"/>
    </row>
    <row r="14">
      <c r="A14"/>
      <c r="B14"/>
      <c r="C14"/>
      <c r="D14"/>
      <c r="E14"/>
      <c r="F14"/>
      <c r="G14"/>
      <c r="H14"/>
      <c r="I14"/>
      <c r="J14"/>
    </row>
    <row r="15">
      <c r="A15"/>
      <c r="B15"/>
      <c r="C15"/>
      <c r="D15"/>
      <c r="E15"/>
      <c r="F15"/>
      <c r="G15"/>
      <c r="H15"/>
      <c r="I15"/>
      <c r="J15"/>
    </row>
    <row r="16">
      <c r="A16"/>
      <c r="B16"/>
      <c r="C16"/>
      <c r="D16"/>
      <c r="E16"/>
      <c r="F16"/>
      <c r="G16"/>
      <c r="H16"/>
      <c r="I16"/>
      <c r="J16"/>
    </row>
    <row r="17">
      <c r="A17"/>
      <c r="B17"/>
      <c r="C17"/>
      <c r="D17"/>
      <c r="E17"/>
      <c r="F17"/>
      <c r="G17"/>
      <c r="H17"/>
      <c r="I17"/>
      <c r="J17"/>
    </row>
    <row r="18">
      <c r="A18"/>
      <c r="B18"/>
      <c r="C18"/>
      <c r="D18"/>
      <c r="E18"/>
      <c r="F18"/>
      <c r="G18"/>
      <c r="H18"/>
      <c r="I18"/>
      <c r="J18"/>
    </row>
    <row r="19">
      <c r="A19"/>
      <c r="B19"/>
      <c r="C19"/>
      <c r="D19"/>
      <c r="E19"/>
      <c r="F19"/>
      <c r="G19"/>
      <c r="H19"/>
      <c r="I19"/>
      <c r="J19"/>
    </row>
    <row r="20">
      <c r="A20"/>
      <c r="B20"/>
      <c r="C20"/>
      <c r="D20"/>
      <c r="E20"/>
      <c r="F20"/>
      <c r="G20"/>
      <c r="H20"/>
      <c r="I20"/>
      <c r="J20"/>
    </row>
    <row r="21">
      <c r="A21"/>
      <c r="B21"/>
      <c r="C21"/>
      <c r="D21"/>
      <c r="E21"/>
      <c r="F21"/>
      <c r="G21"/>
      <c r="H21"/>
      <c r="I21"/>
      <c r="J21"/>
    </row>
    <row r="22">
      <c r="A22"/>
      <c r="B22"/>
      <c r="C22"/>
      <c r="D22"/>
      <c r="E22"/>
      <c r="F22"/>
      <c r="G22"/>
      <c r="H22"/>
      <c r="I22"/>
      <c r="J22"/>
    </row>
    <row r="23">
      <c r="A23"/>
      <c r="B23"/>
      <c r="C23"/>
      <c r="D23"/>
      <c r="E23"/>
      <c r="F23"/>
      <c r="G23"/>
      <c r="H23"/>
      <c r="I23"/>
      <c r="J23"/>
    </row>
    <row r="24">
      <c r="A24"/>
      <c r="B24"/>
      <c r="C24"/>
      <c r="D24"/>
      <c r="E24"/>
      <c r="F24"/>
      <c r="G24"/>
      <c r="H24"/>
      <c r="I24"/>
      <c r="J24"/>
    </row>
    <row r="25">
      <c r="A25"/>
      <c r="B25"/>
      <c r="C25"/>
      <c r="D25"/>
      <c r="E25"/>
      <c r="F25"/>
      <c r="G25"/>
      <c r="H25"/>
      <c r="I25"/>
      <c r="J25"/>
    </row>
  </sheetData>
  <dataValidations count="2">
    <dataValidation type="list" allowBlank="1" showErrorMessage="1" errorTitle="Invalid value" error="Choose from the list." sqref="C6:C25">
      <formula1>xs_list</formula1>
    </dataValidation>
    <dataValidation type="list" allowBlank="1" showErrorMessage="1" errorTitle="Invalid value" error="Choose from the list." sqref="I6:I25">
      <formula1>"Done,Approximate"</formula1>
    </dataValidation>
  </dataValidations>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sheetPr>
    <tabColor rgb="FF000000"/>
  </sheetPr>
  <dimension ref="A1:C24"/>
  <sheetViews>
    <sheetView workbookViewId="0"/>
  </sheetViews>
  <sheetFormatPr defaultRowHeight="15"/>
  <cols>
    <col min="1" max="1" width="22" customWidth="1"/>
    <col min="2" max="2" width="90" customWidth="1"/>
    <col min="3" max="3" width="50" customWidth="1"/>
  </cols>
  <sheetData>
    <row r="1">
      <c r="A1" s="263" t="inlineStr">
        <is>
          <t xml:space="preserve">CONTENTS – electroPioreactor gas model</t>
        </is>
      </c>
      <c r="B1" s="263"/>
      <c r="C1" s="263"/>
    </row>
    <row r="2">
      <c r="A2" s="269" t="inlineStr">
        <is>
          <t xml:space="preserve">Click a sheet name to open it. Blue bold cells are inputs; black cells are calculated; the Key on Summary explains the fills.</t>
        </is>
      </c>
    </row>
    <row r="4">
      <c r="A4" s="278" t="inlineStr">
        <is>
          <t xml:space="preserve">START HERE</t>
        </is>
      </c>
      <c r="B4" s="278"/>
      <c r="C4" s="278"/>
    </row>
    <row r="5">
      <c r="A5" s="243" t="str">
        <f>HYPERLINK("#'Summary'!A1","Summary")</f>
        <v>Summary</v>
      </c>
      <c r="B5" s="270" t="inlineStr">
        <is>
          <t xml:space="preserve">Choose the reactor, electrode, organism, medium and settings; read the CO₂ schedule, pH, DO and safety results; see which experiments are still needed.</t>
        </is>
      </c>
      <c r="C5"/>
    </row>
    <row r="7">
      <c r="A7" s="278" t="inlineStr">
        <is>
          <t xml:space="preserve">LIBRARIES – add a row or column and every dropdown and calculation follows</t>
        </is>
      </c>
      <c r="B7" s="278"/>
      <c r="C7" s="278"/>
    </row>
    <row r="8">
      <c r="A8" s="243" t="str">
        <f>HYPERLINK("#'Media'!A1","Media")</f>
        <v>Media</v>
      </c>
      <c r="B8" s="270" t="inlineStr">
        <is>
          <t xml:space="preserve">Every growth medium side by side, its full recipe and the chemistry the model uses.</t>
        </is>
      </c>
      <c r="C8" s="270" t="inlineStr">
        <is>
          <t xml:space="preserve">Type a new medium name in the first empty column of the table.</t>
        </is>
      </c>
    </row>
    <row r="9">
      <c r="A9" s="243" t="str">
        <f>HYPERLINK("#'Reactors'!A1","Reactors")</f>
        <v>Reactors</v>
      </c>
      <c r="B9" s="270" t="inlineStr">
        <is>
          <t xml:space="preserve">Each reactor ID and its type; the geometry of each reactor type.</t>
        </is>
      </c>
      <c r="C9" s="270" t="inlineStr">
        <is>
          <t xml:space="preserve">Type a new row under either table.</t>
        </is>
      </c>
    </row>
    <row r="10">
      <c r="A10" s="243" t="str">
        <f>HYPERLINK("#'Electrodes'!A1","Electrodes")</f>
        <v>Electrodes</v>
      </c>
      <c r="B10" s="270" t="inlineStr">
        <is>
          <t xml:space="preserve">Electrode assemblies: materials, sparger, porosity, current-density limits.</t>
        </is>
      </c>
      <c r="C10" s="270" t="inlineStr">
        <is>
          <t xml:space="preserve">Type a new row under the table.</t>
        </is>
      </c>
    </row>
    <row r="11">
      <c r="A11" s="243" t="str">
        <f>HYPERLINK("#'Organisms'!A1","Organisms")</f>
        <v>Organisms</v>
      </c>
      <c r="B11" s="270" t="inlineStr">
        <is>
          <t xml:space="preserve">Dissolved-O₂ thresholds and tolerated current densities of each organism.</t>
        </is>
      </c>
      <c r="C11" s="270" t="inlineStr">
        <is>
          <t xml:space="preserve">Type a new row under the table.</t>
        </is>
      </c>
    </row>
    <row r="13">
      <c r="A13" s="278" t="inlineStr">
        <is>
          <t xml:space="preserve">MEASUREMENTS – your bench data; each log is a table that grows</t>
        </is>
      </c>
      <c r="B13" s="278"/>
      <c r="C13" s="278"/>
    </row>
    <row r="14">
      <c r="A14" s="243" t="str">
        <f>HYPERLINK("#'CO2 flows'!A1","CO2 flows")</f>
        <v>CO2 flows</v>
      </c>
      <c r="B14" s="270" t="inlineStr">
        <is>
          <t xml:space="preserve">CO₂ flow measurements behind the pulse-volume fit.</t>
        </is>
      </c>
      <c r="C14" s="270" t="inlineStr">
        <is>
          <t xml:space="preserve">Type a new row under the table.</t>
        </is>
      </c>
    </row>
    <row r="15">
      <c r="A15" s="243" t="str">
        <f>HYPERLINK("#'Calibrations'!A1","Calibrations")</f>
        <v>Calibrations</v>
      </c>
      <c r="B15" s="270" t="inlineStr">
        <is>
          <t xml:space="preserve">Overview: the value in use for each calibration, with links to the logs (grey tabs), and the experiment status logic.</t>
        </is>
      </c>
      <c r="C15" s="270" t="inlineStr">
        <is>
          <t xml:space="preserve">Open a log from here.</t>
        </is>
      </c>
    </row>
    <row r="16">
      <c r="A16" s="243" t="str">
        <f>HYPERLINK("#'Experiments'!A1","Experiments")</f>
        <v>Experiments</v>
      </c>
      <c r="B16" s="270" t="inlineStr">
        <is>
          <t xml:space="preserve">One row per experiment done; feeds the experiment status on Summary.</t>
        </is>
      </c>
      <c r="C16" s="270" t="inlineStr">
        <is>
          <t xml:space="preserve">Type a new row under the table.</t>
        </is>
      </c>
    </row>
    <row r="17">
      <c r="A17" s="269" t="inlineStr">
        <is>
          <t xml:space="preserve">Calibration logs: Cal current, Cal faradaic, Cal kLa, Cal CO2 flow, Cal vial, Cal sinter, Cal DO, Cal knallgas, Cal j screen, Cal km, Cal chloramine</t>
        </is>
      </c>
    </row>
    <row r="19">
      <c r="A19" s="278" t="inlineStr">
        <is>
          <t xml:space="preserve">CALCULATIONS – the model; read rather than edit (blue cells are inputs you may change)</t>
        </is>
      </c>
      <c r="B19" s="278"/>
      <c r="C19" s="278"/>
    </row>
    <row r="20">
      <c r="A20" s="243" t="str">
        <f>HYPERLINK("#'Geometry'!A1","Geometry")</f>
        <v>Geometry</v>
      </c>
      <c r="B20" s="270" t="inlineStr">
        <is>
          <t xml:space="preserve">Vial, liquid level, headspace and electrode geometry.</t>
        </is>
      </c>
      <c r="C20"/>
    </row>
    <row r="21">
      <c r="A21" s="243" t="str">
        <f>HYPERLINK("#'Electrochemistry'!A1","Electrochemistry")</f>
        <v>Electrochemistry</v>
      </c>
      <c r="B21" s="270" t="inlineStr">
        <is>
          <t xml:space="preserve">Electrolysis current, gas rates, Faradaic efficiency, current density and voltage.</t>
        </is>
      </c>
      <c r="C21"/>
    </row>
    <row r="22">
      <c r="A22" s="243" t="str">
        <f>HYPERLINK("#'Chemistry'!A1","Chemistry")</f>
        <v>Chemistry</v>
      </c>
      <c r="B22" s="270" t="inlineStr">
        <is>
          <t xml:space="preserve">pH charge balance, chlorine, conductivity and the medium the Summary selects.</t>
        </is>
      </c>
      <c r="C22"/>
    </row>
    <row r="23">
      <c r="A23" s="243" t="str">
        <f>HYPERLINK("#'Biology'!A1","Biology")</f>
        <v>Biology</v>
      </c>
      <c r="B23" s="270" t="inlineStr">
        <is>
          <t xml:space="preserve">Temperature, gas solubility, organism DO band and gas demand.</t>
        </is>
      </c>
      <c r="C23"/>
    </row>
    <row r="24">
      <c r="A24" s="243" t="str">
        <f>HYPERLINK("#'Mass Transfer'!A1","Mass Transfer")</f>
        <v>Mass Transfer</v>
      </c>
      <c r="B24" s="270" t="inlineStr">
        <is>
          <t xml:space="preserve">CO₂ dosing, headspace balance, DO sawtooth and the pulse schedule.</t>
        </is>
      </c>
      <c r="C2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TitlesOfParts>
    <vt:vector size="25" baseType="lpstr">
      <vt:lpstr>Contents</vt:lpstr>
      <vt:lpstr>Summary</vt:lpstr>
      <vt:lpstr>Reactors</vt:lpstr>
      <vt:lpstr>Electrodes</vt:lpstr>
      <vt:lpstr>Organisms</vt:lpstr>
      <vt:lpstr>Media</vt:lpstr>
      <vt:lpstr>Geometry</vt:lpstr>
      <vt:lpstr>Electrochemistry</vt:lpstr>
      <vt:lpstr>Chemistry</vt:lpstr>
      <vt:lpstr>Biology</vt:lpstr>
      <vt:lpstr>Mass Transfer</vt:lpstr>
      <vt:lpstr>CO2 flows</vt:lpstr>
      <vt:lpstr>Calibrations</vt:lpstr>
      <vt:lpstr>Cal current</vt:lpstr>
      <vt:lpstr>Cal faradaic</vt:lpstr>
      <vt:lpstr>Cal kLa</vt:lpstr>
      <vt:lpstr>Cal CO2 flow</vt:lpstr>
      <vt:lpstr>Cal vial</vt:lpstr>
      <vt:lpstr>Cal sinter</vt:lpstr>
      <vt:lpstr>Cal DO</vt:lpstr>
      <vt:lpstr>Cal knallgas</vt:lpstr>
      <vt:lpstr>Cal j screen</vt:lpstr>
      <vt:lpstr>Cal km</vt:lpstr>
      <vt:lpstr>Cal chloramine</vt:lpstr>
      <vt:lpstr>Experiments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2026-10-21T21:12:23Z</dcterms:modified>
  <dc:language>en-US</dc:language>
</cp:coreProperties>
</file>