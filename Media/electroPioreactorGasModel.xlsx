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9D82822F-662F-D342-AB60-3D9DD02288F5}" xr6:coauthVersionLast="47" xr6:coauthVersionMax="47" xr10:uidLastSave="{00000000-0000-0000-0000-000000000000}"/>
  <bookViews>
    <workbookView xWindow="0" yWindow="580" windowWidth="1428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H2_sat" localSheetId="4">Biology!$D$41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l_mc02" localSheetId="3">Chemistry!$D$38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diss" localSheetId="4">Biology!$D$33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d_bubble" localSheetId="5">'Mass Transfer'!$D$42</definedName>
    <definedName name="d_bubble_mm" localSheetId="5">'Mass Transfer'!$D$43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cc" localSheetId="3">Chemistry!$D$7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OCl_max" localSheetId="3">Chemistry!$D$125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O2" localSheetId="4">Biology!$D$34</definedName>
    <definedName name="Kw_w" localSheetId="3">Chemistry!$D$19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pores_active" localSheetId="5">'Mass Transfer'!$D$61</definedName>
    <definedName name="nCO2_rate" localSheetId="5">'Mass Transfer'!$D$104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a_per_atm" localSheetId="4">Biology!$D$20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ref" localSheetId="4">Biology!$D$23</definedName>
    <definedName name="target_DO_frac" localSheetId="5">'Mass Transfer'!$D$84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FE_CER" localSheetId="3">Chemistry!$D$128</definedName>
    <definedName name="km_Cl" localSheetId="3">Chemistry!$D$129</definedName>
    <definedName name="A_anode" localSheetId="3">Chemistry!$D$130</definedName>
    <definedName name="I_Cl_FE" localSheetId="3">Chemistry!$D$131</definedName>
    <definedName name="I_Cl_mt" localSheetId="3">Chemistry!$D$132</definedName>
    <definedName name="I_Cl" localSheetId="3">Chemistry!$D$133</definedName>
    <definedName name="P_HOCl" localSheetId="3">Chemistry!$D$134</definedName>
    <definedName name="NH3_N" localSheetId="3">Chemistry!$D$135</definedName>
    <definedName name="k1_NH2Cl" localSheetId="3">Chemistry!$D$136</definedName>
    <definedName name="pKa_NH4" localSheetId="3">Chemistry!$D$137</definedName>
    <definedName name="NH3_free" localSheetId="3">Chemistry!$D$138</definedName>
    <definedName name="HOCl_ss" localSheetId="3">Chemistry!$D$139</definedName>
    <definedName name="HOCl_ss_mgL" localSheetId="3">Chemistry!$D$140</definedName>
    <definedName name="f_local" localSheetId="3">Chemistry!$D$141</definedName>
    <definedName name="tau_NH2Cl" localSheetId="3">Chemistry!$D$142</definedName>
    <definedName name="NH2Cl_mgL" localSheetId="3">Chemistry!$D$143</definedName>
    <definedName name="R_chloramine" localSheetId="3">Chemistry!$D$144</definedName>
    <definedName name="C_eff" localSheetId="3">Chemistry!$D$145</definedName>
    <definedName name="Cl_onset" localSheetId="3">Chemistry!$D$146</definedName>
    <definedName name="Cl_kill" localSheetId="3">Chemistry!$D$147</definedName>
  </definedName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<sst xmlns="http://schemas.openxmlformats.org/spreadsheetml/2006/main" count="1607" uniqueCount="1238">
  <si>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</si>
  <si>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</si>
  <si>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</si>
  <si>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</si>
  <si>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</si>
  <si>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</si>
  <si>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</si>
  <si>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</si>
  <si>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</si>
  <si>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</si>
  <si>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</si>
  <si>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</si>
  <si>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</si>
  <si>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</si>
  <si>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</si>
  <si>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</si>
  <si>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</si>
  <si>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</si>
  <si>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</si>
  <si>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</si>
  <si>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</si>
  <si>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</si>
  <si>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</si>
  <si>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</si>
  <si>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</si>
  <si>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</si>
  <si>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</si>
  <si>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</si>
  <si>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</si>
  <si>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</si>
  <si>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</si>
  <si>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</si>
  <si>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</si>
  <si>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</si>
  <si>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</si>
  <si>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</si>
  <si>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</si>
  <si>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</si>
  <si>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</si>
  <si>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</si>
  <si>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</si>
  <si>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</si>
  <si>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</si>
  <si>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</si>
  <si>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 intensity setpoint</t>
  </si>
  <si>
    <t>led_intensity</t>
  </si>
  <si>
    <t>%</t>
  </si>
  <si>
    <t>input</t>
  </si>
  <si>
    <t>Pioreactor LED channel % driving electrolysis current (Gerrit's Law, valid 3-25%).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</si>
  <si>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</si>
  <si>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</si>
  <si>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</si>
  <si>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</si>
  <si>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</si>
  <si>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</si>
  <si>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</si>
  <si>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</si>
  <si>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</si>
  <si>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</si>
  <si>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</si>
  <si>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</si>
  <si>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</si>
  <si>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</si>
  <si>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</si>
  <si>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</si>
  <si>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</si>
  <si>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</si>
  <si>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</si>
  <si>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</si>
  <si>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</si>
  <si>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</si>
  <si>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</si>
  <si>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</si>
  <si>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</si>
  <si>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</si>
  <si>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</si>
  <si>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</si>
  <si>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</si>
  <si>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</si>
  <si>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</si>
  <si>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</si>
  <si>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</si>
  <si>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</si>
  <si>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</si>
  <si>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</si>
  <si>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</si>
  <si>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</si>
  <si>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</si>
  <si>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</si>
  <si>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</si>
  <si>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</si>
  <si>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</si>
  <si>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</si>
  <si>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</si>
  <si>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</si>
  <si>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</si>
  <si>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</si>
  <si>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</si>
  <si>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</si>
  <si>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</si>
  <si>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</si>
  <si>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</si>
  <si>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</si>
  <si>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</si>
  <si>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</si>
  <si>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</si>
  <si>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</si>
  <si>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</si>
  <si>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</si>
  <si>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</si>
  <si>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</si>
  <si>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</si>
  <si>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</si>
  <si>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</si>
  <si>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</si>
  <si>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</si>
  <si>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</si>
  <si>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</si>
  <si>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</si>
  <si>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</si>
  <si>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</si>
  <si>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</si>
  <si>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</si>
  <si>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</si>
  <si>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</si>
  <si>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</si>
  <si>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</si>
  <si>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</si>
  <si>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</si>
  <si>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</si>
  <si>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</si>
  <si>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</si>
  <si>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</si>
  <si>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</si>
  <si>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</si>
  <si>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</si>
  <si>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</si>
  <si>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</si>
  <si>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</si>
  <si>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</si>
  <si>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</si>
  <si>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</si>
  <si>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</si>
  <si>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</si>
  <si>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</si>
  <si>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</si>
  <si>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</si>
  <si>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</si>
  <si>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</si>
  <si>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</si>
  <si>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</si>
  <si>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</si>
  <si>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</si>
  <si>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</si>
  <si>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</si>
  <si>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</si>
  <si>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</si>
  <si>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</si>
  <si>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</si>
  <si>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</si>
  <si>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</si>
  <si>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</si>
  <si>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</si>
  <si>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</si>
  <si>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</si>
  <si>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</si>
  <si>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</si>
  <si>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</si>
  <si>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</si>
  <si>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</si>
  <si>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</si>
  <si>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</si>
  <si>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</si>
  <si>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</si>
  <si>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</si>
  <si>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</si>
  <si>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</si>
  <si>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</si>
  <si>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</si>
  <si>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</si>
  <si>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</si>
  <si>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</si>
  <si>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</si>
  <si>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</si>
  <si>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</si>
  <si>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</si>
  <si>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</si>
  <si>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</si>
  <si>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</si>
  <si>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</si>
  <si>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</si>
  <si>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</si>
  <si>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</si>
  <si>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</si>
  <si>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</si>
  <si>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</si>
  <si>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</si>
  <si>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</si>
  <si>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</si>
  <si>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</si>
  <si>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</si>
  <si>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</si>
  <si>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</si>
  <si>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</si>
  <si>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</si>
  <si>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</si>
  <si>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</si>
  <si>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</si>
  <si>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</si>
  <si>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</si>
  <si>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</si>
  <si>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</si>
  <si>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</si>
  <si>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</si>
  <si>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</si>
  <si>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</si>
  <si>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</si>
  <si>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</si>
  <si>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</si>
  <si>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</si>
  <si>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</si>
  <si>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</si>
  <si>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</si>
  <si>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</si>
  <si>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</si>
  <si>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</si>
  <si>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</si>
  <si>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</si>
  <si>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</si>
  <si>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</si>
  <si>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</si>
  <si>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</si>
  <si>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</si>
  <si>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</si>
  <si>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</si>
  <si>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</si>
  <si>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</si>
  <si>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</si>
  <si>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</si>
  <si>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</si>
  <si>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</si>
  <si>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</si>
  <si>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</si>
  <si>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</si>
  <si>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</si>
  <si>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</si>
  <si>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</si>
  <si>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</si>
  <si>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</si>
  <si>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</si>
  <si>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</si>
  <si>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</si>
  <si>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</si>
  <si>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</si>
  <si>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</si>
  <si>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</si>
  <si>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</si>
  <si>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</si>
  <si>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</si>
  <si>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</si>
  <si>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</si>
  <si>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</si>
  <si>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</si>
  <si>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</si>
  <si>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</si>
  <si>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</si>
  <si>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</si>
  <si>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</si>
  <si>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</si>
  <si>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</si>
  <si>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</si>
  <si>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</si>
  <si>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</si>
  <si>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</si>
  <si>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</si>
  <si>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</si>
  <si>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</si>
  <si>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</si>
  <si>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</si>
  <si>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</si>
  <si>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</si>
  <si>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</si>
  <si>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</si>
  <si>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</si>
  <si>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</si>
  <si>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</si>
  <si>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</si>
  <si>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</si>
  <si>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</si>
  <si>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</si>
  <si>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</si>
  <si>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</si>
  <si>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</si>
  <si>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</si>
  <si>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</si>
  <si>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</si>
  <si>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</si>
  <si>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</si>
  <si>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</si>
  <si>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</si>
  <si>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</si>
  <si>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</si>
  <si>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</si>
  <si>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</si>
  <si>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</si>
  <si>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</si>
  <si>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</si>
  <si>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</si>
  <si>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</si>
  <si>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</si>
  <si>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</si>
  <si>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</si>
  <si>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</si>
  <si>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</si>
  <si>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</si>
  <si>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</si>
  <si>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</si>
  <si>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</si>
  <si>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</si>
  <si>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</si>
  <si>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</si>
  <si>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</si>
  <si>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</si>
  <si>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</si>
  <si>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</si>
  <si>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</si>
  <si>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</si>
  <si>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</si>
  <si>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</si>
  <si>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</si>
  <si>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</si>
  <si>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</si>
  <si>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</si>
  <si>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</si>
  <si>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</si>
  <si>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</si>
  <si>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</si>
  <si>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</si>
  <si>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</si>
  <si>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</si>
  <si>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</si>
  <si>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</si>
  <si>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</si>
  <si>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</si>
  <si>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</si>
  <si>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</si>
  <si>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</si>
  <si>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</si>
  <si>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</si>
  <si>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</si>
  <si>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</si>
  <si>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</si>
  <si>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</si>
  <si>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</si>
  <si>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</si>
  <si>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</si>
  <si>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</si>
  <si>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</si>
  <si>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</si>
  <si>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</si>
  <si>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</si>
  <si>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</si>
  <si>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</si>
  <si>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</si>
  <si>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</si>
  <si>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</si>
  <si>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</si>
  <si>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</si>
  <si>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</si>
  <si>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</si>
  <si>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</si>
  <si>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</si>
  <si>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</si>
  <si>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</si>
  <si>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</si>
  <si>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</si>
  <si>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</si>
  <si>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</si>
  <si>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</si>
  <si>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</si>
  <si>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</si>
  <si>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</si>
  <si>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</si>
  <si>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</si>
  <si>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</si>
  <si>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</si>
  <si>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</si>
  <si>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</si>
  <si>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</si>
  <si>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</si>
  <si>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</si>
  <si>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</si>
  <si>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</si>
  <si>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</si>
  <si>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</si>
  <si>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</si>
  <si>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</si>
  <si>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</si>
  <si>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</si>
  <si>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</si>
  <si>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</si>
  <si>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</si>
  <si>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</si>
  <si>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</si>
  <si>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</si>
  <si>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</si>
  <si>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</si>
  <si>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</si>
  <si>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</si>
  <si>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</si>
  <si>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</si>
  <si>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</si>
  <si>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</si>
  <si>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</si>
  <si>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</si>
  <si>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</si>
  <si>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</si>
  <si>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</si>
  <si>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</si>
  <si>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</si>
  <si>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</si>
  <si>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</si>
  <si>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</si>
  <si>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</si>
  <si>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</si>
  <si>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</si>
  <si>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</si>
  <si>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</si>
  <si>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</si>
  <si>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</si>
  <si>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</si>
  <si>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</si>
  <si>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</si>
  <si>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</si>
  <si>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</si>
  <si>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</si>
  <si>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</si>
  <si>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</si>
  <si>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</si>
  <si>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</si>
  <si>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</si>
  <si>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</si>
  <si>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</si>
  <si>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</si>
  <si>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</si>
  <si>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</si>
  <si>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</si>
  <si>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</si>
  <si>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</si>
  <si>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</si>
  <si>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</si>
  <si>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</si>
  <si>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</si>
  <si>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</si>
  <si>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</si>
  <si>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</si>
  <si>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</si>
  <si>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</si>
  <si>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</si>
  <si>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</si>
  <si>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</si>
  <si>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</si>
  <si>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</si>
  <si>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</si>
  <si>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</si>
  <si>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</si>
  <si>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</si>
  <si>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</si>
  <si>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</si>
  <si>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</si>
  <si>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</si>
  <si>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</si>
  <si>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</si>
  <si>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</si>
  <si>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</si>
  <si>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</si>
  <si>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</si>
  <si>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</si>
  <si>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</si>
  <si>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</si>
  <si>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</si>
  <si>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</si>
  <si>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</si>
  <si>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</si>
  <si>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</si>
  <si>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</si>
  <si>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</si>
  <si>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</si>
  <si>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</si>
  <si>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</si>
  <si>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</si>
  <si>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</si>
  <si>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</si>
  <si>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</si>
  <si>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</si>
  <si>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</si>
  <si>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</si>
  <si>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</si>
  <si>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</si>
  <si>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</si>
  <si>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</si>
  <si>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</si>
  <si>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</si>
  <si>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</si>
  <si>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</si>
  <si>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</si>
  <si>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</si>
  <si>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</si>
  <si>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</si>
  <si>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</si>
  <si>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</si>
  <si>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</si>
  <si>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</si>
  <si>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</si>
  <si>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</si>
  <si>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</si>
  <si>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</si>
  <si>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</si>
  <si>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</si>
  <si>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</si>
  <si>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</si>
  <si>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</si>
  <si>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</si>
  <si>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</si>
  <si>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</si>
  <si>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</si>
  <si>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</si>
  <si>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</si>
  <si>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</si>
  <si>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</si>
  <si>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</si>
  <si>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</si>
  <si>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</si>
  <si>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</si>
  <si>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</si>
  <si>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</si>
  <si>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</si>
  <si>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</si>
  <si>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</si>
  <si>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</si>
  <si>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</si>
  <si>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</si>
  <si>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</si>
  <si>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</si>
  <si>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</si>
  <si>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</si>
  <si>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</si>
  <si>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</si>
  <si>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</si>
  <si>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</si>
  <si>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</si>
  <si>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</si>
  <si>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</si>
  <si>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</si>
  <si>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</si>
  <si>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</si>
  <si>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</si>
  <si>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</si>
  <si>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</si>
  <si>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</si>
  <si>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</si>
  <si>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</si>
  <si>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</si>
  <si>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</si>
  <si>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</si>
  <si>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</si>
  <si>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</si>
  <si>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</si>
  <si>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</si>
  <si>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</si>
  <si>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</si>
  <si>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</si>
  <si>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</si>
  <si>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</si>
  <si>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</si>
  <si>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</si>
  <si>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</si>
  <si>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</si>
  <si>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</si>
  <si>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</si>
  <si>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</si>
  <si>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</si>
  <si>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</si>
  <si>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</si>
  <si>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</si>
  <si>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</si>
  <si>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</si>
  <si>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</si>
  <si>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</si>
  <si>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</si>
  <si>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</si>
  <si>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</si>
  <si>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</si>
  <si>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</si>
  <si>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</si>
  <si>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</si>
  <si>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</si>
  <si>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</si>
  <si>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</si>
  <si>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</si>
  <si>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</si>
  <si>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</si>
  <si>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</si>
  <si>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</si>
  <si>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</si>
  <si>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</si>
  <si>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</si>
  <si>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</si>
  <si>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</si>
  <si>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</si>
  <si>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</si>
  <si>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</si>
  <si>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</si>
  <si>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</si>
  <si>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</si>
  <si>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</si>
  <si>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</si>
  <si>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</si>
  <si>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</si>
  <si>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</si>
  <si>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</si>
  <si>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</si>
  <si>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</si>
  <si>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</si>
  <si>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</si>
  <si>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</si>
  <si>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</si>
  <si>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</si>
  <si>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</si>
  <si>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</si>
  <si>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</si>
  <si>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</si>
  <si>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</si>
  <si>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</si>
  <si>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</si>
  <si>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</si>
  <si>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</si>
  <si>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</si>
  <si>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</si>
  <si>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</si>
  <si>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</si>
  <si>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</si>
  <si>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</si>
  <si>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</si>
  <si>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</si>
  <si>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</si>
  <si>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</si>
  <si>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</si>
  <si>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</si>
  <si>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</si>
  <si>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</si>
  <si>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</si>
  <si>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</si>
  <si>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</si>
  <si>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</si>
  <si>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</si>
  <si>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</si>
  <si>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</si>
  <si>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</si>
  <si>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</si>
  <si>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</si>
  <si>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</si>
  <si>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</si>
  <si>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</si>
  <si>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</si>
  <si>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</si>
  <si>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</si>
  <si>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</si>
  <si>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</si>
  <si>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</si>
  <si>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</si>
  <si>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</si>
  <si>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</si>
  <si>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</si>
  <si>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</si>
  <si>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</si>
  <si>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</si>
  <si>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</si>
  <si>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</si>
  <si>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</si>
  <si>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</si>
  <si>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</si>
  <si>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</si>
  <si>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</si>
  <si>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</si>
  <si>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</si>
  <si>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</si>
  <si>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</si>
  <si>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</si>
  <si>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</si>
  <si>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</si>
  <si>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</si>
  <si>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</si>
  <si>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</si>
  <si>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</si>
  <si>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</si>
  <si>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</si>
  <si>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</si>
  <si>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</si>
  <si>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</si>
  <si>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</si>
  <si>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</si>
  <si>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</si>
  <si>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</si>
  <si>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</si>
  <si>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</si>
  <si>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</si>
  <si>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</si>
  <si>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</si>
  <si>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</si>
  <si>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</si>
  <si>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</si>
  <si>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</si>
  <si>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</si>
  <si>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</si>
  <si>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</si>
  <si>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</si>
  <si>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</si>
  <si>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</si>
  <si>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</si>
  <si>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</si>
  <si>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</si>
  <si>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</si>
  <si>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</si>
  <si>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</si>
  <si>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</si>
  <si>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</si>
  <si>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</si>
  <si>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</si>
  <si>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</si>
  <si>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</si>
  <si>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= use the values you type below; Optimal = the model computes &amp; applies the optimum. Dropdown.</t>
  </si>
  <si>
    <t>Manual pulse duration</t>
  </si>
  <si>
    <t>spg_dur_man</t>
  </si>
  <si>
    <t>Your pulse length, used when sched_mode=Manual.</t>
  </si>
  <si>
    <t>Manual sparge interval</t>
  </si>
  <si>
    <t>spg_int_man</t>
  </si>
  <si>
    <t>Your interval, used when sched_mode=Manual.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</si>
  <si>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</si>
  <si>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</si>
  <si>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</si>
  <si>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</si>
  <si>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</si>
  <si>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</si>
  <si>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</si>
  <si>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</si>
  <si>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</si>
  <si>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</si>
  <si>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</si>
  <si>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O2 the sparge must vent = net O2 minus surface stripping (proxy); 0 when surface stripping alone holds DO</t>
  </si>
  <si>
    <t>Optimal duty cycle</t>
  </si>
  <si>
    <t>duty_opt</t>
  </si>
  <si>
    <t>Max interval — O₂ flush frequency</t>
  </si>
  <si>
    <t>spg_int_max</t>
  </si>
  <si>
    <t>O2-limited interval, now crediting surface stripping (surf_strip from the kL_surf proxy) rather than assuming zero; refine by measuring kL_surf</t>
  </si>
  <si>
    <t>► OPTIMAL pulse duration</t>
  </si>
  <si>
    <t>spg_dur_opt</t>
  </si>
  <si>
    <t>ANSWER. Shortest reliable pulse → most frequent, smoothest DO, best OD-read windows.</t>
  </si>
  <si>
    <t>► OPTIMAL sparge interval</t>
  </si>
  <si>
    <t>spg_int_opt</t>
  </si>
  <si>
    <t>ANSWER. From optimal duty at the floor pulse, capped by the O₂-flush frequency limit. Set sched_mode=Optimal to apply.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</si>
  <si>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</si>
  <si>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</si>
  <si>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</si>
  <si>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</si>
  <si>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</si>
  <si>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</si>
  <si>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</si>
  <si>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</si>
  <si>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</si>
  <si>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</si>
  <si>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</si>
  <si>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≥5 s gap between pulses for an OD read. Can't measure OD while sparging.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</si>
  <si>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</si>
  <si>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</si>
  <si>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</si>
  <si>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</si>
  <si>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</si>
  <si>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</si>
  <si>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</si>
  <si>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</si>
  <si>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</si>
  <si>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</si>
  <si>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</si>
  <si>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</si>
  <si>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</si>
  <si>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</si>
  <si>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</si>
  <si>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</si>
  <si>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</si>
  <si>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</si>
  <si>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</si>
  <si>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</si>
  <si>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</si>
  <si>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</si>
  <si>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</si>
  <si>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</si>
  <si>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</si>
  <si>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</si>
  <si>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</si>
  <si>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</si>
  <si>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</si>
  <si>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</si>
  <si>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</si>
  <si>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</si>
  <si>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</si>
  <si>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</si>
  <si>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</si>
  <si>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</si>
  <si>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</si>
  <si>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</si>
  <si>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</si>
  <si>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</si>
  <si>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</si>
  <si>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</si>
  <si>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</si>
  <si>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</si>
  <si>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</si>
  <si>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</si>
  <si>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</si>
  <si>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</si>
  <si>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</si>
  <si>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</si>
  <si>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</si>
  <si>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</si>
  <si>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</si>
  <si>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</si>
  <si>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</si>
  <si>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</si>
  <si>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</si>
  <si>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</si>
  <si>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</si>
  <si>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</si>
  <si>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</si>
  <si>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</si>
  <si>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</si>
  <si>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</si>
  <si>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</si>
  <si>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</si>
  <si>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</si>
  <si>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</si>
  <si>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</si>
  <si>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</si>
  <si>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</si>
  <si>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</si>
  <si>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</si>
  <si>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</si>
  <si>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</si>
  <si>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</si>
  <si>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</si>
  <si>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</si>
  <si>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</si>
  <si>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</si>
  <si>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</si>
  <si>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UdG phosphate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</si>
  <si>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</si>
  <si>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</si>
  <si>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</si>
  <si>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</si>
  <si>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</si>
  <si>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</si>
  <si>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</si>
  <si>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</si>
  <si>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</si>
  <si>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</si>
  <si>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</si>
  <si>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</si>
  <si>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</si>
  <si>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</si>
  <si>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→ Biology (CO2_diss / 1000)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</si>
  <si>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</si>
  <si>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</si>
  <si>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</si>
  <si>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</si>
  <si>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</si>
  <si>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</si>
  <si>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</si>
  <si>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</si>
  <si>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</si>
  <si>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</si>
  <si>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</si>
  <si>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</si>
  <si>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</si>
  <si>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</si>
  <si>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</si>
  <si>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</si>
  <si>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</si>
  <si>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</si>
  <si>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</si>
  <si>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</si>
  <si>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</si>
  <si>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</si>
  <si>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</si>
  <si>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</si>
  <si>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</si>
  <si>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</si>
  <si>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</si>
  <si>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</si>
  <si>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</si>
  <si>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</si>
  <si>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</si>
  <si>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</si>
  <si>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</si>
  <si>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</si>
  <si>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</si>
  <si>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</si>
  <si>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</si>
  <si>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</si>
  <si>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</si>
  <si>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</si>
  <si>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</si>
  <si>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</si>
  <si>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</si>
  <si>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</si>
  <si>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</si>
  <si>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</si>
  <si>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</si>
  <si>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</si>
  <si>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</si>
  <si>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</si>
  <si>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</si>
  <si>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</si>
  <si>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</si>
  <si>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</si>
  <si>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</si>
  <si>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</si>
  <si>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</si>
  <si>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</si>
  <si>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</si>
  <si>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</si>
  <si>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</si>
  <si>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</si>
  <si>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</si>
  <si>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</si>
  <si>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</si>
  <si>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</si>
  <si>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</si>
  <si>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</si>
  <si>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</si>
  <si>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</si>
  <si>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</si>
  <si>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</si>
  <si>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</si>
  <si>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</si>
  <si>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</si>
  <si>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</si>
  <si>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</si>
  <si>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</si>
  <si>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</si>
  <si>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</si>
  <si>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</si>
  <si>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</si>
  <si>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</si>
  <si>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</si>
  <si>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</si>
  <si>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</si>
  <si>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</si>
  <si>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</si>
  <si>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</si>
  <si>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</si>
  <si>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</si>
  <si>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</si>
  <si>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</si>
  <si>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</si>
  <si>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</si>
  <si>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</si>
  <si>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</si>
  <si>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</si>
  <si>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</si>
  <si>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</si>
  <si>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</si>
  <si>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</si>
  <si>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</si>
  <si>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</si>
  <si>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</si>
  <si>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</si>
  <si>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</si>
  <si>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</si>
  <si>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</si>
  <si>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</si>
  <si>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</si>
  <si>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</si>
  <si>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</si>
  <si>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</si>
  <si>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Free-chlorine production ceiling (FE=1)</t>
  </si>
  <si>
    <t>bleach_rate</t>
  </si>
  <si>
    <t>mg/L/h</t>
  </si>
  <si>
    <t>all anode current→Cl₂ at FE=1 (upper bound; real Cl₂ FE is chloride-limited). 2 e⁻/Cl₂→HOCl, MW 52.46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</si>
  <si>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</si>
  <si>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</si>
  <si>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</si>
  <si>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</si>
  <si>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</si>
  <si>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</si>
  <si>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</si>
  <si>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</si>
  <si>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</si>
  <si>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</si>
  <si>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</si>
  <si>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</si>
  <si>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</si>
  <si>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</si>
  <si>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</si>
  <si>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</si>
  <si>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</si>
  <si>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</si>
  <si>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</si>
  <si>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</si>
  <si>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</si>
  <si>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</si>
  <si>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</si>
  <si>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</si>
  <si>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</si>
  <si>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Max achievable HOCl (medium chloride × HOCl fraction)</t>
  </si>
  <si>
    <t>HOCl_max</t>
  </si>
  <si>
    <t>mg/L</t>
  </si>
  <si>
    <t>conservative ceiling: all chloride oxidised to free chlorine, ×HOCl fraction at operating pH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</si>
  <si>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</si>
  <si>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</si>
  <si>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</si>
  <si>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</si>
  <si>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Max HOCl (bleaching)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</si>
  <si>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</si>
  <si>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</si>
  <si>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</si>
  <si>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</si>
  <si>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</si>
  <si>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</si>
  <si>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</si>
  <si>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</si>
  <si>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</si>
  <si>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</si>
  <si>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</si>
  <si>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</si>
  <si>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</si>
  <si>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</si>
  <si>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</si>
  <si>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</si>
  <si>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</si>
  <si>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</si>
  <si>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</si>
  <si>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</si>
  <si>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</si>
  <si>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</si>
  <si>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</si>
  <si>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</si>
  <si>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</si>
  <si>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</si>
  <si>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</si>
  <si>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</si>
  <si>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</si>
  <si>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</si>
  <si>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</si>
  <si>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</si>
  <si>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</si>
  <si>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</si>
  <si>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</si>
  <si>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</si>
  <si>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</si>
  <si>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</si>
  <si>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</si>
  <si>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</si>
  <si>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</si>
  <si>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</si>
  <si>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</si>
  <si>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</si>
  <si>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</si>
  <si>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</si>
  <si>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</si>
  <si>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</si>
  <si>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</si>
  <si>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</si>
  <si>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</si>
  <si>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</si>
  <si>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</si>
  <si>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</si>
  <si>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</si>
  <si>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</si>
  <si>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</si>
  <si>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</si>
  <si>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</si>
  <si>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</si>
  <si>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</si>
  <si>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</si>
  <si>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</si>
  <si>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</si>
  <si>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</si>
  <si>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</si>
  <si>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</si>
  <si>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</si>
  <si>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</si>
  <si>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</si>
  <si>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</si>
  <si>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</si>
  <si>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</si>
  <si>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</si>
  <si>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Pous 2022 (BiTE 101010) / Pous 2023 (JECE 111550), UdG recipe = 0.01 g/L. A 10× as-built value (0.1 g/L) is hypothesised but UNCONFIRMED — no batch sheet or lab-book in repo; Cl⁻ and HOCl scale linearly, so confirm the bench-weighed mass before any 0.1 entry. Do not overwrite this literature value.</t>
  </si>
  <si>
    <t>BLEACH RISK fires when HOCl_max&gt;0.2 mg/L (watch &gt;0.02); pH-aware via the trough HOCl fraction (D104→D125). 0.2 mg/L = WHO minimum free-chlorine residual / lower bound of the free-Cl MSC range 0.021–0.39 mg/L — a precautionary floor, not an organism MIC (no published MIC for C. necator; the genus is chlorine-tolerant, so true impairment is higher). Verdict insensitive: HOCl_max exceeds even a 1 mg/L bactericidal level ~9×.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</si>
  <si>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</si>
  <si>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</si>
  <si>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</si>
  <si>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</si>
  <si>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</si>
  <si>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</si>
  <si>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 xml:space="preserve">REALISTIC FREE-CHLORINE MODEL (operative — supersedes the naïve FE=1 ceiling above)</t>
  </si>
  <si>
    <t xml:space="preserve">Cl₂-evolution faradaic efficiency (trace Cl⁻)</t>
  </si>
  <si>
    <t xml:space="preserve">FE_CER</t>
  </si>
  <si>
    <t xml:space="preserve">-</t>
  </si>
  <si>
    <t xml:space="preserve">CER current efficiency at ~0.1–0.2 mM Cl⁻: ~2% measured at 1 mM IrO₂ (Vos &amp; Koper, J. Electroanal. Chem. 819:260, 2018; Vos et al. JACS 140:10270), &lt;1% sub-mM, ~100% only above ~50 mM. 1% used (range 0.002–0.03).</t>
  </si>
  <si>
    <t xml:space="preserve">Cl⁻ mass-transfer coefficient</t>
  </si>
  <si>
    <t xml:space="preserve">km_Cl</t>
  </si>
  <si>
    <t xml:space="preserve">cm/s</t>
  </si>
  <si>
    <t xml:space="preserve">Stirred small cell, k_m = D/δ; 1e-3–1e-2 cm/s (Bard &amp; Faulkner, Electrochemical Methods, Ch.1; measured stirred cells 2–8e-3). Central 3e-3.</t>
  </si>
  <si>
    <t xml:space="preserve">Anode wetted area</t>
  </si>
  <si>
    <t xml:space="preserve">A_anode</t>
  </si>
  <si>
    <t xml:space="preserve">cm²</t>
  </si>
  <si>
    <t xml:space="preserve">Pt/Ti rod, 6 mm dia (electrode table) × ~3.5 cm submerged ≈ 6 cm²; ~5 used. Estimate.</t>
  </si>
  <si>
    <t xml:space="preserve">Cl₂ current — efficiency-limited</t>
  </si>
  <si>
    <t xml:space="preserve">I_Cl_FE</t>
  </si>
  <si>
    <t xml:space="preserve">A</t>
  </si>
  <si>
    <t xml:space="preserve">Applied anode current × CER efficiency.</t>
  </si>
  <si>
    <t xml:space="preserve">Cl₂ current — chloride mass-transport limit</t>
  </si>
  <si>
    <t xml:space="preserve">I_Cl_mt</t>
  </si>
  <si>
    <t xml:space="preserve">i_lim = n·F·k_m·[Cl⁻]; n=1; [Cl⁻] mol/cm³ = pH_Cl/1000. Chloride flux caps chlorine current (~0.26 mA at UdG's 0.18 mM, vs mA-scale applied).</t>
  </si>
  <si>
    <t xml:space="preserve">Realistic chlorine current (binding limit)</t>
  </si>
  <si>
    <t xml:space="preserve">I_Cl</t>
  </si>
  <si>
    <t xml:space="preserve">Smaller of the efficiency- and mass-transport-limited currents.</t>
  </si>
  <si>
    <t xml:space="preserve">Free-chlorine production rate (as HOCl)</t>
  </si>
  <si>
    <t xml:space="preserve">Cl2_prod</t>
  </si>
  <si>
    <t xml:space="preserve">mg/L/h</t>
  </si>
  <si>
    <t xml:space="preserve">2 e⁻ per Cl₂→HOCl, MW 52.46. Realistic gross production rate.</t>
  </si>
  <si>
    <t xml:space="preserve">Medium ammonium (as N)</t>
  </si>
  <si>
    <t xml:space="preserve">NH3_N</t>
  </si>
  <si>
    <t xml:space="preserve">mg/L</t>
  </si>
  <si>
    <t xml:space="preserve">Active-medium total ammonium × 14.007 g/mol N.</t>
  </si>
  <si>
    <t xml:space="preserve">Ammonium chlorine demand (breakpoint sink)</t>
  </si>
  <si>
    <t xml:space="preserve">Cl_demand</t>
  </si>
  <si>
    <t xml:space="preserve">Free chlorine is held as chloramine until the breakpoint demand is met: 7.6 mg Cl₂/mg N ideal, ×10 practical (Pressley, Bishop &amp; Roan 1972, ES&amp;T 6:622). A standing sink.</t>
  </si>
  <si>
    <t xml:space="preserve">Reference run time (batch worst-case)</t>
  </si>
  <si>
    <t xml:space="preserve">t_run</t>
  </si>
  <si>
    <t xml:space="preserve">h</t>
  </si>
  <si>
    <t xml:space="preserve">Cumulative-chlorine check vs the ammonium sink; fixed-N batch worst-case (ignores N replenishment and N uptake by growth, both of which keep free chlorine lower). 1 week default.</t>
  </si>
  <si>
    <t xml:space="preserve">Cumulative chlorine over run</t>
  </si>
  <si>
    <t xml:space="preserve">Cl2_cum</t>
  </si>
  <si>
    <t xml:space="preserve">Gross chlorine produced over t_run.</t>
  </si>
  <si>
    <t xml:space="preserve">Steady free HOCl (OPERATIVE bleaching value)</t>
  </si>
  <si>
    <t xml:space="preserve">free_HOCl</t>
  </si>
  <si>
    <t xml:space="preserve">Chlorine beyond the ammonium demand × HOCl fraction at operating pH. ≈0 for ammonium-buffered media at trace chloride; rises with chloride, current, run length or low ammonium. Supersedes the FE=1 ceiling (D125).</t>
  </si>
  <si>
    <t xml:space="preserve">HOB free-chlorine impairment onset</t>
  </si>
  <si>
    <t xml:space="preserve">bleach_thresh</t>
  </si>
  <si>
    <t xml:space="preserve">Impairment ONSET, not kill-all: MSC band 0.021–0.39 mg/L (Murray et al. 2017, Ecotoxicology 26:1115), below the 0.2 mg/L WHO residual. Gram-negative proxy — no HOB-specific value published. HOCl-equiv, pH ≤ 8. Confidence: medium.</t>
  </si>
  <si>
    <t xml:space="preserve">Naïve FE=1 production ceiling (NOT operative)</t>
  </si>
  <si>
    <t xml:space="preserve">Naïve FE=1 ceiling: all chloride → free chlorine (NOT operative)</t>
  </si>
  <si>
    <t xml:space="preserve">Naïve FE=1 upper bound (all anode current→Cl₂). Superseded by Cl2_prod (D134, realistic). Kept only to show the ~40× overstatement.</t>
  </si>
  <si>
    <t xml:space="preserve">Naïve FE=1 ceiling (all chloride→free chlorine). Superseded by free_HOCl (D139). Overstates ~40× (chloride mass-transport cap) and ignores the ammonium demand.</t>
  </si>
  <si>
    <t xml:space="preserve">Pous 2022 (BiTE 101010) / Pous 2023 (JECE 111550), UdG recipe = 0.01 g/L.</t>
  </si>
  <si>
    <t xml:space="preserve">Operative flag: free chlorine (D139) vs HOB impairment onset (D140). Clear for UdG — production is efficiency/mass-transport throttled and scavenged by ammonium.</t>
  </si>
  <si>
    <t xml:space="preserve">Free HOCl (operative)</t>
  </si>
  <si>
    <t xml:space="preserve">ANSWER. Recommended on the best kL_surf estimate: when surface stripping holds DO (SURFACE-HELD, D134) the binding limit is carbon supply → the carbon-limited interval (D112); otherwise the O₂-limited fallback (D89). An estimated kL_surf&gt;0 beats assuming zero — measure it to confirm (improvement #1).</t>
  </si>
  <si>
    <t xml:space="preserve">O₂-limited FALLBACK interval: zero-surface worst case (sparge vents all O₂; no surface credit). Applies only if measured kL_surf &lt; kL_surf_crit (D131). The recommended interval (D91) credits the surface estimate.</t>
  </si>
  <si>
    <t xml:space="preserve">Conservative O₂-vent duty: net O₂ with the surface-strip credit withheld (O2_src_guard). Sizes the O₂-limited fallback; the recommended schedule credits the surface estimate when DO is held.</t>
  </si>
  <si>
    <t xml:space="preserve">FREE-CHLORINE PENALTY MODEL (graded, kinetic — operative; supersedes the naïve FE=1 ceiling above)</t>
  </si>
  <si>
    <t xml:space="preserve">Max active-Cl evolution efficiency (high-Cl plateau)</t>
  </si>
  <si>
    <t xml:space="preserve">FE_CER</t>
  </si>
  <si>
    <t xml:space="preserve">-</t>
  </si>
  <si>
    <t xml:space="preserve">Active-chlorine current efficiency on the high-chloride plateau (~100% &gt;50 mM; Vos &amp; Koper, JACS 140:10270 / JEAC 819:260). At trace Cl⁻ the chloride mass-transport limit (D132) binds instead, so production scales with chloride, not this value.</t>
  </si>
  <si>
    <t xml:space="preserve">Cl⁻ mass-transfer coefficient</t>
  </si>
  <si>
    <t xml:space="preserve">km_Cl</t>
  </si>
  <si>
    <t xml:space="preserve">cm/s</t>
  </si>
  <si>
    <t xml:space="preserve">Stirred small cell, k_m = D/δ; 1e-3–1e-2 cm/s (Bard &amp; Faulkner Ch.1; measured stirred cells 2–8e-3). Central 3e-3.</t>
  </si>
  <si>
    <t xml:space="preserve">Anode wetted area</t>
  </si>
  <si>
    <t xml:space="preserve">A_anode</t>
  </si>
  <si>
    <t xml:space="preserve">cm²</t>
  </si>
  <si>
    <t xml:space="preserve">Pt/Ti rod 6 mm dia × ~3.5 cm submerged ≈ 6 cm²; ~5 used. Estimate.</t>
  </si>
  <si>
    <t xml:space="preserve">Cl₂ current — efficiency-limited</t>
  </si>
  <si>
    <t xml:space="preserve">I_Cl_FE</t>
  </si>
  <si>
    <t xml:space="preserve">A</t>
  </si>
  <si>
    <t xml:space="preserve">Applied anode current × plateau efficiency.</t>
  </si>
  <si>
    <t xml:space="preserve">Cl₂ current — chloride mass-transport limit</t>
  </si>
  <si>
    <t xml:space="preserve">I_Cl_mt</t>
  </si>
  <si>
    <t xml:space="preserve">i_lim = n·F·k_m·[Cl⁻]·A; n=1; [Cl⁻] mol/cm³ = pH_Cl/1000. Caps chlorine at the chloride flux — binds at trace Cl⁻ (~0.26 mA for UdG), so production scales with chloride.</t>
  </si>
  <si>
    <t xml:space="preserve">Realistic chlorine current (binding limit)</t>
  </si>
  <si>
    <t xml:space="preserve">I_Cl</t>
  </si>
  <si>
    <t xml:space="preserve">Smaller of efficiency- and mass-transport-limited.</t>
  </si>
  <si>
    <t xml:space="preserve">Volumetric free-chlorine production</t>
  </si>
  <si>
    <t xml:space="preserve">P_HOCl</t>
  </si>
  <si>
    <t xml:space="preserve">mol/L/s</t>
  </si>
  <si>
    <t xml:space="preserve">P_HOCl = I_Cl/(2·F·V). 2 e⁻ per Cl₂→HOCl.</t>
  </si>
  <si>
    <t xml:space="preserve">Medium ammonium (as N)</t>
  </si>
  <si>
    <t xml:space="preserve">NH3_N</t>
  </si>
  <si>
    <t xml:space="preserve">mg/L</t>
  </si>
  <si>
    <t xml:space="preserve">Active-medium total ammonium × 14.007 g/mol N.</t>
  </si>
  <si>
    <t xml:space="preserve">Monochloramine formation rate constant</t>
  </si>
  <si>
    <t xml:space="preserve">k1_NH2Cl</t>
  </si>
  <si>
    <t xml:space="preserve">M⁻¹s⁻¹</t>
  </si>
  <si>
    <t xml:space="preserve">HOCl + NH₃ → NH₂Cl, k₁ = 4.2e6 M⁻¹s⁻¹ (Morris &amp; Isaac 1983; Jafvert &amp; Valentine 1992, ES&amp;T 26:577, DOI 10.1021/es00027a022). Fast but NOT instantaneous.</t>
  </si>
  <si>
    <t xml:space="preserve">Ammonium pKa (NH₄⁺/NH₃)</t>
  </si>
  <si>
    <t xml:space="preserve">pKa_NH4</t>
  </si>
  <si>
    <t xml:space="preserve">Only free NH₃ reacts with HOCl; at pH 7 just ~0.6% of the ammonium pool is free NH₃ — so the sink is finite and a steady residual coexists.</t>
  </si>
  <si>
    <t xml:space="preserve">Free ammonia</t>
  </si>
  <si>
    <t xml:space="preserve">NH3_free</t>
  </si>
  <si>
    <t xml:space="preserve">mol/L</t>
  </si>
  <si>
    <t xml:space="preserve">NH₃ = NH₄_tot/(1+10^(pKa_NH4−pH)). The reactive fraction that scavenges HOCl.</t>
  </si>
  <si>
    <t xml:space="preserve">Steady bulk free HOCl</t>
  </si>
  <si>
    <t xml:space="preserve">HOCl_ss</t>
  </si>
  <si>
    <t xml:space="preserve">[HOCl]_ss = production/(k₁·NH₃_free). Non-zero by construction; rises with current, falls with ammonium/pH.</t>
  </si>
  <si>
    <t xml:space="preserve">Steady bulk free HOCl (mass)</t>
  </si>
  <si>
    <t xml:space="preserve">HOCl_ss_mgL</t>
  </si>
  <si>
    <t xml:space="preserve">Bulk free chlorine, mg/L. Small for UdG — below the impairment onset, so no bulk sterilisation (UdG runs for days).</t>
  </si>
  <si>
    <t xml:space="preserve">Anode boundary-layer enrichment</t>
  </si>
  <si>
    <t xml:space="preserve">f_local</t>
  </si>
  <si>
    <t xml:space="preserve">Local HOCl at the anode is higher than bulk before it diffuses out and meets ammonia (boundary-layer time ~0.1–10 s ≫ ms bulk scavenging). f_local ≥ 1; sub-mM value unmeasured — SENSITIVITY parameter.</t>
  </si>
  <si>
    <t xml:space="preserve">Monochloramine effective residence</t>
  </si>
  <si>
    <t xml:space="preserve">tau_NH2Cl</t>
  </si>
  <si>
    <t xml:space="preserve">h</t>
  </si>
  <si>
    <t xml:space="preserve">Time combined chlorine persists before consumption (growth N-uptake, cathodic reduction, dilution). Lit: minutes–hours; system-specific value unknown — SENSITIVITY parameter.</t>
  </si>
  <si>
    <t xml:space="preserve">Steady combined chlorine (monochloramine)</t>
  </si>
  <si>
    <t xml:space="preserve">NH2Cl_mgL</t>
  </si>
  <si>
    <t xml:space="preserve">Production held as monochloramine over its residence, capped at the ammonium capacity (5.06 mg Cl₂/mg N). Longer-lived and still biocidal — not harmless.</t>
  </si>
  <si>
    <t xml:space="preserve">Monochloramine potency divisor</t>
  </si>
  <si>
    <t xml:space="preserve">R_chloramine</t>
  </si>
  <si>
    <t xml:space="preserve">Monochloramine is ~18–70× less biocidal than free chlorine (EPA SWTR ~18×, Giardia; IWA 2008 ~70×, E. coli). 25 = conservative (kinder-to-chloramine).</t>
  </si>
  <si>
    <t xml:space="preserve">EFFECTIVE biocidal chlorine load</t>
  </si>
  <si>
    <t xml:space="preserve">C_eff</t>
  </si>
  <si>
    <t xml:space="preserve">OPERATIVE bleaching value: local-weighted free HOCl + combined chlorine ÷ potency. Graded, non-zero; scales with chloride and current. Supersedes the FE=1 ceiling (D125).</t>
  </si>
  <si>
    <t xml:space="preserve">Free-chlorine impairment onset (sub-lethal)</t>
  </si>
  <si>
    <t xml:space="preserve">Cl_onset</t>
  </si>
  <si>
    <t xml:space="preserve">Growth measurably slowed above ~0.1 mg/L free-Cl-equiv (graded, gram-negative proxy; Murray 2017 Ecotox 26:1115; HOCl oxidative-stress onset). Distinct from kill.</t>
  </si>
  <si>
    <t xml:space="preserve">Free-chlorine kill threshold</t>
  </si>
  <si>
    <t xml:space="preserve">Cl_kill</t>
  </si>
  <si>
    <t xml:space="preserve">~1–5 mg/L for tolerant gram-negatives; 2 used. Above C_eff this → biofilm/electrode damage (Baek 2021, CEJ 405:126742).</t>
  </si>
  <si>
    <t xml:space="preserve">Operative flag: effective biocidal chlorine (C_eff, D145) vs the sub-lethal onset (D146) and kill (D147). Graded — MILD for trace-chloride UdG, SEVERE only at high chloride/current.</t>
  </si>
  <si>
    <t xml:space="preserve">Effective biocidal chlorine</t>
  </si>
  <si>
    <t xml:space="preserve">Your setting (blank → recommended)</t>
  </si>
  <si>
    <t xml:space="preserve">Set by the Summary 'Your setting' override (G13/G15) when filled; otherwise this Manual/Optimal selector + the manual cells below apply. Optimal = recommended schedule.</t>
  </si>
  <si>
    <t xml:space="preserve">Your pulse length when sched_mode=Manual. Easiest: type into the Summary 'Your setting' column (G13) instead — it overrides everything.</t>
  </si>
  <si>
    <t xml:space="preserve">Your interval when sched_mode=Manual. Easiest: type into the Summary 'Your setting' column (G15) instead — it overrides everything.</t>
  </si>
  <si>
    <t xml:space="preserve">≥5 s gap between pulses for an OD read (uses the schedule IN USE, so it responds to your override). Can't measure OD while sparging.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</si>
</sst>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sz val="11"/>
      <color rgb="FF7030A0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</borders>
  <cellStyleXfs count="4">
    <xf numFmtId="0" fontId="0" fillId="0" borderId="11"/>
    <xf numFmtId="0" fontId="28" fillId="8" borderId="11"/>
    <xf numFmtId="0" fontId="29" fillId="10" borderId="11"/>
    <xf numFmtId="0" fontId="30" fillId="18" borderId="11"/>
  </cellStyleXfs>
  <cellXfs count="131">
    <xf numFmtId="0" fontId="0" fillId="0" borderId="0" xfId="0" applyBorder="1"/>
    <xf numFmtId="0" fontId="12" fillId="0" borderId="0" xfId="0" applyFont="1" applyBorder="1"/>
    <xf numFmtId="0" fontId="19" fillId="0" borderId="0" xfId="0" applyFont="1" applyBorder="1"/>
    <xf numFmtId="0" fontId="0" fillId="0" borderId="1" xfId="0" applyBorder="1"/>
    <xf numFmtId="0" fontId="9" fillId="0" borderId="1" xfId="0" applyFont="1" applyBorder="1"/>
    <xf numFmtId="0" fontId="10" fillId="13" borderId="1" xfId="0" applyFont="1" applyFill="1" applyBorder="1"/>
    <xf numFmtId="0" fontId="21" fillId="0" borderId="1" xfId="0" applyFont="1" applyBorder="1"/>
    <xf numFmtId="0" fontId="16" fillId="0" borderId="1" xfId="0" applyFont="1" applyBorder="1"/>
    <xf numFmtId="0" fontId="11" fillId="15" borderId="1" xfId="0" applyFont="1" applyFill="1" applyBorder="1"/>
    <xf numFmtId="14" fontId="0" fillId="0" borderId="1" xfId="0" applyNumberFormat="1" applyBorder="1"/>
    <xf numFmtId="0" fontId="11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2" fillId="0" borderId="1" xfId="0" applyFont="1" applyBorder="1"/>
    <xf numFmtId="0" fontId="23" fillId="0" borderId="1" xfId="0" applyFont="1" applyBorder="1"/>
    <xf numFmtId="0" fontId="0" fillId="0" borderId="2" xfId="0" applyBorder="1"/>
    <xf numFmtId="0" fontId="10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20" fillId="0" borderId="3" xfId="0" applyFont="1" applyBorder="1"/>
    <xf numFmtId="0" fontId="26" fillId="0" borderId="4" xfId="0" applyFont="1" applyBorder="1"/>
    <xf numFmtId="0" fontId="17" fillId="0" borderId="3" xfId="0" applyFont="1" applyBorder="1"/>
    <xf numFmtId="0" fontId="26" fillId="0" borderId="3" xfId="0" applyFont="1" applyBorder="1"/>
    <xf numFmtId="0" fontId="26" fillId="0" borderId="5" xfId="0" applyFont="1" applyBorder="1"/>
    <xf numFmtId="0" fontId="26" fillId="0" borderId="6" xfId="0" applyFont="1" applyBorder="1"/>
    <xf numFmtId="0" fontId="26" fillId="0" borderId="7" xfId="0" applyFont="1" applyBorder="1"/>
    <xf numFmtId="0" fontId="8" fillId="0" borderId="3" xfId="0" applyFont="1" applyBorder="1"/>
    <xf numFmtId="0" fontId="13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3" fillId="16" borderId="3" xfId="0" applyFont="1" applyFill="1" applyBorder="1"/>
    <xf numFmtId="0" fontId="13" fillId="10" borderId="3" xfId="0" applyFont="1" applyFill="1" applyBorder="1"/>
    <xf numFmtId="0" fontId="15" fillId="0" borderId="3" xfId="0" applyFont="1" applyBorder="1"/>
    <xf numFmtId="0" fontId="18" fillId="0" borderId="3" xfId="0" applyFont="1" applyBorder="1"/>
    <xf numFmtId="0" fontId="10" fillId="17" borderId="3" xfId="0" applyFont="1" applyFill="1" applyBorder="1"/>
    <xf numFmtId="0" fontId="25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6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7" fillId="0" borderId="3" xfId="0" applyNumberFormat="1" applyFont="1" applyBorder="1"/>
    <xf numFmtId="165" fontId="27" fillId="0" borderId="3" xfId="0" applyNumberFormat="1" applyFont="1" applyBorder="1"/>
    <xf numFmtId="165" fontId="26" fillId="0" borderId="3" xfId="0" applyNumberFormat="1" applyFont="1" applyBorder="1"/>
    <xf numFmtId="166" fontId="27" fillId="0" borderId="3" xfId="0" applyNumberFormat="1" applyFont="1" applyBorder="1"/>
    <xf numFmtId="167" fontId="27" fillId="0" borderId="3" xfId="0" applyNumberFormat="1" applyFont="1" applyBorder="1"/>
    <xf numFmtId="1" fontId="26" fillId="0" borderId="3" xfId="0" applyNumberFormat="1" applyFont="1" applyBorder="1"/>
    <xf numFmtId="168" fontId="27" fillId="0" borderId="3" xfId="0" applyNumberFormat="1" applyFont="1" applyBorder="1"/>
    <xf numFmtId="1" fontId="13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6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7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6" fillId="0" borderId="8" xfId="0" applyNumberFormat="1" applyFont="1" applyBorder="1"/>
    <xf numFmtId="0" fontId="24" fillId="0" borderId="8" xfId="0" applyFont="1" applyBorder="1"/>
    <xf numFmtId="170" fontId="27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6" fillId="10" borderId="3" xfId="0" applyFont="1" applyFill="1" applyBorder="1"/>
    <xf numFmtId="168" fontId="26" fillId="0" borderId="5" xfId="0" applyNumberFormat="1" applyFont="1" applyBorder="1"/>
    <xf numFmtId="0" fontId="17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7" fillId="0" borderId="3" xfId="0" applyNumberFormat="1" applyFont="1" applyBorder="1"/>
    <xf numFmtId="166" fontId="7" fillId="0" borderId="3" xfId="0" applyNumberFormat="1" applyFont="1" applyBorder="1"/>
    <xf numFmtId="168" fontId="26" fillId="0" borderId="8" xfId="0" applyNumberFormat="1" applyFont="1" applyBorder="1"/>
    <xf numFmtId="168" fontId="26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4" fillId="0" borderId="3" xfId="0" applyFont="1" applyBorder="1"/>
    <xf numFmtId="0" fontId="0" fillId="9" borderId="3" xfId="0" applyFill="1" applyBorder="1"/>
    <xf numFmtId="0" fontId="26" fillId="0" borderId="9" xfId="0" applyFont="1" applyBorder="1"/>
    <xf numFmtId="0" fontId="31" fillId="8" borderId="3" xfId="1" applyFont="1" applyBorder="1"/>
    <xf numFmtId="0" fontId="31" fillId="18" borderId="3" xfId="3" applyFont="1" applyBorder="1"/>
    <xf numFmtId="0" fontId="31" fillId="10" borderId="3" xfId="2" applyFont="1" applyBorder="1"/>
    <xf numFmtId="0" fontId="0" fillId="19" borderId="3" xfId="0" applyFill="1" applyBorder="1"/>
    <xf numFmtId="0" fontId="32" fillId="0" borderId="3" xfId="0" applyFont="1" applyBorder="1"/>
    <xf numFmtId="0" fontId="33" fillId="0" borderId="3" xfId="0" applyFont="1" applyBorder="1"/>
    <xf numFmtId="0" fontId="33" fillId="0" borderId="10" xfId="0" applyFont="1" applyBorder="1"/>
    <xf numFmtId="0" fontId="33" fillId="0" borderId="11" xfId="0" applyFont="1"/>
    <xf numFmtId="0" fontId="34" fillId="0" borderId="3" xfId="0" applyFont="1" applyBorder="1"/>
    <xf numFmtId="0" fontId="34" fillId="0" borderId="11" xfId="0" applyFont="1"/>
    <xf numFmtId="0" fontId="33" fillId="0" borderId="12" xfId="0" applyFont="1" applyBorder="1"/>
    <xf numFmtId="0" fontId="33" fillId="0" borderId="13" xfId="0" applyFont="1" applyBorder="1"/>
    <xf numFmtId="0" fontId="33" fillId="0" borderId="14" xfId="0" applyFont="1" applyBorder="1"/>
    <xf numFmtId="0" fontId="0" fillId="0" borderId="11" xfId="0"/>
    <xf numFmtId="0" fontId="34" fillId="9" borderId="3" xfId="0" applyFont="1" applyFill="1" applyBorder="1"/>
    <xf numFmtId="0" fontId="35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6" fillId="0" borderId="12" xfId="0" applyFont="1" applyBorder="1"/>
    <xf numFmtId="0" fontId="36" fillId="0" borderId="14" xfId="0" applyFont="1" applyBorder="1"/>
    <xf numFmtId="0" fontId="36" fillId="0" borderId="13" xfId="0" applyFont="1" applyBorder="1"/>
    <xf numFmtId="0" fontId="36" fillId="0" borderId="11" xfId="0" applyFont="1"/>
    <xf numFmtId="0" fontId="37" fillId="0" borderId="3" xfId="0" applyFont="1" applyBorder="1"/>
    <xf numFmtId="0" fontId="36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0" fontId="40" fillId="0" borderId="3" xfId="0" applyFont="1" applyBorder="1"/>
    <xf numFmtId="165" fontId="40" fillId="0" borderId="3" xfId="0" applyNumberFormat="1" applyFont="1" applyBorder="1"/>
    <xf numFmtId="0" fontId="37" fillId="3" borderId="3" xfId="0" applyFont="1" applyFill="1" applyBorder="1" applyAlignment="1">
      <alignment vertical="top" wrapText="1"/>
    </xf>
    <xf numFmtId="2" fontId="40" fillId="0" borderId="3" xfId="0" applyNumberFormat="1" applyFont="1" applyBorder="1"/>
    <xf numFmtId="0" fontId="37" fillId="2" borderId="3" xfId="0" applyFont="1" applyFill="1" applyBorder="1" applyAlignment="1">
      <alignment vertical="top" wrapText="1"/>
    </xf>
    <xf numFmtId="0" fontId="37" fillId="7" borderId="3" xfId="0" applyFont="1" applyFill="1" applyBorder="1" applyAlignment="1">
      <alignment vertical="top" wrapText="1"/>
    </xf>
    <xf numFmtId="0" fontId="37" fillId="5" borderId="3" xfId="0" applyFont="1" applyFill="1" applyBorder="1" applyAlignment="1">
      <alignment vertical="top" wrapText="1"/>
    </xf>
    <xf numFmtId="0" fontId="37" fillId="6" borderId="3" xfId="0" applyFont="1" applyFill="1" applyBorder="1" applyAlignment="1">
      <alignment vertical="top" wrapText="1"/>
    </xf>
    <xf numFmtId="0" fontId="41" fillId="0" borderId="3" xfId="0" applyFont="1" applyBorder="1"/>
    <xf numFmtId="166" fontId="40" fillId="0" borderId="3" xfId="0" applyNumberFormat="1" applyFont="1" applyBorder="1"/>
    <xf numFmtId="167" fontId="40" fillId="0" borderId="3" xfId="0" applyNumberFormat="1" applyFont="1" applyBorder="1"/>
    <xf numFmtId="0" fontId="37" fillId="9" borderId="3" xfId="0" applyFont="1" applyFill="1" applyBorder="1" applyAlignment="1">
      <alignment vertical="top" wrapText="1"/>
    </xf>
    <xf numFmtId="0" fontId="37" fillId="19" borderId="3" xfId="0" applyFont="1" applyFill="1" applyBorder="1" applyAlignment="1">
      <alignment vertical="top" wrapText="1"/>
    </xf>
    <xf numFmtId="168" fontId="40" fillId="0" borderId="3" xfId="0" applyNumberFormat="1" applyFont="1" applyBorder="1"/>
    <xf numFmtId="0" fontId="37" fillId="4" borderId="3" xfId="0" applyFont="1" applyFill="1" applyBorder="1" applyAlignment="1">
      <alignment vertical="top" wrapText="1"/>
    </xf>
    <xf numFmtId="0" fontId="37" fillId="11" borderId="3" xfId="0" applyFont="1" applyFill="1" applyBorder="1" applyAlignment="1">
      <alignment vertical="top" wrapText="1"/>
    </xf>
    <xf numFmtId="168" fontId="42" fillId="0" borderId="3" xfId="0" applyNumberFormat="1" applyFont="1" applyBorder="1"/>
    <xf numFmtId="170" fontId="27" fillId="0" borderId="11" xfId="0" applyNumberFormat="1" applyFont="1"/>
    <xf numFmtId="165" fontId="33" fillId="0" borderId="15" xfId="0" applyNumberFormat="1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29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F71"/>
  <sheetViews>
    <sheetView tabSelected="1" zoomScale="116" workbookViewId="0">
      <selection activeCell="C39" sqref="C39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6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6" ht="16" customHeight="1" thickBot="1" x14ac:dyDescent="0.25">
      <c r="A2" s="17" t="s">
        <v>1</v>
      </c>
      <c r="B2" s="18" t="s">
        <v>30</v>
      </c>
      <c r="C2" s="19"/>
      <c r="D2" s="104" t="s">
        <v>16</v>
      </c>
      <c r="E2" s="20" t="s">
        <v>31</v>
      </c>
      <c r="F2" s="21" t="s">
        <v>32</v>
      </c>
    </row>
    <row r="3" spans="1:6" ht="16" customHeight="1" thickBot="1" x14ac:dyDescent="0.25">
      <c r="A3" s="17" t="s">
        <v>33</v>
      </c>
      <c r="B3" s="18" t="s">
        <v>34</v>
      </c>
      <c r="C3" s="19"/>
      <c r="D3" s="105" t="s">
        <v>397</v>
      </c>
      <c r="E3" s="20" t="s">
        <v>31</v>
      </c>
      <c r="F3" s="21" t="s">
        <v>36</v>
      </c>
    </row>
    <row r="4" spans="1:6" x14ac:dyDescent="0.2">
      <c r="A4" s="17" t="s">
        <v>37</v>
      </c>
      <c r="B4" s="18" t="s">
        <v>38</v>
      </c>
      <c r="C4" s="19"/>
      <c r="D4" s="106" t="s">
        <v>540</v>
      </c>
      <c r="E4" s="20" t="s">
        <v>31</v>
      </c>
      <c r="F4" s="21" t="s">
        <v>40</v>
      </c>
    </row>
    <row r="5" spans="1:6" x14ac:dyDescent="0.2">
      <c r="A5" s="20" t="s">
        <v>41</v>
      </c>
      <c r="B5" s="18" t="s">
        <v>42</v>
      </c>
      <c r="C5" s="20"/>
      <c r="D5" s="106" t="s">
        <v>854</v>
      </c>
      <c r="E5" s="20" t="s">
        <v>31</v>
      </c>
      <c r="F5" s="21" t="s">
        <v>43</v>
      </c>
    </row>
    <row r="6" spans="1:6" x14ac:dyDescent="0.2">
      <c r="A6" s="20" t="s">
        <v>44</v>
      </c>
      <c r="B6" s="18" t="s">
        <v>45</v>
      </c>
      <c r="C6" s="20" t="s">
        <v>46</v>
      </c>
      <c r="D6" s="107">
        <v>3</v>
      </c>
      <c r="E6" s="20" t="s">
        <v>47</v>
      </c>
      <c r="F6" s="21" t="s">
        <v>48</v>
      </c>
    </row>
    <row r="7" spans="1:6" x14ac:dyDescent="0.2">
      <c r="A7" s="20" t="s">
        <v>49</v>
      </c>
      <c r="B7" s="18" t="s">
        <v>50</v>
      </c>
      <c r="C7" s="20" t="s">
        <v>51</v>
      </c>
      <c r="D7" s="107">
        <v>1000</v>
      </c>
      <c r="E7" s="20" t="s">
        <v>47</v>
      </c>
      <c r="F7" s="21" t="s">
        <v>52</v>
      </c>
    </row>
    <row r="8" spans="1:6" x14ac:dyDescent="0.2">
      <c r="A8" s="20" t="s">
        <v>53</v>
      </c>
      <c r="B8" s="18" t="s">
        <v>54</v>
      </c>
      <c r="C8" s="20" t="s">
        <v>55</v>
      </c>
      <c r="D8" s="107">
        <v>30</v>
      </c>
      <c r="E8" s="20" t="s">
        <v>47</v>
      </c>
      <c r="F8" s="21" t="s">
        <v>56</v>
      </c>
    </row>
    <row r="9" spans="1:6" x14ac:dyDescent="0.2">
      <c r="A9" s="20" t="s">
        <v>57</v>
      </c>
      <c r="B9" s="18" t="s">
        <v>58</v>
      </c>
      <c r="C9" s="20" t="s">
        <v>59</v>
      </c>
      <c r="D9" s="107"/>
      <c r="E9" s="20" t="s">
        <v>60</v>
      </c>
      <c r="F9" s="21" t="s">
        <v>61</v>
      </c>
    </row>
    <row r="10" spans="1:6" ht="16" customHeight="1" x14ac:dyDescent="0.2">
      <c r="A10" s="20" t="s">
        <v>62</v>
      </c>
      <c r="B10" s="18" t="s">
        <v>63</v>
      </c>
      <c r="C10" s="20" t="s">
        <v>64</v>
      </c>
      <c r="D10" s="107"/>
      <c r="E10" s="20" t="s">
        <v>60</v>
      </c>
      <c r="F10" s="108" t="s">
        <v>65</v>
      </c>
    </row>
    <row r="11" spans="1:6" x14ac:dyDescent="0.2">
      <c r="A11" s="20"/>
      <c r="B11" s="20"/>
      <c r="C11" s="20"/>
      <c r="D11" s="109"/>
      <c r="E11" s="20"/>
      <c r="F11" s="21"/>
    </row>
    <row r="12" spans="1:7" ht="16" customHeight="1" thickBot="1" x14ac:dyDescent="0.25">
      <c r="A12" s="16" t="s">
        <v>66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  <c r="G12" s="16" t="s">
        <v>1233</v>
      </c>
    </row>
    <row r="13" spans="1:7" ht="16" customHeight="1" thickBot="1" x14ac:dyDescent="0.25">
      <c r="A13" s="29" t="s">
        <v>1102</v>
      </c>
      <c r="B13" s="20"/>
      <c r="C13" s="20" t="s">
        <v>13</v>
      </c>
      <c r="D13" s="92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67</v>
      </c>
      <c r="G13" s="107"/>
    </row>
    <row r="14" spans="1:6" s="3" customFormat="1" ht="16" customHeight="1" thickBot="1" x14ac:dyDescent="0.25">
      <c r="A14" s="29" t="s">
        <v>1103</v>
      </c>
      <c r="B14" s="20"/>
      <c r="C14" s="20" t="s">
        <v>13</v>
      </c>
      <c r="D14" s="93">
        <f>IF(D13&gt;0.5,ROUND(D13,0),ROUND(D13,1-(1+INT(LOG10(ABS(D13))))))</f>
        <v>1</v>
      </c>
      <c r="E14" s="20"/>
      <c r="F14" s="21"/>
    </row>
    <row r="15" spans="1:7" ht="16" customHeight="1" thickBot="1" x14ac:dyDescent="0.25">
      <c r="A15" s="91" t="s">
        <v>68</v>
      </c>
      <c r="B15" s="20"/>
      <c r="C15" s="20" t="s">
        <v>69</v>
      </c>
      <c r="D15" s="92">
        <f>IFERROR('Mass Transfer'!$D$91,"calibrate this reactor first (see CO2 flows)")</f>
        <v>2.8464317102116774</v>
      </c>
      <c r="E15" s="23" t="str">
        <f>HYPERLINK("#'Mass Transfer'!D91","→ Mass")</f>
        <v>→ Mass</v>
      </c>
      <c r="F15" s="21" t="s">
        <v>70</v>
      </c>
      <c r="G15" s="107"/>
    </row>
    <row r="16" spans="1:6" x14ac:dyDescent="0.2">
      <c r="A16" s="29" t="s">
        <v>1101</v>
      </c>
      <c r="B16" s="20"/>
      <c r="C16" s="20" t="s">
        <v>69</v>
      </c>
      <c r="D16" s="93">
        <f>IF(D15&gt;0.5,ROUND(D15,0),ROUND(D15,1-(1+INT(LOG10(ABS(D15))))))</f>
        <v>3</v>
      </c>
      <c r="E16" s="94"/>
      <c r="F16" s="21"/>
    </row>
    <row r="17" spans="1:6" s="3" customFormat="1" x14ac:dyDescent="0.2">
      <c r="A17" s="91"/>
      <c r="B17" s="20"/>
      <c r="C17" s="20"/>
      <c r="D17" s="95"/>
      <c r="E17" s="94"/>
      <c r="F17" s="21"/>
    </row>
    <row r="18" spans="1:6" x14ac:dyDescent="0.2">
      <c r="A18" s="16" t="s">
        <v>71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1" t="s">
        <v>72</v>
      </c>
      <c r="B19" s="20"/>
      <c r="C19" s="20"/>
      <c r="D19" s="96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73</v>
      </c>
    </row>
    <row r="20" spans="1:6" x14ac:dyDescent="0.2">
      <c r="A20" s="91" t="s">
        <v>74</v>
      </c>
      <c r="B20" s="20"/>
      <c r="C20" s="20"/>
      <c r="D20" s="92" t="str">
        <f>'Mass Transfer'!$D$120</f>
        <v>calibrated: ed04</v>
      </c>
      <c r="E20" s="23" t="str">
        <f>HYPERLINK("#'Mass Transfer'!D120","→ Mass")</f>
        <v>→ Mass</v>
      </c>
      <c r="F20" s="21" t="s">
        <v>75</v>
      </c>
    </row>
    <row r="21" spans="1:6" x14ac:dyDescent="0.2">
      <c r="A21" s="91" t="s">
        <v>76</v>
      </c>
      <c r="B21" s="20"/>
      <c r="C21" s="20"/>
      <c r="D21" s="92" t="str">
        <f>'Mass Transfer'!$D$109</f>
        <v>organism optimum unknown</v>
      </c>
      <c r="E21" s="23" t="str">
        <f>HYPERLINK("#'Mass Transfer'!D109","→ Mass")</f>
        <v>→ Mass</v>
      </c>
      <c r="F21" s="21" t="s">
        <v>77</v>
      </c>
    </row>
    <row r="22" spans="1:6" x14ac:dyDescent="0.2">
      <c r="A22" s="91" t="s">
        <v>78</v>
      </c>
      <c r="B22" s="20"/>
      <c r="C22" s="20"/>
      <c r="D22" s="92" t="str">
        <f>'Mass Transfer'!$D$110</f>
        <v>minimum DO unknown - measure</v>
      </c>
      <c r="E22" s="23" t="str">
        <f>HYPERLINK("#'Mass Transfer'!D110","→ Mass")</f>
        <v>→ Mass</v>
      </c>
      <c r="F22" s="21" t="s">
        <v>79</v>
      </c>
    </row>
    <row r="23" spans="1:6" x14ac:dyDescent="0.2">
      <c r="A23" s="91" t="s">
        <v>80</v>
      </c>
      <c r="B23" s="20"/>
      <c r="C23" s="20"/>
      <c r="D23" s="92" t="str">
        <f>'Mass Transfer'!$D$113</f>
        <v>organism DO unknown</v>
      </c>
      <c r="E23" s="23" t="str">
        <f>HYPERLINK("#'Mass Transfer'!D113","→ Mass")</f>
        <v>→ Mass</v>
      </c>
      <c r="F23" s="21" t="s">
        <v>81</v>
      </c>
    </row>
    <row r="24" spans="1:6" x14ac:dyDescent="0.2">
      <c r="A24" s="91" t="s">
        <v>82</v>
      </c>
      <c r="B24" s="20"/>
      <c r="C24" s="20"/>
      <c r="D24" s="97" t="str">
        <f>Biology!$D$44</f>
        <v>EXPLOSIVE</v>
      </c>
      <c r="E24" s="23" t="str">
        <f>HYPERLINK("#Biology!D44","→ Biology")</f>
        <v>→ Biology</v>
      </c>
      <c r="F24" s="21" t="s">
        <v>83</v>
      </c>
    </row>
    <row r="25" spans="1:6" x14ac:dyDescent="0.2">
      <c r="A25" s="91" t="s">
        <v>84</v>
      </c>
      <c r="B25" s="20"/>
      <c r="C25" s="20"/>
      <c r="D25" s="92" t="str">
        <f>'Mass Transfer'!$D$64</f>
        <v>Static</v>
      </c>
      <c r="E25" s="23" t="str">
        <f>HYPERLINK("#'Mass Transfer'!D64","→ Mass")</f>
        <v>→ Mass</v>
      </c>
      <c r="F25" s="21" t="s">
        <v>85</v>
      </c>
    </row>
    <row r="26" spans="1:6" x14ac:dyDescent="0.2">
      <c r="A26" s="91" t="s">
        <v>86</v>
      </c>
      <c r="B26" s="20"/>
      <c r="C26" s="20"/>
      <c r="D26" s="92" t="str">
        <f>IFERROR(IF('Mass Transfer'!$D$126&gt;=1,"OK","SHORTFALL (CO2 &lt; demand)"),"calibrate this reactor first")</f>
        <v>OK</v>
      </c>
      <c r="E26" s="23" t="str">
        <f>HYPERLINK("#'Mass Transfer'!D126","→ Mass")</f>
        <v>→ Mass</v>
      </c>
      <c r="F26" s="21" t="s">
        <v>87</v>
      </c>
    </row>
    <row r="27" spans="1:6" x14ac:dyDescent="0.2">
      <c r="A27" s="91" t="s">
        <v>88</v>
      </c>
      <c r="B27" s="20"/>
      <c r="C27" s="20"/>
      <c r="D27" s="92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89</v>
      </c>
    </row>
    <row r="28" spans="1:6" x14ac:dyDescent="0.2">
      <c r="A28" s="91" t="s">
        <v>90</v>
      </c>
      <c r="B28" s="20"/>
      <c r="C28" s="20"/>
      <c r="D28" s="92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91</v>
      </c>
    </row>
    <row r="29" spans="1:6" x14ac:dyDescent="0.2">
      <c r="A29" s="91" t="s">
        <v>92</v>
      </c>
      <c r="B29" s="20"/>
      <c r="C29" s="20"/>
      <c r="D29" s="92" t="str">
        <f>'Mass Transfer'!$D$59</f>
        <v>OK</v>
      </c>
      <c r="E29" s="23" t="str">
        <f>HYPERLINK("#'Mass Transfer'!D59","→ Mass")</f>
        <v>→ Mass</v>
      </c>
      <c r="F29" s="21" t="s">
        <v>93</v>
      </c>
    </row>
    <row r="30" spans="1:6" x14ac:dyDescent="0.2">
      <c r="A30" s="91" t="s">
        <v>94</v>
      </c>
      <c r="B30" s="20"/>
      <c r="C30" s="20"/>
      <c r="D30" s="92" t="str">
        <f>'Mass Transfer'!$D$111</f>
        <v>OK</v>
      </c>
      <c r="E30" s="23" t="str">
        <f>HYPERLINK("#'Mass Transfer'!D111","→ Mass")</f>
        <v>→ Mass</v>
      </c>
      <c r="F30" s="21" t="s">
        <v>95</v>
      </c>
    </row>
    <row r="31" spans="1:6" x14ac:dyDescent="0.2">
      <c r="A31" s="91" t="s">
        <v>96</v>
      </c>
      <c r="B31" s="20"/>
      <c r="C31" s="20"/>
      <c r="D31" s="96" t="str">
        <f>Geometry!$D$54</f>
        <v>OK</v>
      </c>
      <c r="E31" s="23" t="str">
        <f>HYPERLINK("#Geometry!D54","→ Geometry")</f>
        <v>→ Geometry</v>
      </c>
      <c r="F31" s="21" t="s">
        <v>97</v>
      </c>
    </row>
    <row r="32" spans="1:6" x14ac:dyDescent="0.2">
      <c r="A32" s="91" t="s">
        <v>98</v>
      </c>
      <c r="B32" s="20"/>
      <c r="C32" s="20"/>
      <c r="D32" s="96" t="str">
        <f>Geometry!$D$55</f>
        <v>OK</v>
      </c>
      <c r="E32" s="23" t="str">
        <f>HYPERLINK("#Geometry!D55","→ Geometry")</f>
        <v>→ Geometry</v>
      </c>
      <c r="F32" s="21" t="s">
        <v>99</v>
      </c>
    </row>
    <row r="33" spans="1:6" ht="16" thickBot="1" x14ac:dyDescent="0.25">
      <c r="A33" s="91" t="s">
        <v>100</v>
      </c>
      <c r="B33" s="20"/>
      <c r="C33" s="20"/>
      <c r="D33" s="98" t="str">
        <f>Electrochemistry!$D$20</f>
        <v>OK</v>
      </c>
      <c r="E33" s="23" t="str">
        <f>HYPERLINK("#Electrochemistry!D20","→ Electrochemistry")</f>
        <v>→ Electrochemistry</v>
      </c>
      <c r="F33" s="21" t="s">
        <v>101</v>
      </c>
    </row>
    <row r="34" spans="1:6" ht="16" thickBot="1" x14ac:dyDescent="0.25">
      <c r="A34" s="91" t="s">
        <v>1017</v>
      </c>
      <c r="C34" s="20"/>
      <c r="D34" s="96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E34" s="23" t="str">
        <f>HYPERLINK("#Biology!D45","→ Biology")</f>
        <v>→ Biology</v>
      </c>
      <c r="F34" s="21" t="s">
        <v>1018</v>
      </c>
    </row>
    <row r="35" spans="1:6" ht="16" thickBot="1" x14ac:dyDescent="0.25">
      <c r="A35" s="91" t="s">
        <v>1019</v>
      </c>
      <c r="C35" s="20"/>
      <c r="D35" s="130">
        <f>Chemistry!$D$103</f>
        <v>6.3125785894509363</v>
      </c>
      <c r="E35" s="23" t="str">
        <f>HYPERLINK("#Chemistry!D103","→ Chemistry")</f>
        <v>→ Chemistry</v>
      </c>
      <c r="F35" s="21" t="s">
        <v>1020</v>
      </c>
    </row>
    <row r="36" spans="1:6" ht="16" thickBot="1" x14ac:dyDescent="0.25">
      <c r="A36" s="91" t="s">
        <v>1232</v>
      </c>
      <c r="C36" s="20" t="s">
        <v>104</v>
      </c>
      <c r="D36" s="130">
        <f>Chemistry!$D$145</f>
        <v>0.6821</v>
      </c>
      <c r="E36" s="23" t="str">
        <f>HYPERLINK("#Chemistry!D139","→ Chemistry")</f>
        <v>→ Chemistry</v>
      </c>
      <c r="F36" s="21" t="s">
        <v>1022</v>
      </c>
    </row>
    <row r="37" spans="1:6" ht="16" thickBot="1" x14ac:dyDescent="0.25">
      <c r="A37" s="110" t="s">
        <v>102</v>
      </c>
      <c r="B37" s="20"/>
      <c r="C37" s="20"/>
      <c r="D37" s="20"/>
      <c r="E37" s="20"/>
      <c r="F37" s="21"/>
    </row>
    <row r="38" spans="1:6" x14ac:dyDescent="0.2">
      <c r="A38" s="91" t="s">
        <v>103</v>
      </c>
      <c r="B38" s="109"/>
      <c r="C38" s="20" t="s">
        <v>104</v>
      </c>
      <c r="D38" s="92">
        <f>'Mass Transfer'!$D$108</f>
        <v>1.3723253719399422</v>
      </c>
      <c r="E38" s="23" t="str">
        <f>HYPERLINK("#'Mass Transfer'!D108","→ Mass")</f>
        <v>→ Mass</v>
      </c>
      <c r="F38" s="21" t="s">
        <v>105</v>
      </c>
    </row>
    <row r="39" spans="1:6" x14ac:dyDescent="0.2">
      <c r="A39" s="91" t="s">
        <v>106</v>
      </c>
      <c r="B39" s="109"/>
      <c r="C39" s="20" t="s">
        <v>69</v>
      </c>
      <c r="D39" s="92">
        <f>'Mass Transfer'!$D$112</f>
        <v>178.08128884816398</v>
      </c>
      <c r="E39" s="23" t="str">
        <f>HYPERLINK("#'Mass Transfer'!D112","→ Mass")</f>
        <v>→ Mass</v>
      </c>
      <c r="F39" s="21" t="s">
        <v>107</v>
      </c>
    </row>
    <row r="40" spans="1:6" x14ac:dyDescent="0.2">
      <c r="A40" s="91" t="s">
        <v>108</v>
      </c>
      <c r="B40" s="20"/>
      <c r="C40" s="20" t="s">
        <v>109</v>
      </c>
      <c r="D40" s="92">
        <f>'Mass Transfer'!$D$68</f>
        <v>0.62831853071795862</v>
      </c>
      <c r="E40" s="23" t="str">
        <f>HYPERLINK("#'Mass Transfer'!D68","→ Mass")</f>
        <v>→ Mass</v>
      </c>
      <c r="F40" s="21" t="s">
        <v>110</v>
      </c>
    </row>
    <row r="41" spans="1:6" x14ac:dyDescent="0.2">
      <c r="A41" s="91" t="s">
        <v>111</v>
      </c>
      <c r="B41" s="20"/>
      <c r="C41" s="20" t="s">
        <v>112</v>
      </c>
      <c r="D41" s="97">
        <f>Biology!$D$35</f>
        <v>585.59956132513264</v>
      </c>
      <c r="E41" s="23" t="str">
        <f>HYPERLINK("#Biology!D35","→ Biology")</f>
        <v>→ Biology</v>
      </c>
      <c r="F41" s="21" t="s">
        <v>113</v>
      </c>
    </row>
    <row r="42" spans="1:6" x14ac:dyDescent="0.2">
      <c r="A42" s="20"/>
      <c r="B42" s="20"/>
      <c r="C42" s="20"/>
      <c r="D42" s="20"/>
      <c r="E42" s="20"/>
      <c r="F42" s="20"/>
    </row>
    <row r="43" spans="1:6" x14ac:dyDescent="0.2">
      <c r="A43" s="16" t="s">
        <v>114</v>
      </c>
      <c r="B43" s="16"/>
      <c r="C43" s="16"/>
      <c r="D43" s="16"/>
      <c r="E43" s="16"/>
      <c r="F43" s="16"/>
    </row>
    <row r="44" spans="1:6" x14ac:dyDescent="0.2">
      <c r="A44" s="89" t="s">
        <v>115</v>
      </c>
      <c r="B44" s="20"/>
      <c r="C44" s="20"/>
      <c r="D44" s="29"/>
      <c r="E44" s="20"/>
      <c r="F44" s="20"/>
    </row>
    <row r="45" spans="1:6" x14ac:dyDescent="0.2">
      <c r="A45" s="30" t="s">
        <v>116</v>
      </c>
      <c r="B45" s="20"/>
      <c r="C45" s="20"/>
      <c r="D45" s="29"/>
      <c r="E45" s="20"/>
      <c r="F45" s="20"/>
    </row>
    <row r="46" spans="1:6" x14ac:dyDescent="0.2">
      <c r="A46" s="100" t="s">
        <v>117</v>
      </c>
      <c r="B46" s="20"/>
      <c r="C46" s="20"/>
      <c r="D46" s="29"/>
      <c r="E46" s="20"/>
      <c r="F46" s="20"/>
    </row>
    <row r="47" spans="1:6" x14ac:dyDescent="0.2">
      <c r="A47" s="31" t="s">
        <v>118</v>
      </c>
      <c r="B47" s="20"/>
      <c r="C47" s="20"/>
      <c r="D47" s="29"/>
      <c r="E47" s="20"/>
      <c r="F47" s="20"/>
    </row>
    <row r="48" spans="1:6" x14ac:dyDescent="0.2">
      <c r="A48" s="32" t="s">
        <v>119</v>
      </c>
      <c r="B48" s="20"/>
      <c r="C48" s="20"/>
      <c r="D48" s="29"/>
      <c r="E48" s="94"/>
      <c r="F48" s="20"/>
    </row>
    <row r="49" spans="1:6" x14ac:dyDescent="0.2">
      <c r="A49" s="33" t="s">
        <v>120</v>
      </c>
      <c r="B49" s="20"/>
      <c r="C49" s="20"/>
      <c r="D49" s="29"/>
      <c r="E49" s="94"/>
      <c r="F49" s="20"/>
    </row>
    <row r="50" spans="1:6" x14ac:dyDescent="0.2">
      <c r="A50" s="90" t="s">
        <v>121</v>
      </c>
      <c r="B50" s="20"/>
      <c r="C50" s="20"/>
      <c r="D50" s="29"/>
      <c r="E50" s="94"/>
      <c r="F50" s="20"/>
    </row>
    <row r="51" spans="1:6" x14ac:dyDescent="0.2">
      <c r="A51" s="34" t="s">
        <v>122</v>
      </c>
      <c r="B51" s="20"/>
      <c r="C51" s="20"/>
      <c r="D51" s="20"/>
      <c r="E51" s="20"/>
      <c r="F51" s="20"/>
    </row>
    <row r="52" spans="1:6" x14ac:dyDescent="0.2">
      <c r="A52" s="35" t="s">
        <v>123</v>
      </c>
      <c r="B52" s="20"/>
      <c r="C52" s="20"/>
      <c r="D52" s="20"/>
      <c r="E52" s="20"/>
      <c r="F52" s="20"/>
    </row>
    <row r="53" spans="1:1" s="20" customFormat="1" x14ac:dyDescent="0.2">
      <c r="A53" s="86" t="s">
        <v>124</v>
      </c>
    </row>
    <row r="54" spans="1:1" s="20" customFormat="1" x14ac:dyDescent="0.2">
      <c r="A54" s="87" t="s">
        <v>125</v>
      </c>
    </row>
    <row r="55" spans="1:6" x14ac:dyDescent="0.2">
      <c r="A55" s="88" t="s">
        <v>126</v>
      </c>
      <c r="B55" s="20"/>
      <c r="C55" s="20"/>
      <c r="D55" s="20"/>
      <c r="E55" s="20"/>
      <c r="F55" s="20"/>
    </row>
    <row r="56" spans="1:6" x14ac:dyDescent="0.2">
      <c r="A56" s="20"/>
      <c r="B56" s="20"/>
      <c r="C56" s="20"/>
      <c r="D56" s="29"/>
      <c r="E56" s="94"/>
      <c r="F56" s="20"/>
    </row>
    <row r="57" spans="1:6" x14ac:dyDescent="0.2">
      <c r="A57" s="36" t="s">
        <v>127</v>
      </c>
      <c r="B57" s="36" t="s">
        <v>128</v>
      </c>
      <c r="C57" s="36" t="s">
        <v>129</v>
      </c>
      <c r="D57" s="36" t="s">
        <v>130</v>
      </c>
      <c r="E57" s="36"/>
      <c r="F57" s="36" t="s">
        <v>131</v>
      </c>
    </row>
    <row r="58" spans="1:6" x14ac:dyDescent="0.2">
      <c r="A58" s="20" t="s">
        <v>1052</v>
      </c>
      <c r="B58" s="20" t="s">
        <v>1053</v>
      </c>
      <c r="C58" s="20" t="s">
        <v>1054</v>
      </c>
      <c r="D58" s="37" t="str">
        <f>HYPERLINK("https://github.com/amy-bo/electroPioreactor/blob/CO2-modular/Media/protocols/surface-kla.md","surface-kla.md →")</f>
        <v>surface-kla.md →</v>
      </c>
      <c r="E58" s="110"/>
      <c r="F58" s="21" t="s">
        <v>1055</v>
      </c>
    </row>
    <row r="59" spans="1:6" x14ac:dyDescent="0.2">
      <c r="A59" s="20" t="s">
        <v>1056</v>
      </c>
      <c r="B59" s="20" t="s">
        <v>1057</v>
      </c>
      <c r="C59" s="20" t="s">
        <v>1058</v>
      </c>
      <c r="D59" s="37" t="str">
        <f>HYPERLINK("https://github.com/amy-bo/electroPioreactor/blob/CO2-modular/Media/protocols/vial-geometry.md","vial-geometry.md →")</f>
        <v>vial-geometry.md →</v>
      </c>
      <c r="E59" s="110"/>
      <c r="F59" s="21" t="s">
        <v>1059</v>
      </c>
    </row>
    <row r="60" spans="1:6" x14ac:dyDescent="0.2">
      <c r="A60" s="20" t="s">
        <v>1060</v>
      </c>
      <c r="B60" s="20" t="s">
        <v>1061</v>
      </c>
      <c r="C60" s="20" t="s">
        <v>1062</v>
      </c>
      <c r="D60" s="37" t="str">
        <f>HYPERLINK("https://github.com/amy-bo/electroPioreactor/blob/CO2-modular/Media/protocols/faradaic-efficiency.md","faradaic-efficiency.md →")</f>
        <v>faradaic-efficiency.md →</v>
      </c>
      <c r="E60" s="110"/>
      <c r="F60" s="21" t="s">
        <v>1063</v>
      </c>
    </row>
    <row r="61" spans="1:6" x14ac:dyDescent="0.2">
      <c r="A61" s="20" t="s">
        <v>1064</v>
      </c>
      <c r="B61" s="20" t="s">
        <v>1065</v>
      </c>
      <c r="C61" s="20" t="s">
        <v>1066</v>
      </c>
      <c r="D61" s="37" t="str">
        <f>HYPERLINK("https://github.com/amy-bo/electroPioreactor/blob/CO2-modular/Media/protocols/knallgas-stoichiometry.md","knallgas-stoichiometry.md →")</f>
        <v>knallgas-stoichiometry.md →</v>
      </c>
      <c r="E61" s="110"/>
      <c r="F61" s="21" t="s">
        <v>1067</v>
      </c>
    </row>
    <row r="62" spans="1:6" x14ac:dyDescent="0.2">
      <c r="A62" s="20" t="s">
        <v>1068</v>
      </c>
      <c r="B62" s="20" t="s">
        <v>1069</v>
      </c>
      <c r="C62" s="20" t="s">
        <v>1070</v>
      </c>
      <c r="D62" s="37" t="str">
        <f>HYPERLINK("https://github.com/amy-bo/electroPioreactor/blob/CO2-modular/Media/protocols/faradaic-efficiency.md","faradaic-efficiency.md →")</f>
        <v>faradaic-efficiency.md →</v>
      </c>
      <c r="E62" s="110"/>
      <c r="F62" s="21" t="s">
        <v>1071</v>
      </c>
    </row>
    <row r="63" spans="1:6" x14ac:dyDescent="0.2">
      <c r="A63" s="20" t="s">
        <v>1072</v>
      </c>
      <c r="B63" s="20" t="s">
        <v>1073</v>
      </c>
      <c r="C63" s="20" t="s">
        <v>1074</v>
      </c>
      <c r="D63" s="37" t="str">
        <f>HYPERLINK("https://github.com/amy-bo/electroPioreactor/blob/CO2-modular/Media/protocols/vial-geometry.md","vial-geometry.md →")</f>
        <v>vial-geometry.md →</v>
      </c>
      <c r="E63" s="110"/>
      <c r="F63" s="21" t="s">
        <v>1075</v>
      </c>
    </row>
    <row r="64" spans="1:6" x14ac:dyDescent="0.2">
      <c r="A64" s="20" t="s">
        <v>1076</v>
      </c>
      <c r="B64" s="20" t="s">
        <v>1077</v>
      </c>
      <c r="C64" s="20" t="s">
        <v>1078</v>
      </c>
      <c r="D64" s="37" t="str">
        <f>HYPERLINK("https://github.com/amy-bo/electroPioreactor/blob/CO2-modular/Media/protocols/flow-calibration.md","flow-calibration.md →")</f>
        <v>flow-calibration.md →</v>
      </c>
      <c r="E64" s="110"/>
      <c r="F64" s="21" t="s">
        <v>1079</v>
      </c>
    </row>
    <row r="65" spans="1:6" x14ac:dyDescent="0.2">
      <c r="A65" s="20" t="s">
        <v>1080</v>
      </c>
      <c r="B65" s="20" t="s">
        <v>1081</v>
      </c>
      <c r="C65" s="20" t="s">
        <v>1082</v>
      </c>
      <c r="D65" s="37" t="str">
        <f>HYPERLINK("https://github.com/amy-bo/electroPioreactor/blob/CO2-modular/Media/protocols/dissolved-oxygen.md","dissolved-oxygen.md →")</f>
        <v>dissolved-oxygen.md →</v>
      </c>
      <c r="E65" s="110"/>
      <c r="F65" s="21" t="s">
        <v>1083</v>
      </c>
    </row>
    <row r="66" spans="1:6" x14ac:dyDescent="0.2">
      <c r="A66" s="20" t="s">
        <v>1084</v>
      </c>
      <c r="B66" s="20" t="s">
        <v>1085</v>
      </c>
      <c r="C66" s="20" t="s">
        <v>1086</v>
      </c>
      <c r="D66" s="37" t="str">
        <f>HYPERLINK("https://github.com/amy-bo/electroPioreactor/blob/CO2-modular/Media/protocols/flow-calibration.md","flow-calibration.md →")</f>
        <v>flow-calibration.md →</v>
      </c>
      <c r="E66" s="110"/>
      <c r="F66" s="21" t="s">
        <v>1087</v>
      </c>
    </row>
    <row r="67" spans="1:6" x14ac:dyDescent="0.2">
      <c r="A67" s="20" t="s">
        <v>1088</v>
      </c>
      <c r="B67" s="20" t="s">
        <v>1089</v>
      </c>
      <c r="C67" s="20" t="s">
        <v>1090</v>
      </c>
      <c r="D67" s="37" t="str">
        <f>HYPERLINK("https://github.com/amy-bo/electroPioreactor/blob/CO2-modular/Media/protocols/sinter-porosity.md","sinter-porosity.md →")</f>
        <v>sinter-porosity.md →</v>
      </c>
      <c r="E67" s="110"/>
      <c r="F67" s="21" t="s">
        <v>1091</v>
      </c>
    </row>
    <row r="68" spans="1:6" x14ac:dyDescent="0.2">
      <c r="A68" s="20" t="s">
        <v>1092</v>
      </c>
      <c r="B68" s="20" t="s">
        <v>1093</v>
      </c>
      <c r="C68" s="20" t="s">
        <v>1094</v>
      </c>
      <c r="D68" s="37" t="str">
        <f>HYPERLINK("https://github.com/amy-bo/electroPioreactor/blob/CO2-modular/Media/protocols/README.md","README.md →")</f>
        <v>README.md →</v>
      </c>
      <c r="E68" s="110"/>
      <c r="F68" s="21" t="s">
        <v>1095</v>
      </c>
    </row>
    <row r="69" spans="1:6" x14ac:dyDescent="0.2">
      <c r="A69" s="20"/>
      <c r="B69" s="20"/>
      <c r="C69" s="20"/>
      <c r="D69" s="101"/>
      <c r="E69" s="20"/>
      <c r="F69" s="20"/>
    </row>
    <row r="70" spans="1:6" x14ac:dyDescent="0.2">
      <c r="A70" s="20"/>
      <c r="B70" s="20"/>
      <c r="C70" s="20"/>
      <c r="D70" s="29"/>
      <c r="E70" s="20"/>
      <c r="F70" s="20"/>
    </row>
    <row r="71" spans="1:6" x14ac:dyDescent="0.2">
      <c r="A71" s="20"/>
      <c r="B71" s="20"/>
      <c r="C71" s="20"/>
      <c r="D71" s="29"/>
      <c r="E71" s="20"/>
      <c r="F71" s="20"/>
    </row>
  </sheetData>
  <conditionalFormatting sqref="B56:B68">
    <cfRule type="expression" dxfId="28" priority="15" stopIfTrue="1">
      <formula>EXACT(B56,"HIGH")</formula>
    </cfRule>
    <cfRule type="expression" dxfId="27" priority="16" stopIfTrue="1">
      <formula>EXACT(B56,"MED")</formula>
    </cfRule>
    <cfRule type="expression" dxfId="26" priority="17" stopIfTrue="1">
      <formula>EXACT(B56,"LOW")</formula>
    </cfRule>
  </conditionalFormatting>
  <conditionalFormatting sqref="C56:C68">
    <cfRule type="expression" dxfId="25" priority="18" stopIfTrue="1">
      <formula>EXACT(C56,"low")</formula>
    </cfRule>
    <cfRule type="expression" dxfId="24" priority="19" stopIfTrue="1">
      <formula>EXACT(C56,"med")</formula>
    </cfRule>
    <cfRule type="expression" dxfId="23" priority="20" stopIfTrue="1">
      <formula>EXACT(C56,"high")</formula>
    </cfRule>
  </conditionalFormatting>
  <conditionalFormatting sqref="D13:D16">
    <cfRule type="expression" dxfId="22" priority="14" stopIfTrue="1">
      <formula>ISNUMBER(SEARCH("calibrate this",D13))</formula>
    </cfRule>
  </conditionalFormatting>
  <conditionalFormatting sqref="D19:D36">
    <cfRule type="expression" dxfId="21" priority="11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20" priority="12" stopIfTrue="1">
      <formula>OR(ISNUMBER(SEARCH("above optimum",D19)),ISNUMBER(SEARCH("watch",D19)),ISNUMBER(SEARCH("NEAREST",D19)),ISNUMBER(SEARCH("unknown",D19)),ISNUMBER(SEARCH("TIGHT",D19)))</formula>
    </cfRule>
    <cfRule type="expression" dxfId="19" priority="13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18" priority="21" stopIfTrue="1">
      <formula>OR(D35&lt;6,D35&gt;8)</formula>
    </cfRule>
    <cfRule type="expression" dxfId="17" priority="22" stopIfTrue="1">
      <formula>OR(D35&lt;6.5,D35&gt;7.5)</formula>
    </cfRule>
    <cfRule type="expression" dxfId="16" priority="23" stopIfTrue="1">
      <formula>ISNUMBER(D35)</formula>
    </cfRule>
  </conditionalFormatting>
  <conditionalFormatting sqref="D36">
    <cfRule type="expression" dxfId="15" priority="24" stopIfTrue="1">
      <formula>D36&gt;1</formula>
    </cfRule>
    <cfRule type="expression" dxfId="14" priority="25" stopIfTrue="1">
      <formula>D36&gt;0.1</formula>
    </cfRule>
    <cfRule type="expression" dxfId="13" priority="26" stopIfTrue="1">
      <formula>ISNUMBER(D36)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Electrochemistry!$A$35:$A$37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1" t="s">
        <v>132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112"/>
      <c r="E3" s="38"/>
      <c r="F3" s="20"/>
      <c r="G3" s="20"/>
      <c r="H3" s="20"/>
      <c r="I3" s="20"/>
    </row>
    <row r="4" spans="1:9" ht="16" customHeight="1" x14ac:dyDescent="0.2">
      <c r="A4" s="111" t="s">
        <v>134</v>
      </c>
      <c r="B4" s="18"/>
      <c r="C4" s="19"/>
      <c r="D4" s="112"/>
      <c r="E4" s="38"/>
      <c r="F4" s="20"/>
      <c r="G4" s="20"/>
      <c r="H4" s="20"/>
      <c r="I4" s="20"/>
    </row>
    <row r="5" spans="1:9" x14ac:dyDescent="0.2">
      <c r="A5" s="20" t="s">
        <v>135</v>
      </c>
      <c r="B5" s="20" t="s">
        <v>136</v>
      </c>
      <c r="C5" s="20" t="s">
        <v>137</v>
      </c>
      <c r="D5" s="39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138</v>
      </c>
      <c r="B6" s="20" t="s">
        <v>58</v>
      </c>
      <c r="C6" s="20" t="s">
        <v>59</v>
      </c>
      <c r="D6" s="39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3"/>
      <c r="E7" s="40"/>
      <c r="F7" s="20"/>
      <c r="G7" s="20"/>
      <c r="H7" s="20"/>
      <c r="I7" s="20"/>
    </row>
    <row r="8" spans="1:9" ht="26" customHeight="1" x14ac:dyDescent="0.2">
      <c r="A8" s="17" t="s">
        <v>139</v>
      </c>
      <c r="B8" s="18" t="s">
        <v>140</v>
      </c>
      <c r="C8" s="19" t="s">
        <v>137</v>
      </c>
      <c r="D8" s="112" t="s">
        <v>141</v>
      </c>
      <c r="E8" s="114" t="s">
        <v>142</v>
      </c>
      <c r="F8" s="20"/>
      <c r="G8" s="20"/>
      <c r="H8" s="20"/>
      <c r="I8" s="20"/>
    </row>
    <row r="9" spans="1:9" x14ac:dyDescent="0.2">
      <c r="A9" s="17" t="s">
        <v>143</v>
      </c>
      <c r="B9" s="18" t="s">
        <v>144</v>
      </c>
      <c r="C9" s="19" t="s">
        <v>137</v>
      </c>
      <c r="D9" s="112" t="s">
        <v>145</v>
      </c>
      <c r="E9" s="114" t="s">
        <v>142</v>
      </c>
      <c r="F9" s="20"/>
      <c r="G9" s="20"/>
      <c r="H9" s="20"/>
      <c r="I9" s="20"/>
    </row>
    <row r="10" spans="1:9" ht="24" customHeight="1" x14ac:dyDescent="0.2">
      <c r="A10" s="17" t="s">
        <v>146</v>
      </c>
      <c r="B10" s="18" t="s">
        <v>147</v>
      </c>
      <c r="C10" s="19" t="s">
        <v>148</v>
      </c>
      <c r="D10" s="115">
        <v>27.48</v>
      </c>
      <c r="E10" s="116" t="s">
        <v>142</v>
      </c>
      <c r="F10" s="20"/>
      <c r="G10" s="20"/>
      <c r="H10" s="20"/>
      <c r="I10" s="20"/>
    </row>
    <row r="11" spans="1:9" x14ac:dyDescent="0.2">
      <c r="A11" s="17" t="s">
        <v>149</v>
      </c>
      <c r="B11" s="18" t="s">
        <v>150</v>
      </c>
      <c r="C11" s="19" t="s">
        <v>148</v>
      </c>
      <c r="D11" s="115">
        <v>27.48</v>
      </c>
      <c r="E11" s="117" t="s">
        <v>142</v>
      </c>
      <c r="F11" s="20"/>
      <c r="G11" s="20"/>
      <c r="H11" s="20"/>
      <c r="I11" s="20"/>
    </row>
    <row r="12" spans="1:9" x14ac:dyDescent="0.2">
      <c r="A12" s="17" t="s">
        <v>151</v>
      </c>
      <c r="B12" s="18" t="s">
        <v>152</v>
      </c>
      <c r="C12" s="19" t="s">
        <v>148</v>
      </c>
      <c r="D12" s="113">
        <v>55</v>
      </c>
      <c r="E12" s="118" t="s">
        <v>142</v>
      </c>
      <c r="F12" s="20"/>
      <c r="G12" s="20"/>
      <c r="H12" s="20"/>
      <c r="I12" s="20"/>
    </row>
    <row r="13" spans="1:9" x14ac:dyDescent="0.2">
      <c r="A13" s="17" t="s">
        <v>153</v>
      </c>
      <c r="B13" s="18" t="s">
        <v>154</v>
      </c>
      <c r="C13" s="19" t="s">
        <v>148</v>
      </c>
      <c r="D13" s="113">
        <v>95</v>
      </c>
      <c r="E13" s="118" t="s">
        <v>142</v>
      </c>
      <c r="F13" s="20"/>
      <c r="G13" s="20"/>
      <c r="H13" s="20"/>
      <c r="I13" s="20"/>
    </row>
    <row r="14" spans="1:9" ht="24" customHeight="1" x14ac:dyDescent="0.2">
      <c r="A14" s="17" t="s">
        <v>155</v>
      </c>
      <c r="B14" s="18" t="s">
        <v>156</v>
      </c>
      <c r="C14" s="19" t="s">
        <v>59</v>
      </c>
      <c r="D14" s="113">
        <v>16</v>
      </c>
      <c r="E14" s="116" t="s">
        <v>142</v>
      </c>
      <c r="F14" s="20"/>
      <c r="G14" s="20"/>
      <c r="H14" s="20"/>
      <c r="I14" s="20"/>
    </row>
    <row r="15" spans="1:9" ht="24" customHeight="1" x14ac:dyDescent="0.2">
      <c r="A15" s="17" t="s">
        <v>157</v>
      </c>
      <c r="B15" s="18" t="s">
        <v>158</v>
      </c>
      <c r="C15" s="19" t="s">
        <v>59</v>
      </c>
      <c r="D15" s="113">
        <v>30</v>
      </c>
      <c r="E15" s="116" t="s">
        <v>142</v>
      </c>
      <c r="F15" s="20"/>
      <c r="G15" s="20"/>
      <c r="H15" s="20"/>
      <c r="I15" s="20"/>
    </row>
    <row r="16" spans="1:9" x14ac:dyDescent="0.2">
      <c r="A16" s="17" t="s">
        <v>159</v>
      </c>
      <c r="B16" s="18" t="s">
        <v>160</v>
      </c>
      <c r="C16" s="19" t="s">
        <v>59</v>
      </c>
      <c r="D16" s="113">
        <v>20</v>
      </c>
      <c r="E16" s="119" t="s">
        <v>142</v>
      </c>
      <c r="F16" s="20"/>
      <c r="G16" s="20"/>
      <c r="H16" s="20"/>
      <c r="I16" s="20"/>
    </row>
    <row r="17" spans="1:9" x14ac:dyDescent="0.2">
      <c r="A17" s="17" t="s">
        <v>161</v>
      </c>
      <c r="B17" s="18" t="s">
        <v>162</v>
      </c>
      <c r="C17" s="19" t="s">
        <v>59</v>
      </c>
      <c r="D17" s="113">
        <v>42</v>
      </c>
      <c r="E17" s="119" t="s">
        <v>142</v>
      </c>
      <c r="F17" s="20"/>
      <c r="G17" s="20"/>
      <c r="H17" s="20"/>
      <c r="I17" s="20"/>
    </row>
    <row r="18" spans="1:9" x14ac:dyDescent="0.2">
      <c r="A18" s="17" t="s">
        <v>163</v>
      </c>
      <c r="B18" s="18" t="s">
        <v>164</v>
      </c>
      <c r="C18" s="19" t="s">
        <v>148</v>
      </c>
      <c r="D18" s="41">
        <f>VLOOKUP(rx_ver,$A$84:$I$87,7,FALSE)</f>
        <v>27.48</v>
      </c>
      <c r="E18" s="102" t="s">
        <v>165</v>
      </c>
      <c r="F18" s="20"/>
      <c r="G18" s="20"/>
      <c r="H18" s="20"/>
      <c r="I18" s="20"/>
    </row>
    <row r="19" spans="1:9" ht="24" customHeight="1" x14ac:dyDescent="0.2">
      <c r="A19" s="17" t="s">
        <v>166</v>
      </c>
      <c r="B19" s="18" t="s">
        <v>167</v>
      </c>
      <c r="C19" s="19" t="s">
        <v>148</v>
      </c>
      <c r="D19" s="115">
        <v>1.1000000000000001</v>
      </c>
      <c r="E19" s="42" t="s">
        <v>168</v>
      </c>
      <c r="F19" s="20"/>
      <c r="G19" s="20"/>
      <c r="H19" s="20"/>
      <c r="I19" s="20"/>
    </row>
    <row r="20" spans="1:9" x14ac:dyDescent="0.2">
      <c r="A20" s="17" t="s">
        <v>169</v>
      </c>
      <c r="B20" s="18" t="s">
        <v>170</v>
      </c>
      <c r="C20" s="19" t="s">
        <v>148</v>
      </c>
      <c r="D20" s="43">
        <f>vial_OD-2*vial_wall</f>
        <v>25.28</v>
      </c>
      <c r="E20" s="102" t="s">
        <v>171</v>
      </c>
      <c r="F20" s="20"/>
      <c r="G20" s="20"/>
      <c r="H20" s="20"/>
      <c r="I20" s="20"/>
    </row>
    <row r="21" spans="1:9" x14ac:dyDescent="0.2">
      <c r="A21" s="17" t="s">
        <v>172</v>
      </c>
      <c r="B21" s="18" t="s">
        <v>173</v>
      </c>
      <c r="C21" s="19" t="s">
        <v>174</v>
      </c>
      <c r="D21" s="44">
        <f>PI()/4*vial_ID^2</f>
        <v>501.93100162697988</v>
      </c>
      <c r="E21" s="102" t="s">
        <v>175</v>
      </c>
      <c r="F21" s="20"/>
      <c r="G21" s="20"/>
      <c r="H21" s="20"/>
      <c r="I21" s="20"/>
    </row>
    <row r="22" spans="1:9" x14ac:dyDescent="0.2">
      <c r="A22" s="17" t="s">
        <v>176</v>
      </c>
      <c r="B22" s="18" t="s">
        <v>177</v>
      </c>
      <c r="C22" s="19" t="s">
        <v>148</v>
      </c>
      <c r="D22" s="45">
        <f>VLOOKUP(rx_ver,$A$84:$I$87,4,FALSE)</f>
        <v>55</v>
      </c>
      <c r="E22" s="102" t="s">
        <v>178</v>
      </c>
      <c r="F22" s="20"/>
      <c r="G22" s="20"/>
      <c r="H22" s="20"/>
      <c r="I22" s="20"/>
    </row>
    <row r="23" spans="1:9" x14ac:dyDescent="0.2">
      <c r="A23" s="17" t="s">
        <v>179</v>
      </c>
      <c r="B23" s="18" t="s">
        <v>180</v>
      </c>
      <c r="C23" s="19" t="s">
        <v>59</v>
      </c>
      <c r="D23" s="45">
        <f>VLOOKUP(rx_ver,$A$84:$I$87,5,FALSE)</f>
        <v>16</v>
      </c>
      <c r="E23" s="102" t="s">
        <v>178</v>
      </c>
      <c r="F23" s="20"/>
      <c r="G23" s="20"/>
      <c r="H23" s="20"/>
      <c r="I23" s="20"/>
    </row>
    <row r="24" spans="1:9" x14ac:dyDescent="0.2">
      <c r="A24" s="17" t="s">
        <v>181</v>
      </c>
      <c r="B24" s="18" t="s">
        <v>182</v>
      </c>
      <c r="C24" s="19" t="s">
        <v>59</v>
      </c>
      <c r="D24" s="45">
        <f>VLOOKUP(rx_ver,$A$84:$I$87,6,FALSE)</f>
        <v>20</v>
      </c>
      <c r="E24" s="102" t="s">
        <v>178</v>
      </c>
      <c r="F24" s="20"/>
      <c r="G24" s="20"/>
      <c r="H24" s="20"/>
      <c r="I24" s="20"/>
    </row>
    <row r="25" spans="1:9" x14ac:dyDescent="0.2">
      <c r="A25" s="17" t="s">
        <v>183</v>
      </c>
      <c r="B25" s="18" t="s">
        <v>184</v>
      </c>
      <c r="C25" s="19" t="s">
        <v>148</v>
      </c>
      <c r="D25" s="43">
        <f>V_max*1000/A_x</f>
        <v>31.876891341911417</v>
      </c>
      <c r="E25" s="102" t="s">
        <v>185</v>
      </c>
      <c r="F25" s="20"/>
      <c r="G25" s="20"/>
      <c r="H25" s="20"/>
      <c r="I25" s="20"/>
    </row>
    <row r="26" spans="1:9" x14ac:dyDescent="0.2">
      <c r="A26" s="17" t="s">
        <v>186</v>
      </c>
      <c r="B26" s="18" t="s">
        <v>187</v>
      </c>
      <c r="C26" s="19" t="s">
        <v>148</v>
      </c>
      <c r="D26" s="113">
        <v>6</v>
      </c>
      <c r="E26" s="38" t="s">
        <v>188</v>
      </c>
      <c r="F26" s="20"/>
      <c r="G26" s="20"/>
      <c r="H26" s="20"/>
      <c r="I26" s="20"/>
    </row>
    <row r="27" spans="1:9" x14ac:dyDescent="0.2">
      <c r="A27" s="17" t="s">
        <v>189</v>
      </c>
      <c r="B27" s="18" t="s">
        <v>190</v>
      </c>
      <c r="C27" s="19" t="s">
        <v>137</v>
      </c>
      <c r="D27" s="112">
        <v>2</v>
      </c>
      <c r="E27" s="102" t="s">
        <v>191</v>
      </c>
      <c r="F27" s="20"/>
      <c r="G27" s="20"/>
      <c r="H27" s="20"/>
      <c r="I27" s="20"/>
    </row>
    <row r="28" spans="1:9" x14ac:dyDescent="0.2">
      <c r="A28" s="17" t="s">
        <v>192</v>
      </c>
      <c r="B28" s="18" t="s">
        <v>193</v>
      </c>
      <c r="C28" s="19" t="s">
        <v>148</v>
      </c>
      <c r="D28" s="113">
        <v>22</v>
      </c>
      <c r="E28" s="38" t="s">
        <v>194</v>
      </c>
      <c r="F28" s="20"/>
      <c r="G28" s="20"/>
      <c r="H28" s="20"/>
      <c r="I28" s="20"/>
    </row>
    <row r="29" spans="1:9" x14ac:dyDescent="0.2">
      <c r="A29" s="120" t="s">
        <v>195</v>
      </c>
      <c r="B29" s="18" t="s">
        <v>196</v>
      </c>
      <c r="C29" s="19" t="s">
        <v>148</v>
      </c>
      <c r="D29" s="44">
        <f>D_int-elec_clear</f>
        <v>33</v>
      </c>
      <c r="E29" s="102" t="s">
        <v>197</v>
      </c>
      <c r="F29" s="20"/>
      <c r="G29" s="20"/>
      <c r="H29" s="20"/>
      <c r="I29" s="20"/>
    </row>
    <row r="30" spans="1:9" x14ac:dyDescent="0.2">
      <c r="A30" s="17" t="s">
        <v>198</v>
      </c>
      <c r="B30" s="18" t="s">
        <v>199</v>
      </c>
      <c r="C30" s="19" t="s">
        <v>148</v>
      </c>
      <c r="D30" s="121">
        <v>3.1749999999999998</v>
      </c>
      <c r="E30" s="102" t="s">
        <v>200</v>
      </c>
      <c r="F30" s="20"/>
      <c r="G30" s="20"/>
      <c r="H30" s="20"/>
      <c r="I30" s="20"/>
    </row>
    <row r="31" spans="1:9" x14ac:dyDescent="0.2">
      <c r="A31" s="17" t="s">
        <v>201</v>
      </c>
      <c r="B31" s="18" t="s">
        <v>202</v>
      </c>
      <c r="C31" s="19" t="s">
        <v>148</v>
      </c>
      <c r="D31" s="122">
        <v>1.5874999999999999</v>
      </c>
      <c r="E31" s="102" t="s">
        <v>203</v>
      </c>
      <c r="F31" s="20"/>
      <c r="G31" s="20"/>
      <c r="H31" s="20"/>
      <c r="I31" s="20"/>
    </row>
    <row r="32" spans="1:9" x14ac:dyDescent="0.2">
      <c r="A32" s="17" t="s">
        <v>204</v>
      </c>
      <c r="B32" s="18" t="s">
        <v>205</v>
      </c>
      <c r="C32" s="19" t="s">
        <v>148</v>
      </c>
      <c r="D32" s="44">
        <f>elec_clear</f>
        <v>22</v>
      </c>
      <c r="E32" s="38" t="s">
        <v>206</v>
      </c>
      <c r="F32" s="20"/>
      <c r="G32" s="20"/>
      <c r="H32" s="20"/>
      <c r="I32" s="20"/>
    </row>
    <row r="33" spans="1:9" x14ac:dyDescent="0.2">
      <c r="A33" s="17" t="s">
        <v>207</v>
      </c>
      <c r="B33" s="18" t="s">
        <v>208</v>
      </c>
      <c r="C33" s="19" t="s">
        <v>148</v>
      </c>
      <c r="D33" s="121">
        <v>3.1749999999999998</v>
      </c>
      <c r="E33" s="102" t="s">
        <v>200</v>
      </c>
      <c r="F33" s="20"/>
      <c r="G33" s="20"/>
      <c r="H33" s="20"/>
      <c r="I33" s="20"/>
    </row>
    <row r="34" spans="1:9" x14ac:dyDescent="0.2">
      <c r="A34" s="17" t="s">
        <v>209</v>
      </c>
      <c r="B34" s="18" t="s">
        <v>210</v>
      </c>
      <c r="C34" s="19" t="s">
        <v>148</v>
      </c>
      <c r="D34" s="122">
        <v>1.5874999999999999</v>
      </c>
      <c r="E34" s="102" t="s">
        <v>203</v>
      </c>
      <c r="F34" s="20"/>
      <c r="G34" s="20"/>
      <c r="H34" s="20"/>
      <c r="I34" s="20"/>
    </row>
    <row r="35" spans="1:9" x14ac:dyDescent="0.2">
      <c r="A35" s="17" t="s">
        <v>211</v>
      </c>
      <c r="B35" s="18" t="s">
        <v>212</v>
      </c>
      <c r="C35" s="19" t="s">
        <v>148</v>
      </c>
      <c r="D35" s="43">
        <f>MAX(0,h_datum-elec_clear)</f>
        <v>9.876891341911417</v>
      </c>
      <c r="E35" s="102" t="s">
        <v>213</v>
      </c>
      <c r="F35" s="20"/>
      <c r="G35" s="20"/>
      <c r="H35" s="20"/>
      <c r="I35" s="20"/>
    </row>
    <row r="36" spans="1:9" x14ac:dyDescent="0.2">
      <c r="A36" s="17" t="s">
        <v>214</v>
      </c>
      <c r="B36" s="18" t="s">
        <v>215</v>
      </c>
      <c r="C36" s="19" t="s">
        <v>59</v>
      </c>
      <c r="D36" s="46">
        <f>rod_n*(PI()/4*rod_d^2)*elec_sub_L/1000</f>
        <v>0.55852504704096373</v>
      </c>
      <c r="E36" s="102" t="s">
        <v>216</v>
      </c>
      <c r="F36" s="20"/>
      <c r="G36" s="20"/>
      <c r="H36" s="20"/>
      <c r="I36" s="20"/>
    </row>
    <row r="37" spans="1:9" x14ac:dyDescent="0.2">
      <c r="A37" s="17" t="s">
        <v>217</v>
      </c>
      <c r="B37" s="18" t="s">
        <v>218</v>
      </c>
      <c r="C37" s="19" t="s">
        <v>59</v>
      </c>
      <c r="D37" s="46">
        <f>(PI()/4*spg_OD^2)*MAX(0,h_datum-spg_tip_h)/1000</f>
        <v>7.8198354893434921E-2</v>
      </c>
      <c r="E37" s="102" t="s">
        <v>219</v>
      </c>
      <c r="F37" s="20"/>
      <c r="G37" s="20"/>
      <c r="H37" s="20"/>
      <c r="I37" s="20"/>
    </row>
    <row r="38" spans="1:9" x14ac:dyDescent="0.2">
      <c r="A38" s="17" t="s">
        <v>220</v>
      </c>
      <c r="B38" s="18" t="s">
        <v>221</v>
      </c>
      <c r="C38" s="19" t="s">
        <v>148</v>
      </c>
      <c r="D38" s="46">
        <f>(eff_OD+eff_ID)/2</f>
        <v>2.3812499999999996</v>
      </c>
      <c r="E38" s="38" t="s">
        <v>222</v>
      </c>
      <c r="F38" s="20"/>
      <c r="G38" s="20"/>
      <c r="H38" s="20"/>
      <c r="I38" s="20"/>
    </row>
    <row r="39" spans="1:9" x14ac:dyDescent="0.2">
      <c r="A39" s="17" t="s">
        <v>223</v>
      </c>
      <c r="B39" s="18" t="s">
        <v>224</v>
      </c>
      <c r="C39" s="19" t="s">
        <v>59</v>
      </c>
      <c r="D39" s="47">
        <f>(PI()/4*(eff_OD^2-eff_ID^2))*eff_sub_L/1000</f>
        <v>1.4139810757041989E-2</v>
      </c>
      <c r="E39" s="38" t="s">
        <v>225</v>
      </c>
      <c r="F39" s="20"/>
      <c r="G39" s="20"/>
      <c r="H39" s="20"/>
      <c r="I39" s="20"/>
    </row>
    <row r="40" spans="1:9" x14ac:dyDescent="0.2">
      <c r="A40" s="17" t="s">
        <v>226</v>
      </c>
      <c r="B40" s="18" t="s">
        <v>227</v>
      </c>
      <c r="C40" s="19" t="s">
        <v>59</v>
      </c>
      <c r="D40" s="46">
        <f>elec_disp+spg_disp+eff_disp</f>
        <v>0.65086321269144065</v>
      </c>
      <c r="E40" s="102" t="s">
        <v>228</v>
      </c>
      <c r="F40" s="20"/>
      <c r="G40" s="20"/>
      <c r="H40" s="20"/>
      <c r="I40" s="20"/>
    </row>
    <row r="41" spans="1:9" x14ac:dyDescent="0.2">
      <c r="A41" s="120" t="s">
        <v>229</v>
      </c>
      <c r="B41" s="18" t="s">
        <v>230</v>
      </c>
      <c r="C41" s="19" t="s">
        <v>59</v>
      </c>
      <c r="D41" s="48">
        <f>IF(media_volume&gt;0,media_volume,ROUND(V_max-disp_tot,0))</f>
        <v>15</v>
      </c>
      <c r="E41" s="102" t="s">
        <v>231</v>
      </c>
      <c r="F41" s="20"/>
      <c r="G41" s="20"/>
      <c r="H41" s="20"/>
      <c r="I41" s="20"/>
    </row>
    <row r="42" spans="1:9" x14ac:dyDescent="0.2">
      <c r="A42" s="120" t="s">
        <v>232</v>
      </c>
      <c r="B42" s="18" t="s">
        <v>233</v>
      </c>
      <c r="C42" s="19" t="s">
        <v>148</v>
      </c>
      <c r="D42" s="43">
        <f>(V_charge+disp_tot)*1000/A_x</f>
        <v>31.18130412738023</v>
      </c>
      <c r="E42" s="102" t="s">
        <v>234</v>
      </c>
      <c r="F42" s="20"/>
      <c r="G42" s="20"/>
      <c r="H42" s="20"/>
      <c r="I42" s="20"/>
    </row>
    <row r="43" spans="1:9" x14ac:dyDescent="0.2">
      <c r="A43" s="120" t="s">
        <v>235</v>
      </c>
      <c r="B43" s="18" t="s">
        <v>236</v>
      </c>
      <c r="C43" s="19" t="s">
        <v>148</v>
      </c>
      <c r="D43" s="43">
        <f>MAX(0,h_actual-spg_tip_h)</f>
        <v>9.1813041273802298</v>
      </c>
      <c r="E43" s="102" t="s">
        <v>237</v>
      </c>
      <c r="F43" s="20"/>
      <c r="G43" s="20"/>
      <c r="H43" s="20"/>
      <c r="I43" s="20"/>
    </row>
    <row r="44" spans="1:9" x14ac:dyDescent="0.2">
      <c r="A44" s="120" t="s">
        <v>238</v>
      </c>
      <c r="B44" s="18" t="s">
        <v>239</v>
      </c>
      <c r="C44" s="19" t="s">
        <v>174</v>
      </c>
      <c r="D44" s="44">
        <f>A_x-(rod_n*(PI()/4*rod_d^2)+(PI()/4*spg_OD^2)+(PI()/4*eff_OD^2))</f>
        <v>429.5477251405668</v>
      </c>
      <c r="E44" s="38" t="s">
        <v>240</v>
      </c>
      <c r="F44" s="20"/>
      <c r="G44" s="20"/>
      <c r="H44" s="20"/>
      <c r="I44" s="20"/>
    </row>
    <row r="45" spans="1:9" x14ac:dyDescent="0.2">
      <c r="A45" s="17" t="s">
        <v>241</v>
      </c>
      <c r="B45" s="18" t="s">
        <v>242</v>
      </c>
      <c r="C45" s="19" t="s">
        <v>148</v>
      </c>
      <c r="D45" s="46">
        <f>eff_OD</f>
        <v>3.1749999999999998</v>
      </c>
      <c r="E45" s="38" t="s">
        <v>243</v>
      </c>
      <c r="F45" s="20"/>
      <c r="G45" s="20"/>
      <c r="H45" s="20"/>
      <c r="I45" s="20"/>
    </row>
    <row r="46" spans="1:9" x14ac:dyDescent="0.2">
      <c r="A46" s="17" t="s">
        <v>244</v>
      </c>
      <c r="B46" s="18" t="s">
        <v>245</v>
      </c>
      <c r="C46" s="19" t="s">
        <v>137</v>
      </c>
      <c r="D46" s="112">
        <v>3</v>
      </c>
      <c r="E46" s="38" t="s">
        <v>246</v>
      </c>
      <c r="F46" s="20"/>
      <c r="G46" s="20"/>
      <c r="H46" s="20"/>
      <c r="I46" s="20"/>
    </row>
    <row r="47" spans="1:9" x14ac:dyDescent="0.2">
      <c r="A47" s="17" t="s">
        <v>247</v>
      </c>
      <c r="B47" s="18" t="s">
        <v>248</v>
      </c>
      <c r="C47" s="19" t="s">
        <v>148</v>
      </c>
      <c r="D47" s="113">
        <v>5</v>
      </c>
      <c r="E47" s="42" t="s">
        <v>249</v>
      </c>
      <c r="F47" s="20"/>
      <c r="G47" s="20"/>
      <c r="H47" s="20"/>
      <c r="I47" s="20"/>
    </row>
    <row r="48" spans="1:9" x14ac:dyDescent="0.2">
      <c r="A48" s="17" t="s">
        <v>250</v>
      </c>
      <c r="B48" s="18" t="s">
        <v>251</v>
      </c>
      <c r="C48" s="19" t="s">
        <v>59</v>
      </c>
      <c r="D48" s="46">
        <f>(rod_n*(PI()/4*rod_d^2)*elec_ins+(PI()/4*spg_OD^2)*spg_len+(PI()/4*(eff_OD^2-eff_ID^2))*(D_int-h_actual)+xtube_n*(PI()/4*xtube_OD^2)*xtube_pro)/1000</f>
        <v>2.3875715440828644</v>
      </c>
      <c r="E48" s="38" t="s">
        <v>252</v>
      </c>
      <c r="F48" s="20"/>
      <c r="G48" s="20"/>
      <c r="H48" s="20"/>
      <c r="I48" s="20"/>
    </row>
    <row r="49" spans="1:9" x14ac:dyDescent="0.2">
      <c r="A49" s="120" t="s">
        <v>253</v>
      </c>
      <c r="B49" s="18" t="s">
        <v>254</v>
      </c>
      <c r="C49" s="19" t="s">
        <v>59</v>
      </c>
      <c r="D49" s="43">
        <f>V_vial_total-V_charge-V_inserts</f>
        <v>2.6124284559171356</v>
      </c>
      <c r="E49" s="38" t="s">
        <v>255</v>
      </c>
      <c r="F49" s="20"/>
      <c r="G49" s="20"/>
      <c r="H49" s="20"/>
      <c r="I49" s="20"/>
    </row>
    <row r="50" spans="1:9" x14ac:dyDescent="0.2">
      <c r="A50" s="17" t="s">
        <v>256</v>
      </c>
      <c r="B50" s="18" t="s">
        <v>257</v>
      </c>
      <c r="C50" s="19" t="s">
        <v>148</v>
      </c>
      <c r="D50" s="49">
        <f>D_int-spg_tip_h</f>
        <v>33</v>
      </c>
      <c r="E50" s="102" t="s">
        <v>258</v>
      </c>
      <c r="F50" s="20"/>
      <c r="G50" s="20"/>
      <c r="H50" s="20"/>
      <c r="I50" s="20"/>
    </row>
    <row r="51" spans="1:9" x14ac:dyDescent="0.2">
      <c r="A51" s="20" t="s">
        <v>259</v>
      </c>
      <c r="B51" s="20" t="s">
        <v>260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261</v>
      </c>
      <c r="B52" s="20" t="s">
        <v>262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8" t="s">
        <v>263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264</v>
      </c>
      <c r="B54" s="20" t="s">
        <v>265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266</v>
      </c>
      <c r="B55" s="20" t="s">
        <v>267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10" t="s">
        <v>268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10" t="s">
        <v>1</v>
      </c>
      <c r="B58" s="110" t="s">
        <v>269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270</v>
      </c>
      <c r="B59" s="20" t="s">
        <v>141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271</v>
      </c>
      <c r="B60" s="20" t="s">
        <v>141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272</v>
      </c>
      <c r="B61" s="20" t="s">
        <v>141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273</v>
      </c>
      <c r="B62" s="20" t="s">
        <v>141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274</v>
      </c>
      <c r="B63" s="20" t="s">
        <v>141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275</v>
      </c>
      <c r="B64" s="20" t="s">
        <v>141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276</v>
      </c>
      <c r="B65" s="20" t="s">
        <v>141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277</v>
      </c>
      <c r="B66" s="20" t="s">
        <v>141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278</v>
      </c>
      <c r="B67" s="20" t="s">
        <v>141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279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280</v>
      </c>
      <c r="B69" s="20" t="s">
        <v>279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281</v>
      </c>
      <c r="B70" s="20" t="s">
        <v>145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282</v>
      </c>
      <c r="B71" s="20" t="s">
        <v>145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283</v>
      </c>
      <c r="B72" s="20" t="s">
        <v>145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284</v>
      </c>
      <c r="B73" s="20" t="s">
        <v>145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285</v>
      </c>
      <c r="B74" s="20" t="s">
        <v>145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286</v>
      </c>
      <c r="B75" s="20" t="s">
        <v>145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287</v>
      </c>
      <c r="B76" s="20" t="s">
        <v>145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288</v>
      </c>
      <c r="B77" s="20" t="s">
        <v>145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289</v>
      </c>
      <c r="B78" s="20" t="s">
        <v>145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290</v>
      </c>
      <c r="B79" s="20" t="s">
        <v>291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292</v>
      </c>
      <c r="B80" s="20" t="s">
        <v>145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10" t="s">
        <v>293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10" t="s">
        <v>269</v>
      </c>
      <c r="B83" s="110" t="s">
        <v>294</v>
      </c>
      <c r="C83" s="110" t="s">
        <v>295</v>
      </c>
      <c r="D83" s="110" t="s">
        <v>296</v>
      </c>
      <c r="E83" s="110" t="s">
        <v>297</v>
      </c>
      <c r="F83" s="110" t="s">
        <v>298</v>
      </c>
      <c r="G83" s="110" t="s">
        <v>299</v>
      </c>
      <c r="H83" s="110" t="s">
        <v>300</v>
      </c>
      <c r="I83" s="110" t="s">
        <v>301</v>
      </c>
    </row>
    <row r="84" spans="1:9" x14ac:dyDescent="0.2">
      <c r="A84" s="20" t="s">
        <v>141</v>
      </c>
      <c r="B84" s="20" t="s">
        <v>302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279</v>
      </c>
      <c r="B85" s="20" t="s">
        <v>302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145</v>
      </c>
      <c r="B86" s="20" t="s">
        <v>303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291</v>
      </c>
      <c r="B87" s="20" t="s">
        <v>303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10" t="s">
        <v>304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305</v>
      </c>
      <c r="B90" s="20" t="s">
        <v>306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8" t="s">
        <v>307</v>
      </c>
      <c r="G90" s="20"/>
      <c r="H90" s="20"/>
      <c r="I90" s="20"/>
    </row>
  </sheetData>
  <conditionalFormatting sqref="D86:D87">
    <cfRule type="expression" dxfId="12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1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I39"/>
  <sheetViews>
    <sheetView topLeftCell="A19" zoomScale="181" workbookViewId="0">
      <selection activeCell="G34" sqref="G34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1" t="s">
        <v>308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  <c r="G2" s="20"/>
      <c r="H2" s="20"/>
      <c r="I2" s="20"/>
    </row>
    <row r="3" spans="1:9" x14ac:dyDescent="0.2">
      <c r="A3" s="17"/>
      <c r="B3" s="18"/>
      <c r="C3" s="19"/>
      <c r="D3" s="50"/>
      <c r="E3" s="38"/>
      <c r="F3" s="20"/>
      <c r="G3" s="20"/>
      <c r="H3" s="20"/>
      <c r="I3" s="20"/>
    </row>
    <row r="4" spans="1:9" ht="16" customHeight="1" x14ac:dyDescent="0.2">
      <c r="A4" s="111" t="s">
        <v>134</v>
      </c>
      <c r="B4" s="18"/>
      <c r="C4" s="19"/>
      <c r="D4" s="51"/>
      <c r="E4" s="52"/>
      <c r="F4" s="20"/>
      <c r="G4" s="20"/>
      <c r="H4" s="20"/>
      <c r="I4" s="20"/>
    </row>
    <row r="5" spans="1:9" x14ac:dyDescent="0.2">
      <c r="A5" s="20" t="s">
        <v>309</v>
      </c>
      <c r="B5" s="20" t="s">
        <v>310</v>
      </c>
      <c r="C5" s="20" t="s">
        <v>311</v>
      </c>
      <c r="D5" s="26">
        <f>Biology!$D$18</f>
        <v>303.14999999999998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312</v>
      </c>
      <c r="B6" s="20" t="s">
        <v>313</v>
      </c>
      <c r="C6" s="20" t="s">
        <v>64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314</v>
      </c>
      <c r="B7" s="20" t="s">
        <v>315</v>
      </c>
      <c r="C7" s="20" t="s">
        <v>316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317</v>
      </c>
      <c r="B8" s="20" t="s">
        <v>34</v>
      </c>
      <c r="C8" s="20"/>
      <c r="D8" s="39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3"/>
      <c r="E9" s="102"/>
      <c r="F9" s="20"/>
      <c r="G9" s="20"/>
      <c r="H9" s="20"/>
      <c r="I9" s="20"/>
    </row>
    <row r="10" spans="1:9" x14ac:dyDescent="0.2">
      <c r="A10" s="17" t="s">
        <v>318</v>
      </c>
      <c r="B10" s="18" t="s">
        <v>319</v>
      </c>
      <c r="C10" s="19" t="s">
        <v>46</v>
      </c>
      <c r="D10" s="54">
        <f>Summary!$D$6</f>
        <v>3</v>
      </c>
      <c r="E10" s="38" t="s">
        <v>320</v>
      </c>
      <c r="F10" s="20"/>
      <c r="G10" s="20"/>
      <c r="H10" s="20"/>
      <c r="I10" s="20"/>
    </row>
    <row r="11" spans="1:9" ht="36" customHeight="1" x14ac:dyDescent="0.2">
      <c r="A11" s="17" t="s">
        <v>321</v>
      </c>
      <c r="B11" s="18" t="s">
        <v>322</v>
      </c>
      <c r="C11" s="19" t="s">
        <v>323</v>
      </c>
      <c r="D11" s="51">
        <v>1.03</v>
      </c>
      <c r="E11" s="116" t="s">
        <v>324</v>
      </c>
      <c r="F11" s="20"/>
      <c r="G11" s="20"/>
      <c r="H11" s="20"/>
      <c r="I11" s="20"/>
    </row>
    <row r="12" spans="1:9" x14ac:dyDescent="0.2">
      <c r="A12" s="17" t="s">
        <v>325</v>
      </c>
      <c r="B12" s="18" t="s">
        <v>326</v>
      </c>
      <c r="C12" s="19" t="s">
        <v>327</v>
      </c>
      <c r="D12" s="55">
        <v>2.6</v>
      </c>
      <c r="E12" s="116" t="s">
        <v>328</v>
      </c>
      <c r="F12" s="20"/>
      <c r="G12" s="20"/>
      <c r="H12" s="20"/>
      <c r="I12" s="20"/>
    </row>
    <row r="13" spans="1:9" x14ac:dyDescent="0.2">
      <c r="A13" s="17" t="s">
        <v>329</v>
      </c>
      <c r="B13" s="18" t="s">
        <v>330</v>
      </c>
      <c r="C13" s="19" t="s">
        <v>46</v>
      </c>
      <c r="D13" s="56">
        <v>3</v>
      </c>
      <c r="E13" s="52" t="s">
        <v>331</v>
      </c>
      <c r="F13" s="20"/>
      <c r="G13" s="20"/>
      <c r="H13" s="20"/>
      <c r="I13" s="20"/>
    </row>
    <row r="14" spans="1:9" x14ac:dyDescent="0.2">
      <c r="A14" s="17" t="s">
        <v>332</v>
      </c>
      <c r="B14" s="18" t="s">
        <v>333</v>
      </c>
      <c r="C14" s="19" t="s">
        <v>46</v>
      </c>
      <c r="D14" s="56">
        <v>25</v>
      </c>
      <c r="E14" s="52" t="s">
        <v>334</v>
      </c>
      <c r="F14" s="20"/>
      <c r="G14" s="20"/>
      <c r="H14" s="20"/>
      <c r="I14" s="20"/>
    </row>
    <row r="15" spans="1:9" x14ac:dyDescent="0.2">
      <c r="A15" s="17" t="s">
        <v>335</v>
      </c>
      <c r="B15" s="18" t="s">
        <v>336</v>
      </c>
      <c r="C15" s="19" t="s">
        <v>337</v>
      </c>
      <c r="D15" s="57">
        <v>96485.332120000006</v>
      </c>
      <c r="E15" s="103" t="s">
        <v>338</v>
      </c>
      <c r="F15" s="20"/>
      <c r="G15" s="20"/>
      <c r="H15" s="20"/>
      <c r="I15" s="20"/>
    </row>
    <row r="16" spans="1:9" x14ac:dyDescent="0.2">
      <c r="A16" s="17" t="s">
        <v>339</v>
      </c>
      <c r="B16" s="18" t="s">
        <v>340</v>
      </c>
      <c r="C16" s="19" t="s">
        <v>137</v>
      </c>
      <c r="D16" s="53">
        <v>2</v>
      </c>
      <c r="E16" s="102" t="s">
        <v>341</v>
      </c>
      <c r="F16" s="20"/>
      <c r="G16" s="20"/>
      <c r="H16" s="20"/>
      <c r="I16" s="20"/>
    </row>
    <row r="17" spans="1:9" x14ac:dyDescent="0.2">
      <c r="A17" s="17" t="s">
        <v>342</v>
      </c>
      <c r="B17" s="18" t="s">
        <v>343</v>
      </c>
      <c r="C17" s="19" t="s">
        <v>137</v>
      </c>
      <c r="D17" s="53">
        <v>4</v>
      </c>
      <c r="E17" s="102" t="s">
        <v>344</v>
      </c>
      <c r="F17" s="20"/>
      <c r="G17" s="20"/>
      <c r="H17" s="20"/>
      <c r="I17" s="20"/>
    </row>
    <row r="18" spans="1:9" ht="24" customHeight="1" x14ac:dyDescent="0.2">
      <c r="A18" s="17" t="s">
        <v>345</v>
      </c>
      <c r="B18" s="18" t="s">
        <v>346</v>
      </c>
      <c r="C18" s="19" t="s">
        <v>137</v>
      </c>
      <c r="D18" s="115">
        <v>1</v>
      </c>
      <c r="E18" s="58" t="s">
        <v>347</v>
      </c>
      <c r="F18" s="20"/>
      <c r="G18" s="20"/>
      <c r="H18" s="20"/>
      <c r="I18" s="20"/>
    </row>
    <row r="19" spans="1:9" ht="24" customHeight="1" x14ac:dyDescent="0.2">
      <c r="A19" s="17" t="s">
        <v>348</v>
      </c>
      <c r="B19" s="18" t="s">
        <v>349</v>
      </c>
      <c r="C19" s="19" t="s">
        <v>350</v>
      </c>
      <c r="D19" s="47">
        <f>(gerrit_slope*intensity+gerrit_int)/1000</f>
        <v>5.6899999999999997E-3</v>
      </c>
      <c r="E19" s="52" t="s">
        <v>351</v>
      </c>
      <c r="F19" s="20"/>
      <c r="G19" s="20"/>
      <c r="H19" s="20"/>
      <c r="I19" s="20"/>
    </row>
    <row r="20" spans="1:9" ht="24" customHeight="1" x14ac:dyDescent="0.2">
      <c r="A20" s="17" t="s">
        <v>352</v>
      </c>
      <c r="B20" s="18" t="s">
        <v>353</v>
      </c>
      <c r="C20" s="19" t="s">
        <v>137</v>
      </c>
      <c r="D20" s="59" t="str">
        <f>IF(AND(intensity&gt;=gerrit_min,intensity&lt;=gerrit_max),"OK","OUT")</f>
        <v>OK</v>
      </c>
      <c r="E20" s="52" t="s">
        <v>354</v>
      </c>
      <c r="F20" s="20"/>
      <c r="G20" s="20"/>
      <c r="H20" s="20"/>
      <c r="I20" s="20"/>
    </row>
    <row r="21" spans="1:9" x14ac:dyDescent="0.2">
      <c r="A21" s="17" t="s">
        <v>355</v>
      </c>
      <c r="B21" s="18" t="s">
        <v>356</v>
      </c>
      <c r="C21" s="19" t="s">
        <v>357</v>
      </c>
      <c r="D21" s="49">
        <f>I_app*etaF/(z_e_H2*F_const)*3600</f>
        <v>1.0615084982307878E-4</v>
      </c>
      <c r="E21" s="102" t="s">
        <v>358</v>
      </c>
      <c r="F21" s="20"/>
      <c r="G21" s="20"/>
      <c r="H21" s="20"/>
      <c r="I21" s="20"/>
    </row>
    <row r="22" spans="1:9" x14ac:dyDescent="0.2">
      <c r="A22" s="17" t="s">
        <v>359</v>
      </c>
      <c r="B22" s="18" t="s">
        <v>360</v>
      </c>
      <c r="C22" s="19" t="s">
        <v>357</v>
      </c>
      <c r="D22" s="49">
        <f>I_app*etaF_OER/(z_e_O2*F_const)*3600</f>
        <v>5.3075424911539388E-5</v>
      </c>
      <c r="E22" s="102" t="s">
        <v>361</v>
      </c>
      <c r="F22" s="20"/>
      <c r="G22" s="20"/>
      <c r="H22" s="20"/>
      <c r="I22" s="20"/>
    </row>
    <row r="23" spans="1:9" x14ac:dyDescent="0.2">
      <c r="A23" s="17" t="s">
        <v>362</v>
      </c>
      <c r="B23" s="18" t="s">
        <v>363</v>
      </c>
      <c r="C23" s="19" t="s">
        <v>364</v>
      </c>
      <c r="D23" s="49">
        <f>rH2_gen/60*R_gas*T_K/P_atm*1000000</f>
        <v>4.4009594822921834E-2</v>
      </c>
      <c r="E23" s="102" t="s">
        <v>365</v>
      </c>
      <c r="F23" s="20"/>
      <c r="G23" s="20"/>
      <c r="H23" s="20"/>
      <c r="I23" s="20"/>
    </row>
    <row r="24" spans="1:9" x14ac:dyDescent="0.2">
      <c r="A24" s="17" t="s">
        <v>366</v>
      </c>
      <c r="B24" s="18" t="s">
        <v>367</v>
      </c>
      <c r="C24" s="19" t="s">
        <v>364</v>
      </c>
      <c r="D24" s="49">
        <f>rO2_gen/60*R_gas*T_K/P_atm*1000000</f>
        <v>2.2004797411460917E-2</v>
      </c>
      <c r="E24" s="102" t="s">
        <v>368</v>
      </c>
      <c r="F24" s="20"/>
      <c r="G24" s="20"/>
      <c r="H24" s="20"/>
      <c r="I24" s="20"/>
    </row>
    <row r="25" spans="1:9" ht="24" customHeight="1" x14ac:dyDescent="0.2">
      <c r="A25" s="17" t="s">
        <v>369</v>
      </c>
      <c r="B25" s="18" t="s">
        <v>370</v>
      </c>
      <c r="C25" s="19" t="s">
        <v>364</v>
      </c>
      <c r="D25" s="49">
        <f>V_H2_gen+V_O2_gen</f>
        <v>6.6014392234382754E-2</v>
      </c>
      <c r="E25" s="102" t="s">
        <v>371</v>
      </c>
      <c r="F25" s="20"/>
      <c r="G25" s="20"/>
      <c r="H25" s="20"/>
      <c r="I25" s="20"/>
    </row>
    <row r="26" spans="1:9" x14ac:dyDescent="0.2">
      <c r="A26" s="17" t="s">
        <v>372</v>
      </c>
      <c r="B26" s="18" t="s">
        <v>373</v>
      </c>
      <c r="C26" s="19" t="s">
        <v>137</v>
      </c>
      <c r="D26" s="115">
        <v>1</v>
      </c>
      <c r="E26" s="123" t="s">
        <v>374</v>
      </c>
      <c r="F26" s="20"/>
      <c r="G26" s="20"/>
      <c r="H26" s="20"/>
      <c r="I26" s="20"/>
    </row>
    <row r="27" spans="1:9" ht="24" customHeight="1" x14ac:dyDescent="0.2">
      <c r="A27" s="17" t="s">
        <v>375</v>
      </c>
      <c r="B27" s="18" t="s">
        <v>376</v>
      </c>
      <c r="C27" s="19" t="s">
        <v>137</v>
      </c>
      <c r="D27" s="41">
        <f>VLOOKUP(electrode_sel,$A$35:$I$37,9,FALSE)</f>
        <v>2</v>
      </c>
      <c r="E27" s="123" t="s">
        <v>377</v>
      </c>
      <c r="F27" s="20"/>
      <c r="G27" s="20"/>
      <c r="H27" s="20"/>
      <c r="I27" s="20"/>
    </row>
    <row r="28" spans="1:9" x14ac:dyDescent="0.2">
      <c r="A28" s="17" t="s">
        <v>378</v>
      </c>
      <c r="B28" s="18" t="s">
        <v>379</v>
      </c>
      <c r="C28" s="19" t="s">
        <v>357</v>
      </c>
      <c r="D28" s="49">
        <f>I_app*(1-etaF)/(z_e_ORR*F_const)*3600</f>
        <v>0</v>
      </c>
      <c r="E28" s="102" t="s">
        <v>380</v>
      </c>
      <c r="F28" s="20"/>
      <c r="G28" s="20"/>
      <c r="H28" s="20"/>
      <c r="I28" s="20"/>
    </row>
    <row r="29" spans="1:9" x14ac:dyDescent="0.2">
      <c r="A29" s="17" t="s">
        <v>381</v>
      </c>
      <c r="B29" s="18" t="s">
        <v>382</v>
      </c>
      <c r="C29" s="19" t="s">
        <v>357</v>
      </c>
      <c r="D29" s="49">
        <f>rO2_gen-O2_cathode_ORR</f>
        <v>5.3075424911539388E-5</v>
      </c>
      <c r="E29" s="102" t="s">
        <v>383</v>
      </c>
      <c r="F29" s="20"/>
      <c r="G29" s="20"/>
      <c r="H29" s="20"/>
      <c r="I29" s="20"/>
    </row>
    <row r="30" spans="1:9" x14ac:dyDescent="0.2">
      <c r="A30" s="108" t="s">
        <v>384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385</v>
      </c>
      <c r="B31" s="20" t="s">
        <v>386</v>
      </c>
      <c r="C31" s="20"/>
      <c r="D31" s="24" t="str">
        <f>VLOOKUP(electrode_sel,$A$35:$I$37,4,FALSE)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387</v>
      </c>
      <c r="B32" s="20" t="s">
        <v>388</v>
      </c>
      <c r="C32" s="20"/>
      <c r="D32" s="24">
        <f>IF(ISNUMBER(VLOOKUP(electrode_sel,$A$35:$I$37,5,FALSE)),VLOOKUP(electrode_sel,$A$35:$I$37,5,FALSE),0)</f>
        <v>0</v>
      </c>
      <c r="E32" s="108" t="s">
        <v>389</v>
      </c>
      <c r="F32" s="20"/>
      <c r="G32" s="20"/>
      <c r="H32" s="60"/>
      <c r="I32" s="20"/>
    </row>
    <row r="33" spans="1:9" x14ac:dyDescent="0.2">
      <c r="A33" s="110" t="s">
        <v>390</v>
      </c>
      <c r="B33" s="20"/>
      <c r="C33" s="20"/>
      <c r="D33" s="20"/>
      <c r="E33" s="20"/>
      <c r="F33" s="20"/>
      <c r="G33" s="20"/>
      <c r="H33" s="20"/>
      <c r="I33" s="20"/>
    </row>
    <row r="34" spans="1:9" x14ac:dyDescent="0.2">
      <c r="A34" s="110" t="s">
        <v>33</v>
      </c>
      <c r="B34" s="110" t="s">
        <v>391</v>
      </c>
      <c r="C34" s="110" t="s">
        <v>392</v>
      </c>
      <c r="D34" s="110" t="s">
        <v>393</v>
      </c>
      <c r="E34" s="110" t="s">
        <v>394</v>
      </c>
      <c r="F34" s="110" t="s">
        <v>395</v>
      </c>
      <c r="G34" s="110" t="s">
        <v>396</v>
      </c>
      <c r="H34" s="110" t="s">
        <v>346</v>
      </c>
      <c r="I34" s="110" t="s">
        <v>376</v>
      </c>
    </row>
    <row r="35" spans="1:9" x14ac:dyDescent="0.2">
      <c r="A35" s="20" t="s">
        <v>397</v>
      </c>
      <c r="B35" s="20" t="s">
        <v>398</v>
      </c>
      <c r="C35" s="20">
        <v>6</v>
      </c>
      <c r="D35" s="20" t="s">
        <v>399</v>
      </c>
      <c r="E35" s="20" t="s">
        <v>400</v>
      </c>
      <c r="F35" s="20" t="s">
        <v>401</v>
      </c>
      <c r="G35" s="20">
        <v>6</v>
      </c>
      <c r="H35" s="60" t="s">
        <v>402</v>
      </c>
      <c r="I35" s="20">
        <v>2</v>
      </c>
    </row>
    <row r="36" spans="1:9" x14ac:dyDescent="0.2">
      <c r="A36" s="20" t="s">
        <v>403</v>
      </c>
      <c r="B36" s="20" t="s">
        <v>404</v>
      </c>
      <c r="C36" s="20">
        <v>6</v>
      </c>
      <c r="D36" s="20" t="s">
        <v>399</v>
      </c>
      <c r="E36" s="20" t="s">
        <v>400</v>
      </c>
      <c r="F36" s="20" t="s">
        <v>401</v>
      </c>
      <c r="G36" s="20">
        <v>6</v>
      </c>
      <c r="H36" s="60" t="s">
        <v>402</v>
      </c>
      <c r="I36" s="20">
        <v>2</v>
      </c>
    </row>
    <row r="37" spans="1:9" x14ac:dyDescent="0.2">
      <c r="A37" s="20" t="s">
        <v>35</v>
      </c>
      <c r="B37" s="20" t="s">
        <v>404</v>
      </c>
      <c r="C37" s="20">
        <v>6</v>
      </c>
      <c r="D37" s="20" t="s">
        <v>405</v>
      </c>
      <c r="E37" s="60">
        <v>0</v>
      </c>
      <c r="F37" s="20" t="s">
        <v>401</v>
      </c>
      <c r="G37" s="20">
        <v>6</v>
      </c>
      <c r="H37" s="60" t="s">
        <v>402</v>
      </c>
      <c r="I37" s="20">
        <v>2</v>
      </c>
    </row>
    <row r="38" spans="1:9" x14ac:dyDescent="0.2">
      <c r="A38" s="20"/>
      <c r="B38" s="20"/>
      <c r="C38" s="20"/>
      <c r="D38" s="29"/>
      <c r="E38" s="20"/>
      <c r="F38" s="20"/>
      <c r="G38" s="20"/>
      <c r="H38" s="20"/>
      <c r="I38" s="20"/>
    </row>
    <row r="39" spans="1:9" x14ac:dyDescent="0.2">
      <c r="A39" s="20"/>
      <c r="B39" s="20"/>
      <c r="C39" s="20"/>
      <c r="D39" s="29"/>
      <c r="E39" s="20"/>
      <c r="F39" s="20"/>
      <c r="G39" s="20"/>
      <c r="H39" s="20"/>
      <c r="I39" s="20"/>
    </row>
  </sheetData>
  <conditionalFormatting sqref="D13">
    <cfRule type="cellIs" dxfId="10" priority="1" operator="equal">
      <formula>"OK"</formula>
    </cfRule>
    <cfRule type="cellIs" dxfId="9" priority="2" operator="equal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25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1" ht="16" x14ac:dyDescent="0.2">
      <c r="A1" s="111" t="s">
        <v>855</v>
      </c>
    </row>
    <row r="2" spans="1:5" x14ac:dyDescent="0.2">
      <c r="A2" s="16" t="s">
        <v>856</v>
      </c>
      <c r="B2" s="16" t="s">
        <v>857</v>
      </c>
      <c r="C2" s="16" t="s">
        <v>858</v>
      </c>
      <c r="D2" s="16" t="s">
        <v>859</v>
      </c>
      <c r="E2" s="16" t="s">
        <v>860</v>
      </c>
    </row>
    <row r="3" spans="1:1" x14ac:dyDescent="0.2">
      <c r="A3" s="110" t="s">
        <v>861</v>
      </c>
    </row>
    <row r="4" spans="1:5" x14ac:dyDescent="0.2">
      <c r="A4" s="17" t="s">
        <v>862</v>
      </c>
      <c r="B4" s="18" t="s">
        <v>863</v>
      </c>
      <c r="C4" s="19" t="s">
        <v>864</v>
      </c>
      <c r="D4" s="65">
        <f>Biology!$D$18</f>
        <v>303.14999999999998</v>
      </c>
      <c r="E4" s="52" t="s">
        <v>865</v>
      </c>
    </row>
    <row r="5" spans="1:5" x14ac:dyDescent="0.2">
      <c r="A5" s="17" t="s">
        <v>866</v>
      </c>
      <c r="B5" s="18" t="s">
        <v>867</v>
      </c>
      <c r="C5" s="19" t="s">
        <v>868</v>
      </c>
      <c r="D5" s="65">
        <f>Biology!$D$33/1000</f>
        <v>2.927997806625663E-2</v>
      </c>
      <c r="E5" s="52" t="s">
        <v>869</v>
      </c>
    </row>
    <row r="6" spans="1:5" x14ac:dyDescent="0.2">
      <c r="A6" s="17" t="s">
        <v>870</v>
      </c>
      <c r="B6" s="18" t="s">
        <v>871</v>
      </c>
      <c r="C6" s="19" t="s">
        <v>872</v>
      </c>
      <c r="D6" s="65">
        <f>Electrochemistry!$D$19</f>
        <v>5.6899999999999997E-3</v>
      </c>
      <c r="E6" s="52" t="s">
        <v>873</v>
      </c>
    </row>
    <row r="7" spans="1:5" x14ac:dyDescent="0.2">
      <c r="A7" s="17" t="s">
        <v>874</v>
      </c>
      <c r="B7" s="18" t="s">
        <v>875</v>
      </c>
      <c r="C7" s="19" t="s">
        <v>876</v>
      </c>
      <c r="D7" s="65">
        <f>Electrochemistry!$D$15</f>
        <v>96485.332120000006</v>
      </c>
      <c r="E7" s="52" t="s">
        <v>877</v>
      </c>
    </row>
    <row r="8" spans="1:5" x14ac:dyDescent="0.2">
      <c r="A8" s="17" t="s">
        <v>878</v>
      </c>
      <c r="B8" s="18" t="s">
        <v>879</v>
      </c>
      <c r="C8" s="19" t="s">
        <v>880</v>
      </c>
      <c r="D8" s="65">
        <f>Biology!$D$6/1000</f>
        <v>1.4999999999999999E-2</v>
      </c>
      <c r="E8" s="52" t="s">
        <v>881</v>
      </c>
    </row>
    <row r="9" spans="1:5" x14ac:dyDescent="0.2">
      <c r="A9" s="17" t="s">
        <v>882</v>
      </c>
      <c r="B9" s="18" t="s">
        <v>883</v>
      </c>
      <c r="C9" s="19" t="s">
        <v>884</v>
      </c>
      <c r="D9" s="53">
        <v>8.3140000000000001</v>
      </c>
      <c r="E9" s="86" t="s">
        <v>885</v>
      </c>
    </row>
    <row r="11" spans="1:6" ht="16" x14ac:dyDescent="0.2">
      <c r="A11" s="111" t="s">
        <v>886</v>
      </c>
      <c r="F11" s="108" t="s">
        <v>887</v>
      </c>
    </row>
    <row r="12" spans="1:5" x14ac:dyDescent="0.2">
      <c r="A12" s="16" t="s">
        <v>888</v>
      </c>
      <c r="B12" s="16" t="s">
        <v>889</v>
      </c>
      <c r="C12" s="16" t="s">
        <v>890</v>
      </c>
      <c r="D12" s="16" t="s">
        <v>891</v>
      </c>
      <c r="E12" s="16" t="s">
        <v>892</v>
      </c>
    </row>
    <row r="13" spans="1:5" x14ac:dyDescent="0.2">
      <c r="A13" s="17" t="s">
        <v>894</v>
      </c>
      <c r="B13" s="53">
        <v>4.4499999999999997E-7</v>
      </c>
      <c r="C13" s="53">
        <v>9.15</v>
      </c>
      <c r="D13" s="65">
        <f t="shared" ref="D13:D20" si="0">B13*EXP(-C13*1000/R_gas*(1/TKc-1/298.15))</f>
        <v>4.729341927793971E-7</v>
      </c>
      <c r="E13" s="86" t="s">
        <v>893</v>
      </c>
    </row>
    <row r="14" spans="1:5" x14ac:dyDescent="0.2">
      <c r="A14" s="17" t="s">
        <v>895</v>
      </c>
      <c r="B14" s="53">
        <v>4.6900000000000001E-11</v>
      </c>
      <c r="C14" s="53">
        <v>14.9</v>
      </c>
      <c r="D14" s="65">
        <f t="shared" si="0"/>
        <v>5.178801779646767E-11</v>
      </c>
      <c r="E14" s="86" t="s">
        <v>893</v>
      </c>
    </row>
    <row r="15" spans="1:5" x14ac:dyDescent="0.2">
      <c r="A15" s="17" t="s">
        <v>896</v>
      </c>
      <c r="B15" s="53">
        <v>7.1000000000000004E-3</v>
      </c>
      <c r="C15" s="53">
        <v>-8</v>
      </c>
      <c r="D15" s="65">
        <f t="shared" si="0"/>
        <v>6.7319486390705358E-3</v>
      </c>
      <c r="E15" s="86" t="s">
        <v>893</v>
      </c>
    </row>
    <row r="16" spans="1:5" x14ac:dyDescent="0.2">
      <c r="A16" s="17" t="s">
        <v>897</v>
      </c>
      <c r="B16" s="53">
        <v>6.3100000000000003E-8</v>
      </c>
      <c r="C16" s="53">
        <v>3.6</v>
      </c>
      <c r="D16" s="65">
        <f t="shared" si="0"/>
        <v>6.4629717695231246E-8</v>
      </c>
      <c r="E16" s="86" t="s">
        <v>893</v>
      </c>
    </row>
    <row r="17" spans="1:5" x14ac:dyDescent="0.2">
      <c r="A17" s="17" t="s">
        <v>1046</v>
      </c>
      <c r="B17" s="53">
        <v>4.1999999999999998E-13</v>
      </c>
      <c r="C17" s="53">
        <v>16</v>
      </c>
      <c r="D17" s="65">
        <f t="shared" si="0"/>
        <v>4.6718016965068138E-13</v>
      </c>
      <c r="E17" s="86" t="s">
        <v>893</v>
      </c>
    </row>
    <row r="18" spans="1:5" x14ac:dyDescent="0.2">
      <c r="A18" s="17" t="s">
        <v>898</v>
      </c>
      <c r="B18" s="53">
        <v>5.6000000000000003E-10</v>
      </c>
      <c r="C18" s="53">
        <v>52.2</v>
      </c>
      <c r="D18" s="65">
        <f t="shared" si="0"/>
        <v>7.9255620821851618E-10</v>
      </c>
      <c r="E18" s="86" t="s">
        <v>893</v>
      </c>
    </row>
    <row r="19" spans="1:5" x14ac:dyDescent="0.2">
      <c r="A19" s="17" t="s">
        <v>899</v>
      </c>
      <c r="B19" s="53">
        <v>1E-14</v>
      </c>
      <c r="C19" s="53">
        <v>55.8</v>
      </c>
      <c r="D19" s="65">
        <f t="shared" si="0"/>
        <v>1.4495892006669007E-14</v>
      </c>
      <c r="E19" s="86" t="s">
        <v>893</v>
      </c>
    </row>
    <row r="20" spans="1:5" x14ac:dyDescent="0.2">
      <c r="A20" s="17" t="s">
        <v>900</v>
      </c>
      <c r="B20" s="53">
        <v>2.8840315031266057E-8</v>
      </c>
      <c r="C20" s="53">
        <v>13.8</v>
      </c>
      <c r="D20" s="65">
        <f t="shared" si="0"/>
        <v>3.1613878660865636E-8</v>
      </c>
      <c r="E20" s="86" t="s">
        <v>893</v>
      </c>
    </row>
    <row r="21" spans="1:5" x14ac:dyDescent="0.2">
      <c r="A21" s="17" t="s">
        <v>901</v>
      </c>
      <c r="B21" s="18" t="s">
        <v>902</v>
      </c>
      <c r="C21" s="19" t="s">
        <v>903</v>
      </c>
      <c r="D21" s="63">
        <f>-LOG10(Ka_HOCl)</f>
        <v>7.5001222179322129</v>
      </c>
      <c r="E21" s="52" t="s">
        <v>904</v>
      </c>
    </row>
    <row r="23" spans="1:6" ht="16" x14ac:dyDescent="0.2">
      <c r="A23" s="111" t="s">
        <v>905</v>
      </c>
      <c r="F23" s="108" t="s">
        <v>906</v>
      </c>
    </row>
    <row r="24" spans="1:5" x14ac:dyDescent="0.2">
      <c r="A24" s="16" t="s">
        <v>909</v>
      </c>
      <c r="B24" s="16" t="s">
        <v>910</v>
      </c>
      <c r="C24" s="16" t="s">
        <v>911</v>
      </c>
      <c r="D24" s="16" t="s">
        <v>912</v>
      </c>
      <c r="E24" s="16" t="s">
        <v>913</v>
      </c>
    </row>
    <row r="25" spans="1:5" x14ac:dyDescent="0.2">
      <c r="A25" s="17" t="s">
        <v>914</v>
      </c>
      <c r="B25" s="53">
        <v>136.08600000000001</v>
      </c>
      <c r="C25" s="20">
        <v>0</v>
      </c>
      <c r="D25" s="53">
        <v>2.2999999999999998</v>
      </c>
      <c r="E25" s="52" t="s">
        <v>907</v>
      </c>
    </row>
    <row r="26" spans="1:5" x14ac:dyDescent="0.2">
      <c r="A26" s="17" t="s">
        <v>915</v>
      </c>
      <c r="B26" s="53">
        <v>141.96</v>
      </c>
      <c r="C26" s="53">
        <v>2.895</v>
      </c>
      <c r="D26" s="53">
        <v>2.9</v>
      </c>
      <c r="E26" s="52" t="s">
        <v>908</v>
      </c>
    </row>
    <row r="27" spans="1:5" x14ac:dyDescent="0.2">
      <c r="A27" s="17" t="s">
        <v>916</v>
      </c>
      <c r="B27" s="53">
        <v>156.01</v>
      </c>
      <c r="C27" s="53">
        <v>3.06</v>
      </c>
      <c r="D27" s="20">
        <v>0</v>
      </c>
      <c r="E27" s="52" t="s">
        <v>908</v>
      </c>
    </row>
    <row r="28" spans="1:5" x14ac:dyDescent="0.2">
      <c r="A28" s="17" t="s">
        <v>917</v>
      </c>
      <c r="B28" s="53">
        <v>84.007000000000005</v>
      </c>
      <c r="C28" s="20">
        <v>0</v>
      </c>
      <c r="D28" s="53">
        <v>1.05</v>
      </c>
      <c r="E28" s="52" t="s">
        <v>907</v>
      </c>
    </row>
    <row r="29" spans="1:5" x14ac:dyDescent="0.2">
      <c r="A29" s="17" t="s">
        <v>918</v>
      </c>
      <c r="B29" s="53">
        <v>174.26</v>
      </c>
      <c r="C29" s="53">
        <v>0.17</v>
      </c>
      <c r="D29" s="20">
        <v>0</v>
      </c>
      <c r="E29" s="52" t="s">
        <v>908</v>
      </c>
    </row>
    <row r="30" spans="1:5" x14ac:dyDescent="0.2">
      <c r="A30" s="17" t="s">
        <v>919</v>
      </c>
      <c r="B30" s="53">
        <v>172.17</v>
      </c>
      <c r="C30" s="53">
        <v>9.7000000000000003E-2</v>
      </c>
      <c r="D30" s="20">
        <v>0</v>
      </c>
      <c r="E30" s="52" t="s">
        <v>908</v>
      </c>
    </row>
    <row r="31" spans="1:5" x14ac:dyDescent="0.2">
      <c r="A31" s="17" t="s">
        <v>920</v>
      </c>
      <c r="B31" s="53">
        <v>246.48</v>
      </c>
      <c r="C31" s="53">
        <v>0.8</v>
      </c>
      <c r="D31" s="53">
        <v>0.5</v>
      </c>
      <c r="E31" s="52" t="s">
        <v>908</v>
      </c>
    </row>
    <row r="32" spans="1:5" x14ac:dyDescent="0.2">
      <c r="A32" s="17" t="s">
        <v>921</v>
      </c>
      <c r="B32" s="53">
        <v>132.13999999999999</v>
      </c>
      <c r="C32" s="53">
        <v>0.94299999999999995</v>
      </c>
      <c r="D32" s="53">
        <v>0.47</v>
      </c>
      <c r="E32" s="52" t="s">
        <v>908</v>
      </c>
    </row>
    <row r="33" spans="1:5" ht="60" x14ac:dyDescent="0.2">
      <c r="A33" s="17" t="s">
        <v>922</v>
      </c>
      <c r="B33" s="53">
        <v>110.98</v>
      </c>
      <c r="C33" s="20">
        <v>0</v>
      </c>
      <c r="D33" s="53">
        <v>0.01</v>
      </c>
      <c r="E33" s="52" t="s">
        <v>1155</v>
      </c>
    </row>
    <row r="35" spans="1:5" x14ac:dyDescent="0.2">
      <c r="A35" s="17" t="s">
        <v>923</v>
      </c>
      <c r="B35" s="18" t="s">
        <v>924</v>
      </c>
      <c r="C35" s="19" t="s">
        <v>925</v>
      </c>
      <c r="D35" s="63">
        <f>mc_Na2HPO4/MW_Na2HPO4+mc_NaH2PO4_2H2O/MW_NaH2PO4_2H2O</f>
        <v>4.0007195769523628E-2</v>
      </c>
      <c r="E35" s="52" t="s">
        <v>926</v>
      </c>
    </row>
    <row r="36" spans="1:5" x14ac:dyDescent="0.2">
      <c r="A36" s="17" t="s">
        <v>927</v>
      </c>
      <c r="B36" s="18" t="s">
        <v>928</v>
      </c>
      <c r="C36" s="19" t="s">
        <v>929</v>
      </c>
      <c r="D36" s="63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2" t="s">
        <v>930</v>
      </c>
    </row>
    <row r="37" spans="1:5" x14ac:dyDescent="0.2">
      <c r="A37" s="17" t="s">
        <v>931</v>
      </c>
      <c r="B37" s="18" t="s">
        <v>932</v>
      </c>
      <c r="C37" s="19" t="s">
        <v>933</v>
      </c>
      <c r="D37" s="63">
        <f>2*mc_NH42SO4/MW_NH42SO4</f>
        <v>1.4272741032238535E-2</v>
      </c>
      <c r="E37" s="52" t="s">
        <v>934</v>
      </c>
    </row>
    <row r="38" spans="1:5" x14ac:dyDescent="0.2">
      <c r="A38" s="17" t="s">
        <v>935</v>
      </c>
      <c r="B38" s="18" t="s">
        <v>936</v>
      </c>
      <c r="C38" s="19" t="s">
        <v>937</v>
      </c>
      <c r="D38" s="63">
        <f>0</f>
        <v>0</v>
      </c>
      <c r="E38" s="52" t="s">
        <v>938</v>
      </c>
    </row>
    <row r="39" spans="1:5" x14ac:dyDescent="0.2">
      <c r="A39" s="17" t="s">
        <v>939</v>
      </c>
      <c r="B39" s="18" t="s">
        <v>940</v>
      </c>
      <c r="C39" s="19" t="s">
        <v>941</v>
      </c>
      <c r="D39" s="63">
        <f>udg_KH2PO4/MW_KH2PO4+udg_Na2HPO4/MW_Na2HPO4</f>
        <v>3.7329366919026843E-2</v>
      </c>
      <c r="E39" s="52" t="s">
        <v>942</v>
      </c>
    </row>
    <row r="40" spans="1:5" x14ac:dyDescent="0.2">
      <c r="A40" s="17" t="s">
        <v>943</v>
      </c>
      <c r="B40" s="18" t="s">
        <v>944</v>
      </c>
      <c r="C40" s="19" t="s">
        <v>945</v>
      </c>
      <c r="D40" s="63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2" t="s">
        <v>946</v>
      </c>
    </row>
    <row r="41" spans="1:5" x14ac:dyDescent="0.2">
      <c r="A41" s="17" t="s">
        <v>947</v>
      </c>
      <c r="B41" s="18" t="s">
        <v>948</v>
      </c>
      <c r="C41" s="19" t="s">
        <v>949</v>
      </c>
      <c r="D41" s="63">
        <f>2*udg_NH42SO4/MW_NH42SO4</f>
        <v>7.1136673225367037E-3</v>
      </c>
      <c r="E41" s="52" t="s">
        <v>950</v>
      </c>
    </row>
    <row r="42" spans="1:5" x14ac:dyDescent="0.2">
      <c r="A42" s="17" t="s">
        <v>951</v>
      </c>
      <c r="B42" s="18" t="s">
        <v>952</v>
      </c>
      <c r="C42" s="19" t="s">
        <v>953</v>
      </c>
      <c r="D42" s="63">
        <f>2*udg_CaCl2/MW_CaCl2</f>
        <v>1.8021265092809516E-4</v>
      </c>
      <c r="E42" s="52" t="s">
        <v>954</v>
      </c>
    </row>
    <row r="44" spans="1:5" x14ac:dyDescent="0.2">
      <c r="A44" s="17" t="s">
        <v>955</v>
      </c>
      <c r="B44" s="18" t="s">
        <v>956</v>
      </c>
      <c r="C44" s="19" t="s">
        <v>957</v>
      </c>
      <c r="D44" s="63">
        <f>IF(Summary!$D$5="MC02",SID_mc02,IF(Summary!$D$5="UdG phosphate",SID_udg,NA()))</f>
        <v>6.3142947675680683E-2</v>
      </c>
      <c r="E44" s="52" t="s">
        <v>958</v>
      </c>
    </row>
    <row r="45" spans="1:5" x14ac:dyDescent="0.2">
      <c r="A45" s="17" t="s">
        <v>959</v>
      </c>
      <c r="B45" s="18" t="s">
        <v>960</v>
      </c>
      <c r="C45" s="19" t="s">
        <v>961</v>
      </c>
      <c r="D45" s="63">
        <f>IF(Summary!$D$5="MC02",PT_mc02,IF(Summary!$D$5="UdG phosphate",PT_udg,NA()))</f>
        <v>3.7329366919026843E-2</v>
      </c>
      <c r="E45" s="52" t="s">
        <v>962</v>
      </c>
    </row>
    <row r="46" spans="1:5" x14ac:dyDescent="0.2">
      <c r="A46" s="17" t="s">
        <v>963</v>
      </c>
      <c r="B46" s="18" t="s">
        <v>964</v>
      </c>
      <c r="C46" s="19" t="s">
        <v>965</v>
      </c>
      <c r="D46" s="63">
        <f>IF(Summary!$D$5="MC02",NT_mc02,IF(Summary!$D$5="UdG phosphate",NT_udg,NA()))</f>
        <v>7.1136673225367037E-3</v>
      </c>
      <c r="E46" s="52" t="s">
        <v>966</v>
      </c>
    </row>
    <row r="47" spans="1:5" x14ac:dyDescent="0.2">
      <c r="A47" s="17" t="s">
        <v>967</v>
      </c>
      <c r="B47" s="18" t="s">
        <v>968</v>
      </c>
      <c r="C47" s="19" t="s">
        <v>969</v>
      </c>
      <c r="D47" s="63">
        <f>IF(Summary!$D$5="MC02",Cl_mc02,IF(Summary!$D$5="UdG phosphate",Cl_udg,NA()))</f>
        <v>1.8021265092809516E-4</v>
      </c>
      <c r="E47" s="52" t="s">
        <v>970</v>
      </c>
    </row>
    <row r="49" spans="1:3" x14ac:dyDescent="0.2">
      <c r="A49" s="16" t="s">
        <v>971</v>
      </c>
      <c r="B49" s="16" t="s">
        <v>972</v>
      </c>
      <c r="C49" s="16" t="s">
        <v>973</v>
      </c>
    </row>
    <row r="50" spans="1:3" x14ac:dyDescent="0.2">
      <c r="A50" s="20">
        <v>4</v>
      </c>
      <c r="B50" s="65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3.3411005177517397E-2</v>
      </c>
      <c r="C50" s="65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5">
        <f t="shared" si="1"/>
        <v>3.3237262468913863E-2</v>
      </c>
      <c r="C51" s="65">
        <f t="shared" si="2"/>
        <v>0</v>
      </c>
    </row>
    <row r="52" spans="1:3" x14ac:dyDescent="0.2">
      <c r="A52" s="20">
        <v>4.2</v>
      </c>
      <c r="B52" s="65">
        <f t="shared" si="1"/>
        <v>3.3079214636650062E-2</v>
      </c>
      <c r="C52" s="65">
        <f t="shared" si="2"/>
        <v>0</v>
      </c>
    </row>
    <row r="53" spans="1:3" x14ac:dyDescent="0.2">
      <c r="A53" s="20">
        <v>4.3</v>
      </c>
      <c r="B53" s="65">
        <f t="shared" si="1"/>
        <v>3.2928746049466016E-2</v>
      </c>
      <c r="C53" s="65">
        <f t="shared" si="2"/>
        <v>0</v>
      </c>
    </row>
    <row r="54" spans="1:3" x14ac:dyDescent="0.2">
      <c r="A54" s="20">
        <v>4.4000000000000004</v>
      </c>
      <c r="B54" s="65">
        <f t="shared" si="1"/>
        <v>3.2778037503939296E-2</v>
      </c>
      <c r="C54" s="65">
        <f t="shared" si="2"/>
        <v>0</v>
      </c>
    </row>
    <row r="55" spans="1:3" x14ac:dyDescent="0.2">
      <c r="A55" s="20">
        <v>4.5</v>
      </c>
      <c r="B55" s="65">
        <f t="shared" si="1"/>
        <v>3.2619189843033865E-2</v>
      </c>
      <c r="C55" s="65">
        <f t="shared" si="2"/>
        <v>0</v>
      </c>
    </row>
    <row r="56" spans="1:3" x14ac:dyDescent="0.2">
      <c r="A56" s="20">
        <v>4.5999999999999996</v>
      </c>
      <c r="B56" s="65">
        <f t="shared" si="1"/>
        <v>3.2443829703374491E-2</v>
      </c>
      <c r="C56" s="65">
        <f t="shared" si="2"/>
        <v>0</v>
      </c>
    </row>
    <row r="57" spans="1:3" x14ac:dyDescent="0.2">
      <c r="A57" s="20">
        <v>4.7</v>
      </c>
      <c r="B57" s="65">
        <f t="shared" si="1"/>
        <v>3.2242681652266021E-2</v>
      </c>
      <c r="C57" s="65">
        <f t="shared" si="2"/>
        <v>0</v>
      </c>
    </row>
    <row r="58" spans="1:3" x14ac:dyDescent="0.2">
      <c r="A58" s="20">
        <v>4.8</v>
      </c>
      <c r="B58" s="65">
        <f t="shared" si="1"/>
        <v>3.2005087592142163E-2</v>
      </c>
      <c r="C58" s="65">
        <f t="shared" si="2"/>
        <v>0</v>
      </c>
    </row>
    <row r="59" spans="1:3" x14ac:dyDescent="0.2">
      <c r="A59" s="20">
        <v>4.9000000000000004</v>
      </c>
      <c r="B59" s="65">
        <f t="shared" si="1"/>
        <v>3.1718450589226233E-2</v>
      </c>
      <c r="C59" s="65">
        <f t="shared" si="2"/>
        <v>0</v>
      </c>
    </row>
    <row r="60" spans="1:3" x14ac:dyDescent="0.2">
      <c r="A60" s="20">
        <v>5</v>
      </c>
      <c r="B60" s="65">
        <f t="shared" si="1"/>
        <v>3.1367575876201072E-2</v>
      </c>
      <c r="C60" s="65">
        <f t="shared" si="2"/>
        <v>0</v>
      </c>
    </row>
    <row r="61" spans="1:3" x14ac:dyDescent="0.2">
      <c r="A61" s="20">
        <v>5.0999999999999996</v>
      </c>
      <c r="B61" s="65">
        <f t="shared" si="1"/>
        <v>3.093387638586256E-2</v>
      </c>
      <c r="C61" s="65">
        <f t="shared" si="2"/>
        <v>0</v>
      </c>
    </row>
    <row r="62" spans="1:3" x14ac:dyDescent="0.2">
      <c r="A62" s="20">
        <v>5.2</v>
      </c>
      <c r="B62" s="65">
        <f t="shared" si="1"/>
        <v>3.0394403520812907E-2</v>
      </c>
      <c r="C62" s="65">
        <f t="shared" si="2"/>
        <v>0</v>
      </c>
    </row>
    <row r="63" spans="1:3" x14ac:dyDescent="0.2">
      <c r="A63" s="20">
        <v>5.3</v>
      </c>
      <c r="B63" s="65">
        <f t="shared" si="1"/>
        <v>2.9720655693159983E-2</v>
      </c>
      <c r="C63" s="65">
        <f t="shared" si="2"/>
        <v>0</v>
      </c>
    </row>
    <row r="64" spans="1:3" x14ac:dyDescent="0.2">
      <c r="A64" s="20">
        <v>5.4</v>
      </c>
      <c r="B64" s="65">
        <f t="shared" si="1"/>
        <v>2.8877107225470607E-2</v>
      </c>
      <c r="C64" s="65">
        <f t="shared" si="2"/>
        <v>0</v>
      </c>
    </row>
    <row r="65" spans="1:3" x14ac:dyDescent="0.2">
      <c r="A65" s="20">
        <v>5.5</v>
      </c>
      <c r="B65" s="65">
        <f t="shared" si="1"/>
        <v>2.7819388244058781E-2</v>
      </c>
      <c r="C65" s="65">
        <f t="shared" si="2"/>
        <v>0</v>
      </c>
    </row>
    <row r="66" spans="1:3" x14ac:dyDescent="0.2">
      <c r="A66" s="20">
        <v>5.6</v>
      </c>
      <c r="B66" s="65">
        <f t="shared" si="1"/>
        <v>2.6492031974962277E-2</v>
      </c>
      <c r="C66" s="65">
        <f t="shared" si="2"/>
        <v>0</v>
      </c>
    </row>
    <row r="67" spans="1:3" x14ac:dyDescent="0.2">
      <c r="A67" s="20">
        <v>5.7</v>
      </c>
      <c r="B67" s="65">
        <f t="shared" si="1"/>
        <v>2.4825689108250497E-2</v>
      </c>
      <c r="C67" s="65">
        <f t="shared" si="2"/>
        <v>0</v>
      </c>
    </row>
    <row r="68" spans="1:3" x14ac:dyDescent="0.2">
      <c r="A68" s="20">
        <v>5.8</v>
      </c>
      <c r="B68" s="65">
        <f t="shared" si="1"/>
        <v>2.2733689269276519E-2</v>
      </c>
      <c r="C68" s="65">
        <f t="shared" si="2"/>
        <v>0</v>
      </c>
    </row>
    <row r="69" spans="1:3" x14ac:dyDescent="0.2">
      <c r="A69" s="20">
        <v>5.9</v>
      </c>
      <c r="B69" s="65">
        <f t="shared" si="1"/>
        <v>2.0107806487561539E-2</v>
      </c>
      <c r="C69" s="65">
        <f t="shared" si="2"/>
        <v>0</v>
      </c>
    </row>
    <row r="70" spans="1:3" x14ac:dyDescent="0.2">
      <c r="A70" s="20">
        <v>6</v>
      </c>
      <c r="B70" s="65">
        <f t="shared" si="1"/>
        <v>1.6813057573666496E-2</v>
      </c>
      <c r="C70" s="65">
        <f t="shared" si="2"/>
        <v>0</v>
      </c>
    </row>
    <row r="71" spans="1:3" x14ac:dyDescent="0.2">
      <c r="A71" s="20">
        <v>6.1</v>
      </c>
      <c r="B71" s="65">
        <f t="shared" si="1"/>
        <v>1.2681326782820666E-2</v>
      </c>
      <c r="C71" s="65">
        <f t="shared" si="2"/>
        <v>0</v>
      </c>
    </row>
    <row r="72" spans="1:3" x14ac:dyDescent="0.2">
      <c r="A72" s="20">
        <v>6.2</v>
      </c>
      <c r="B72" s="65">
        <f t="shared" si="1"/>
        <v>7.5035617208652284E-3</v>
      </c>
      <c r="C72" s="65">
        <f t="shared" si="2"/>
        <v>0</v>
      </c>
    </row>
    <row r="73" spans="1:3" x14ac:dyDescent="0.2">
      <c r="A73" s="20">
        <v>6.3</v>
      </c>
      <c r="B73" s="65">
        <f t="shared" si="1"/>
        <v>1.0202144488385134E-3</v>
      </c>
      <c r="C73" s="65">
        <f t="shared" si="2"/>
        <v>6.3125785894509363</v>
      </c>
    </row>
    <row r="74" spans="1:3" x14ac:dyDescent="0.2">
      <c r="A74" s="20">
        <v>6.4</v>
      </c>
      <c r="B74" s="65">
        <f t="shared" si="1"/>
        <v>-7.0905077654283121E-3</v>
      </c>
      <c r="C74" s="65">
        <f t="shared" si="2"/>
        <v>0</v>
      </c>
    </row>
    <row r="75" spans="1:3" x14ac:dyDescent="0.2">
      <c r="A75" s="20">
        <v>6.5</v>
      </c>
      <c r="B75" s="65">
        <f t="shared" si="1"/>
        <v>-1.7227188823528528E-2</v>
      </c>
      <c r="C75" s="65">
        <f t="shared" si="2"/>
        <v>0</v>
      </c>
    </row>
    <row r="76" spans="1:3" x14ac:dyDescent="0.2">
      <c r="A76" s="20">
        <v>6.6</v>
      </c>
      <c r="B76" s="65">
        <f t="shared" si="1"/>
        <v>-2.9883415535076379E-2</v>
      </c>
      <c r="C76" s="65">
        <f t="shared" si="2"/>
        <v>0</v>
      </c>
    </row>
    <row r="77" spans="1:3" x14ac:dyDescent="0.2">
      <c r="A77" s="20">
        <v>6.7</v>
      </c>
      <c r="B77" s="65">
        <f t="shared" si="1"/>
        <v>-4.5670900767530727E-2</v>
      </c>
      <c r="C77" s="65">
        <f t="shared" si="2"/>
        <v>0</v>
      </c>
    </row>
    <row r="78" spans="1:3" x14ac:dyDescent="0.2">
      <c r="A78" s="20">
        <v>6.8</v>
      </c>
      <c r="B78" s="65">
        <f t="shared" si="1"/>
        <v>-6.534926709786508E-2</v>
      </c>
      <c r="C78" s="65">
        <f t="shared" si="2"/>
        <v>0</v>
      </c>
    </row>
    <row r="79" spans="1:3" x14ac:dyDescent="0.2">
      <c r="A79" s="20">
        <v>6.9</v>
      </c>
      <c r="B79" s="65">
        <f t="shared" si="1"/>
        <v>-8.9864842303463963E-2</v>
      </c>
      <c r="C79" s="65">
        <f t="shared" si="2"/>
        <v>0</v>
      </c>
    </row>
    <row r="80" spans="1:3" x14ac:dyDescent="0.2">
      <c r="A80" s="20">
        <v>7</v>
      </c>
      <c r="B80" s="65">
        <f t="shared" si="1"/>
        <v>-0.12040145221333261</v>
      </c>
      <c r="C80" s="65">
        <f t="shared" si="2"/>
        <v>0</v>
      </c>
    </row>
    <row r="81" spans="1:3" x14ac:dyDescent="0.2">
      <c r="A81" s="20">
        <v>7.1</v>
      </c>
      <c r="B81" s="65">
        <f t="shared" si="1"/>
        <v>-0.15844677985204098</v>
      </c>
      <c r="C81" s="65">
        <f t="shared" si="2"/>
        <v>0</v>
      </c>
    </row>
    <row r="82" spans="1:3" x14ac:dyDescent="0.2">
      <c r="A82" s="20">
        <v>7.2</v>
      </c>
      <c r="B82" s="65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-0.20587836236800799</v>
      </c>
      <c r="C82" s="65">
        <f t="shared" ref="C82:C99" si="4">IF(AND(B82&gt;=0,B83&lt;0),A82+0.1*B82/(B82-B83),0)</f>
        <v>0</v>
      </c>
    </row>
    <row r="83" spans="1:3" x14ac:dyDescent="0.2">
      <c r="A83" s="20">
        <v>7.3</v>
      </c>
      <c r="B83" s="65">
        <f t="shared" si="3"/>
        <v>-0.26507382599007184</v>
      </c>
      <c r="C83" s="65">
        <f t="shared" si="4"/>
        <v>0</v>
      </c>
    </row>
    <row r="84" spans="1:3" x14ac:dyDescent="0.2">
      <c r="A84" s="20">
        <v>7.4</v>
      </c>
      <c r="B84" s="65">
        <f t="shared" si="3"/>
        <v>-0.33905079507140423</v>
      </c>
      <c r="C84" s="65">
        <f t="shared" si="4"/>
        <v>0</v>
      </c>
    </row>
    <row r="85" spans="1:3" x14ac:dyDescent="0.2">
      <c r="A85" s="20">
        <v>7.5</v>
      </c>
      <c r="B85" s="65">
        <f t="shared" si="3"/>
        <v>-0.43164344416525446</v>
      </c>
      <c r="C85" s="65">
        <f t="shared" si="4"/>
        <v>0</v>
      </c>
    </row>
    <row r="86" spans="1:3" x14ac:dyDescent="0.2">
      <c r="A86" s="20">
        <v>7.6</v>
      </c>
      <c r="B86" s="65">
        <f t="shared" si="3"/>
        <v>-0.54772525361315882</v>
      </c>
      <c r="C86" s="65">
        <f t="shared" si="4"/>
        <v>0</v>
      </c>
    </row>
    <row r="87" spans="1:3" x14ac:dyDescent="0.2">
      <c r="A87" s="20">
        <v>7.7</v>
      </c>
      <c r="B87" s="65">
        <f t="shared" si="3"/>
        <v>-0.6934914187247373</v>
      </c>
      <c r="C87" s="65">
        <f t="shared" si="4"/>
        <v>0</v>
      </c>
    </row>
    <row r="88" spans="1:3" x14ac:dyDescent="0.2">
      <c r="A88" s="20">
        <v>7.8</v>
      </c>
      <c r="B88" s="65">
        <f t="shared" si="3"/>
        <v>-0.87681972500775718</v>
      </c>
      <c r="C88" s="65">
        <f t="shared" si="4"/>
        <v>0</v>
      </c>
    </row>
    <row r="89" spans="1:3" x14ac:dyDescent="0.2">
      <c r="A89" s="20">
        <v>7.9</v>
      </c>
      <c r="B89" s="65">
        <f t="shared" si="3"/>
        <v>-1.107735849928343</v>
      </c>
      <c r="C89" s="65">
        <f t="shared" si="4"/>
        <v>0</v>
      </c>
    </row>
    <row r="90" spans="1:3" x14ac:dyDescent="0.2">
      <c r="A90" s="20">
        <v>8</v>
      </c>
      <c r="B90" s="65">
        <f t="shared" si="3"/>
        <v>-1.3990186820382349</v>
      </c>
      <c r="C90" s="65">
        <f t="shared" si="4"/>
        <v>0</v>
      </c>
    </row>
    <row r="91" spans="1:3" x14ac:dyDescent="0.2">
      <c r="A91" s="20">
        <v>8.1</v>
      </c>
      <c r="B91" s="65">
        <f t="shared" si="3"/>
        <v>-1.7669946498116265</v>
      </c>
      <c r="C91" s="65">
        <f t="shared" si="4"/>
        <v>0</v>
      </c>
    </row>
    <row r="92" spans="1:3" x14ac:dyDescent="0.2">
      <c r="A92" s="20">
        <v>8.1999999999999993</v>
      </c>
      <c r="B92" s="65">
        <f t="shared" si="3"/>
        <v>-2.232589303424485</v>
      </c>
      <c r="C92" s="65">
        <f t="shared" si="4"/>
        <v>0</v>
      </c>
    </row>
    <row r="93" spans="1:3" x14ac:dyDescent="0.2">
      <c r="A93" s="20">
        <v>8.3000000000000007</v>
      </c>
      <c r="B93" s="65">
        <f t="shared" si="3"/>
        <v>-2.8227326605252623</v>
      </c>
      <c r="C93" s="65">
        <f t="shared" si="4"/>
        <v>0</v>
      </c>
    </row>
    <row r="94" spans="1:3" x14ac:dyDescent="0.2">
      <c r="A94" s="20">
        <v>8.4</v>
      </c>
      <c r="B94" s="65">
        <f t="shared" si="3"/>
        <v>-3.5722569096289791</v>
      </c>
      <c r="C94" s="65">
        <f t="shared" si="4"/>
        <v>0</v>
      </c>
    </row>
    <row r="95" spans="1:3" x14ac:dyDescent="0.2">
      <c r="A95" s="20">
        <v>8.5</v>
      </c>
      <c r="B95" s="65">
        <f t="shared" si="3"/>
        <v>-4.5264883150053237</v>
      </c>
      <c r="C95" s="65">
        <f t="shared" si="4"/>
        <v>0</v>
      </c>
    </row>
    <row r="96" spans="1:3" x14ac:dyDescent="0.2">
      <c r="A96" s="20">
        <v>8.6</v>
      </c>
      <c r="B96" s="65">
        <f t="shared" si="3"/>
        <v>-5.7448309854557431</v>
      </c>
      <c r="C96" s="65">
        <f t="shared" si="4"/>
        <v>0</v>
      </c>
    </row>
    <row r="97" spans="1:3" x14ac:dyDescent="0.2">
      <c r="A97" s="20">
        <v>8.6999999999999993</v>
      </c>
      <c r="B97" s="65">
        <f t="shared" si="3"/>
        <v>-7.3057863595314148</v>
      </c>
      <c r="C97" s="65">
        <f t="shared" si="4"/>
        <v>0</v>
      </c>
    </row>
    <row r="98" spans="1:3" x14ac:dyDescent="0.2">
      <c r="A98" s="20">
        <v>8.8000000000000007</v>
      </c>
      <c r="B98" s="65">
        <f t="shared" si="3"/>
        <v>-9.3140767320399984</v>
      </c>
      <c r="C98" s="65">
        <f t="shared" si="4"/>
        <v>0</v>
      </c>
    </row>
    <row r="99" spans="1:3" x14ac:dyDescent="0.2">
      <c r="A99" s="20">
        <v>8.9</v>
      </c>
      <c r="B99" s="65">
        <f t="shared" si="3"/>
        <v>-11.910887761710022</v>
      </c>
      <c r="C99" s="65">
        <f t="shared" si="4"/>
        <v>0</v>
      </c>
    </row>
    <row r="100" spans="1:3" x14ac:dyDescent="0.2">
      <c r="A100" s="20">
        <v>9</v>
      </c>
      <c r="B100" s="65">
        <f t="shared" si="3"/>
        <v>-15.288782705473936</v>
      </c>
      <c r="C100" s="65">
        <f>0</f>
        <v>0</v>
      </c>
    </row>
    <row r="101" spans="2:3" s="99" customFormat="1" x14ac:dyDescent="0.2">
      <c r="B101" s="129"/>
      <c r="C101" s="129"/>
    </row>
    <row r="102" spans="1:5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133</v>
      </c>
    </row>
    <row r="103" spans="1:6" x14ac:dyDescent="0.2">
      <c r="A103" s="17" t="s">
        <v>974</v>
      </c>
      <c r="B103" s="18" t="s">
        <v>975</v>
      </c>
      <c r="C103" s="19" t="s">
        <v>976</v>
      </c>
      <c r="D103" s="63">
        <f>IF(n_cross=1,SUM(C50:C100),NA())</f>
        <v>6.3125785894509363</v>
      </c>
      <c r="E103" s="52" t="s">
        <v>977</v>
      </c>
      <c r="F103" s="108" t="s">
        <v>978</v>
      </c>
    </row>
    <row r="104" spans="1:5" x14ac:dyDescent="0.2">
      <c r="A104" s="17" t="s">
        <v>979</v>
      </c>
      <c r="B104" s="18" t="s">
        <v>980</v>
      </c>
      <c r="C104" s="19" t="s">
        <v>981</v>
      </c>
      <c r="D104" s="63">
        <f>1/(1+10^(pH_op-pKa_HOCl))</f>
        <v>0.93902741032842141</v>
      </c>
      <c r="E104" s="52" t="s">
        <v>982</v>
      </c>
    </row>
    <row r="105" spans="1:6" ht="36" x14ac:dyDescent="0.2">
      <c r="A105" s="17" t="s">
        <v>1042</v>
      </c>
      <c r="B105" s="18" t="s">
        <v>1043</v>
      </c>
      <c r="C105" s="19" t="s">
        <v>1044</v>
      </c>
      <c r="D105" s="63">
        <f>SUMPRODUCT((B50:B99&gt;=0)*(B51:B100&lt;0))</f>
        <v>1</v>
      </c>
      <c r="E105" s="52" t="s">
        <v>1045</v>
      </c>
      <c r="F105" s="20"/>
    </row>
    <row r="106" spans="1:7" ht="48" x14ac:dyDescent="0.2">
      <c r="A106" s="111" t="s">
        <v>983</v>
      </c>
      <c r="G106" s="70" t="s">
        <v>1047</v>
      </c>
    </row>
    <row r="107" spans="1:7" ht="328" x14ac:dyDescent="0.2">
      <c r="A107" s="17" t="s">
        <v>1151</v>
      </c>
      <c r="B107" s="18" t="s">
        <v>985</v>
      </c>
      <c r="C107" s="19" t="s">
        <v>986</v>
      </c>
      <c r="D107" s="63">
        <f>Iappc/(2*Fcc)*52460*3600/VLc</f>
        <v>371.24490544791416</v>
      </c>
      <c r="E107" s="52" t="s">
        <v>1153</v>
      </c>
      <c r="G107" s="70" t="s">
        <v>1048</v>
      </c>
    </row>
    <row r="108" spans="1:7" ht="284" x14ac:dyDescent="0.2">
      <c r="A108" s="17" t="s">
        <v>988</v>
      </c>
      <c r="B108" s="18" t="s">
        <v>989</v>
      </c>
      <c r="C108" s="19" t="s">
        <v>990</v>
      </c>
      <c r="D108" s="63">
        <f>1/(bleach_rate)*60</f>
        <v>0.16161837945657148</v>
      </c>
      <c r="E108" s="52" t="s">
        <v>991</v>
      </c>
      <c r="G108" s="70" t="s">
        <v>1049</v>
      </c>
    </row>
    <row r="109" spans="1:7" ht="204" x14ac:dyDescent="0.2">
      <c r="A109" s="17" t="s">
        <v>992</v>
      </c>
      <c r="B109" s="18" t="s">
        <v>993</v>
      </c>
      <c r="C109" s="19" t="s">
        <v>994</v>
      </c>
      <c r="D109" s="65" t="str">
        <f>IF(C_eff&lt;Cl_onset,"negligible free chlorine ("&amp;TEXT(C_eff,"0.00")&amp;" mg/L &lt; onset)",IF(C_eff&lt;Cl_kill,"MILD sub-lethal penalty: "&amp;TEXT(C_eff,"0.00")&amp;" mg/L (chloride costs lag/growth — Sydow 2017; chloride-free avoids it)","SEVERE free chlorine: "&amp;TEXT(C_eff,"0.0")&amp;" mg/L → biofilm/electrode damage (Baek 2021)"))</f>
        <v>MILD sub-lethal penalty: 0.68 mg/L (chloride costs lag/growth — Sydow 2017; chloride-free avoids it)</v>
      </c>
      <c r="E109" s="52" t="s">
        <v>1231</v>
      </c>
      <c r="G109" s="70" t="s">
        <v>1050</v>
      </c>
    </row>
    <row r="110" spans="1:7" ht="328" x14ac:dyDescent="0.2">
      <c r="A110" s="17" t="s">
        <v>995</v>
      </c>
      <c r="B110" s="18" t="s">
        <v>996</v>
      </c>
      <c r="C110" s="19" t="s">
        <v>997</v>
      </c>
      <c r="D110" s="65" t="str">
        <f>IF(pH_op&lt;6.5,"pH BELOW HOB optimum (&lt;6.5) — reduce CO₂ dose",IF(pH_op&gt;7.5,"pH above optimum (&gt;7.5)","pH in HOB band 6.5–7.5"))</f>
        <v>pH BELOW HOB optimum (&lt;6.5) — reduce CO₂ dose</v>
      </c>
      <c r="E110" s="52" t="s">
        <v>998</v>
      </c>
      <c r="G110" s="70" t="s">
        <v>1051</v>
      </c>
    </row>
    <row r="112" spans="1:1" ht="16" x14ac:dyDescent="0.2">
      <c r="A112" s="111" t="s">
        <v>999</v>
      </c>
    </row>
    <row r="113" spans="1:5" x14ac:dyDescent="0.2">
      <c r="A113" s="16" t="s">
        <v>1000</v>
      </c>
      <c r="B113" s="16" t="s">
        <v>1001</v>
      </c>
      <c r="C113" s="16" t="s">
        <v>1002</v>
      </c>
      <c r="D113" s="16" t="s">
        <v>1003</v>
      </c>
      <c r="E113" s="16" t="s">
        <v>1004</v>
      </c>
    </row>
    <row r="114" spans="1:5" x14ac:dyDescent="0.2">
      <c r="A114" s="20" t="s">
        <v>1005</v>
      </c>
      <c r="B114" s="20" t="s">
        <v>1006</v>
      </c>
      <c r="C114" s="63">
        <f>PT_mc02*1000</f>
        <v>40.007195769523626</v>
      </c>
      <c r="D114" s="20" t="s">
        <v>1007</v>
      </c>
      <c r="E114" s="20" t="s">
        <v>1008</v>
      </c>
    </row>
    <row r="115" spans="1:5" x14ac:dyDescent="0.2">
      <c r="A115" s="20" t="s">
        <v>1009</v>
      </c>
      <c r="B115" s="20" t="s">
        <v>1010</v>
      </c>
      <c r="C115" s="63">
        <f>PT_udg*1000</f>
        <v>37.329366919026846</v>
      </c>
      <c r="D115" s="20" t="s">
        <v>1011</v>
      </c>
      <c r="E115" s="20" t="s">
        <v>1012</v>
      </c>
    </row>
    <row r="123" spans="1:1" ht="16" x14ac:dyDescent="0.2">
      <c r="A123" s="111"/>
    </row>
    <row r="125" spans="1:5" ht="24" x14ac:dyDescent="0.2">
      <c r="A125" s="17" t="s">
        <v>1152</v>
      </c>
      <c r="B125" s="18" t="s">
        <v>1014</v>
      </c>
      <c r="C125" s="19" t="s">
        <v>1015</v>
      </c>
      <c r="D125" s="63">
        <f>pH_Cl*pH_fHOCl*52460</f>
        <v>8.877523507988645</v>
      </c>
      <c r="E125" s="52" t="s">
        <v>1154</v>
      </c>
    </row>
    <row r="127" spans="1:1">
      <c r="A127" s="111" t="s">
        <v>1161</v>
      </c>
    </row>
    <row r="128" spans="1:5">
      <c r="A128" s="17" t="s">
        <v>1162</v>
      </c>
      <c r="B128" s="18" t="s">
        <v>1163</v>
      </c>
      <c r="C128" s="19" t="s">
        <v>1164</v>
      </c>
      <c r="D128" s="53">
        <v>0.5</v>
      </c>
      <c r="E128" s="52" t="s">
        <v>1165</v>
      </c>
    </row>
    <row r="129" spans="1:5">
      <c r="A129" s="17" t="s">
        <v>1166</v>
      </c>
      <c r="B129" s="18" t="s">
        <v>1167</v>
      </c>
      <c r="C129" s="19" t="s">
        <v>1168</v>
      </c>
      <c r="D129" s="53">
        <v>0.003</v>
      </c>
      <c r="E129" s="52" t="s">
        <v>1169</v>
      </c>
    </row>
    <row r="130" spans="1:5">
      <c r="A130" s="17" t="s">
        <v>1170</v>
      </c>
      <c r="B130" s="18" t="s">
        <v>1171</v>
      </c>
      <c r="C130" s="19" t="s">
        <v>1172</v>
      </c>
      <c r="D130" s="53">
        <v>5</v>
      </c>
      <c r="E130" s="52" t="s">
        <v>1173</v>
      </c>
    </row>
    <row r="131" spans="1:5">
      <c r="A131" s="17" t="s">
        <v>1174</v>
      </c>
      <c r="B131" s="18" t="s">
        <v>1175</v>
      </c>
      <c r="C131" s="19" t="s">
        <v>1176</v>
      </c>
      <c r="D131" s="63">
        <f>Iappc*FE_CER</f>
        <v>0.002846</v>
      </c>
      <c r="E131" s="52" t="s">
        <v>1177</v>
      </c>
    </row>
    <row r="132" spans="1:5">
      <c r="A132" s="17" t="s">
        <v>1178</v>
      </c>
      <c r="B132" s="18" t="s">
        <v>1179</v>
      </c>
      <c r="C132" s="19" t="s">
        <v>1176</v>
      </c>
      <c r="D132" s="63">
        <f>Fcc*km_Cl*(pH_Cl/1000)*A_anode</f>
        <v>0.0002608</v>
      </c>
      <c r="E132" s="52" t="s">
        <v>1180</v>
      </c>
    </row>
    <row r="133" spans="1:5">
      <c r="A133" s="17" t="s">
        <v>1181</v>
      </c>
      <c r="B133" s="18" t="s">
        <v>1182</v>
      </c>
      <c r="C133" s="19" t="s">
        <v>1176</v>
      </c>
      <c r="D133" s="63">
        <f>MIN(I_Cl_FE,I_Cl_mt)</f>
        <v>0.0002608</v>
      </c>
      <c r="E133" s="52" t="s">
        <v>1183</v>
      </c>
    </row>
    <row r="134" spans="1:5">
      <c r="A134" s="17" t="s">
        <v>1184</v>
      </c>
      <c r="B134" s="18" t="s">
        <v>1185</v>
      </c>
      <c r="C134" s="19" t="s">
        <v>1186</v>
      </c>
      <c r="D134" s="63">
        <f>I_Cl/(2*Fcc*VLc)</f>
        <v>9.011E-08</v>
      </c>
      <c r="E134" s="52" t="s">
        <v>1187</v>
      </c>
    </row>
    <row r="135" spans="1:5">
      <c r="A135" s="17" t="s">
        <v>1188</v>
      </c>
      <c r="B135" s="18" t="s">
        <v>1189</v>
      </c>
      <c r="C135" s="19" t="s">
        <v>1190</v>
      </c>
      <c r="D135" s="63">
        <f>pH_NT*14007</f>
        <v>99.64</v>
      </c>
      <c r="E135" s="52" t="s">
        <v>1191</v>
      </c>
    </row>
    <row r="136" spans="1:5">
      <c r="A136" s="17" t="s">
        <v>1192</v>
      </c>
      <c r="B136" s="18" t="s">
        <v>1193</v>
      </c>
      <c r="C136" s="19" t="s">
        <v>1194</v>
      </c>
      <c r="D136" s="53">
        <v>4200000</v>
      </c>
      <c r="E136" s="52" t="s">
        <v>1195</v>
      </c>
    </row>
    <row r="137" spans="1:5">
      <c r="A137" s="17" t="s">
        <v>1196</v>
      </c>
      <c r="B137" s="18" t="s">
        <v>1197</v>
      </c>
      <c r="C137" s="19" t="s">
        <v>1164</v>
      </c>
      <c r="D137" s="53">
        <v>9.25</v>
      </c>
      <c r="E137" s="52" t="s">
        <v>1198</v>
      </c>
    </row>
    <row r="138" spans="1:5">
      <c r="A138" s="17" t="s">
        <v>1199</v>
      </c>
      <c r="B138" s="18" t="s">
        <v>1200</v>
      </c>
      <c r="C138" s="19" t="s">
        <v>1201</v>
      </c>
      <c r="D138" s="63">
        <f>pH_NT/(1+10^(pKa_NH4-pH_op))</f>
        <v>8.205E-06</v>
      </c>
      <c r="E138" s="52" t="s">
        <v>1202</v>
      </c>
    </row>
    <row r="139" spans="1:5">
      <c r="A139" s="17" t="s">
        <v>1203</v>
      </c>
      <c r="B139" s="18" t="s">
        <v>1204</v>
      </c>
      <c r="C139" s="19" t="s">
        <v>1201</v>
      </c>
      <c r="D139" s="63">
        <f>P_HOCl/(k1_NH2Cl*NH3_free)</f>
        <v>2.615E-09</v>
      </c>
      <c r="E139" s="52" t="s">
        <v>1205</v>
      </c>
    </row>
    <row r="140" spans="1:5">
      <c r="A140" s="17" t="s">
        <v>1206</v>
      </c>
      <c r="B140" s="18" t="s">
        <v>1207</v>
      </c>
      <c r="C140" s="19" t="s">
        <v>1190</v>
      </c>
      <c r="D140" s="63">
        <f>HOCl_ss*52460</f>
        <v>0.0001372</v>
      </c>
      <c r="E140" s="52" t="s">
        <v>1208</v>
      </c>
    </row>
    <row r="141" spans="1:5">
      <c r="A141" s="17" t="s">
        <v>1209</v>
      </c>
      <c r="B141" s="18" t="s">
        <v>1210</v>
      </c>
      <c r="C141" s="19" t="s">
        <v>1164</v>
      </c>
      <c r="D141" s="53">
        <v>10</v>
      </c>
      <c r="E141" s="52" t="s">
        <v>1211</v>
      </c>
    </row>
    <row r="142" spans="1:5">
      <c r="A142" s="17" t="s">
        <v>1212</v>
      </c>
      <c r="B142" s="18" t="s">
        <v>1213</v>
      </c>
      <c r="C142" s="19" t="s">
        <v>1214</v>
      </c>
      <c r="D142" s="53">
        <v>1</v>
      </c>
      <c r="E142" s="52" t="s">
        <v>1215</v>
      </c>
    </row>
    <row r="143" spans="1:5">
      <c r="A143" s="17" t="s">
        <v>1216</v>
      </c>
      <c r="B143" s="18" t="s">
        <v>1217</v>
      </c>
      <c r="C143" s="19" t="s">
        <v>1190</v>
      </c>
      <c r="D143" s="63">
        <f>MIN(P_HOCl*tau_NH2Cl*3600*52460,5.06*NH3_N)</f>
        <v>17.02</v>
      </c>
      <c r="E143" s="52" t="s">
        <v>1218</v>
      </c>
    </row>
    <row r="144" spans="1:5">
      <c r="A144" s="17" t="s">
        <v>1219</v>
      </c>
      <c r="B144" s="18" t="s">
        <v>1220</v>
      </c>
      <c r="C144" s="19" t="s">
        <v>1164</v>
      </c>
      <c r="D144" s="53">
        <v>25</v>
      </c>
      <c r="E144" s="52" t="s">
        <v>1221</v>
      </c>
    </row>
    <row r="145" spans="1:5">
      <c r="A145" s="17" t="s">
        <v>1222</v>
      </c>
      <c r="B145" s="18" t="s">
        <v>1223</v>
      </c>
      <c r="C145" s="19" t="s">
        <v>1190</v>
      </c>
      <c r="D145" s="63">
        <f>f_local*pH_fHOCl*HOCl_ss_mgL+NH2Cl_mgL/R_chloramine</f>
        <v>0.6821</v>
      </c>
      <c r="E145" s="52" t="s">
        <v>1224</v>
      </c>
    </row>
    <row r="146" spans="1:5">
      <c r="A146" s="17" t="s">
        <v>1225</v>
      </c>
      <c r="B146" s="18" t="s">
        <v>1226</v>
      </c>
      <c r="C146" s="19" t="s">
        <v>1190</v>
      </c>
      <c r="D146" s="53">
        <v>0.1</v>
      </c>
      <c r="E146" s="52" t="s">
        <v>1227</v>
      </c>
    </row>
    <row r="147" spans="1:5">
      <c r="A147" s="17" t="s">
        <v>1228</v>
      </c>
      <c r="B147" s="18" t="s">
        <v>1229</v>
      </c>
      <c r="C147" s="19" t="s">
        <v>1190</v>
      </c>
      <c r="D147" s="53">
        <v>2</v>
      </c>
      <c r="E147" s="52" t="s">
        <v>1230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1" t="s">
        <v>406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ht="16" customHeight="1" x14ac:dyDescent="0.2">
      <c r="A3" s="111" t="s">
        <v>134</v>
      </c>
      <c r="B3" s="18"/>
      <c r="C3" s="19"/>
      <c r="D3" s="112"/>
      <c r="E3" s="20"/>
      <c r="F3" s="20"/>
    </row>
    <row r="4" spans="1:6" x14ac:dyDescent="0.2">
      <c r="A4" s="20" t="s">
        <v>407</v>
      </c>
      <c r="B4" s="18" t="s">
        <v>356</v>
      </c>
      <c r="C4" s="20" t="s">
        <v>357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408</v>
      </c>
      <c r="B5" s="18" t="s">
        <v>382</v>
      </c>
      <c r="C5" s="20" t="s">
        <v>357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409</v>
      </c>
      <c r="B6" s="18" t="s">
        <v>230</v>
      </c>
      <c r="C6" s="20" t="s">
        <v>59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410</v>
      </c>
      <c r="B7" s="18" t="s">
        <v>38</v>
      </c>
      <c r="C7" s="20"/>
      <c r="D7" s="39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410</v>
      </c>
      <c r="B8" s="18" t="s">
        <v>38</v>
      </c>
      <c r="C8" s="20"/>
      <c r="D8" s="39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20"/>
      <c r="B9" s="18"/>
      <c r="C9" s="19"/>
      <c r="D9" s="61"/>
      <c r="E9" s="20"/>
      <c r="F9" s="20"/>
    </row>
    <row r="10" spans="1:6" ht="36" customHeight="1" x14ac:dyDescent="0.2">
      <c r="A10" s="17" t="s">
        <v>411</v>
      </c>
      <c r="B10" s="18" t="s">
        <v>412</v>
      </c>
      <c r="C10" s="19" t="s">
        <v>137</v>
      </c>
      <c r="D10" s="112">
        <v>6</v>
      </c>
      <c r="E10" s="62" t="s">
        <v>413</v>
      </c>
      <c r="F10" s="20"/>
    </row>
    <row r="11" spans="1:6" x14ac:dyDescent="0.2">
      <c r="A11" s="17" t="s">
        <v>414</v>
      </c>
      <c r="B11" s="18" t="s">
        <v>415</v>
      </c>
      <c r="C11" s="19" t="s">
        <v>137</v>
      </c>
      <c r="D11" s="112">
        <v>2</v>
      </c>
      <c r="E11" s="62" t="s">
        <v>416</v>
      </c>
      <c r="F11" s="20"/>
    </row>
    <row r="12" spans="1:6" x14ac:dyDescent="0.2">
      <c r="A12" s="17" t="s">
        <v>417</v>
      </c>
      <c r="B12" s="18" t="s">
        <v>418</v>
      </c>
      <c r="C12" s="19" t="s">
        <v>137</v>
      </c>
      <c r="D12" s="112">
        <v>1</v>
      </c>
      <c r="E12" s="62" t="s">
        <v>419</v>
      </c>
      <c r="F12" s="20"/>
    </row>
    <row r="13" spans="1:6" x14ac:dyDescent="0.2">
      <c r="A13" s="17" t="s">
        <v>420</v>
      </c>
      <c r="B13" s="18" t="s">
        <v>421</v>
      </c>
      <c r="C13" s="19" t="s">
        <v>357</v>
      </c>
      <c r="D13" s="49">
        <f>rH2_gen</f>
        <v>1.0615084982307878E-4</v>
      </c>
      <c r="E13" s="38" t="s">
        <v>422</v>
      </c>
      <c r="F13" s="20"/>
    </row>
    <row r="14" spans="1:6" ht="26" customHeight="1" x14ac:dyDescent="0.2">
      <c r="A14" s="17" t="s">
        <v>423</v>
      </c>
      <c r="B14" s="18" t="s">
        <v>424</v>
      </c>
      <c r="C14" s="19" t="s">
        <v>357</v>
      </c>
      <c r="D14" s="49">
        <f>H2_cons*bio_O2/bio_H2</f>
        <v>3.5383616607692927E-5</v>
      </c>
      <c r="E14" s="114" t="s">
        <v>425</v>
      </c>
      <c r="F14" s="20"/>
    </row>
    <row r="15" spans="1:6" x14ac:dyDescent="0.2">
      <c r="A15" s="17" t="s">
        <v>426</v>
      </c>
      <c r="B15" s="18" t="s">
        <v>427</v>
      </c>
      <c r="C15" s="19" t="s">
        <v>357</v>
      </c>
      <c r="D15" s="49">
        <f>H2_cons*bio_CO2/bio_H2</f>
        <v>1.7691808303846464E-5</v>
      </c>
      <c r="E15" s="38" t="s">
        <v>428</v>
      </c>
      <c r="F15" s="20"/>
    </row>
    <row r="16" spans="1:6" x14ac:dyDescent="0.2">
      <c r="A16" s="120" t="s">
        <v>429</v>
      </c>
      <c r="B16" s="18" t="s">
        <v>430</v>
      </c>
      <c r="C16" s="19" t="s">
        <v>357</v>
      </c>
      <c r="D16" s="49">
        <f>O2_net_gen-O2_cons</f>
        <v>1.769180830384646E-5</v>
      </c>
      <c r="E16" s="124" t="s">
        <v>431</v>
      </c>
      <c r="F16" s="20"/>
    </row>
    <row r="17" spans="1:6" x14ac:dyDescent="0.2">
      <c r="A17" s="17" t="s">
        <v>432</v>
      </c>
      <c r="B17" s="18" t="s">
        <v>433</v>
      </c>
      <c r="C17" s="19" t="s">
        <v>55</v>
      </c>
      <c r="D17" s="63">
        <f>Summary!$D$8</f>
        <v>30</v>
      </c>
      <c r="E17" s="38" t="s">
        <v>434</v>
      </c>
      <c r="F17" s="20"/>
    </row>
    <row r="18" spans="1:6" ht="24" customHeight="1" x14ac:dyDescent="0.2">
      <c r="A18" s="17" t="s">
        <v>435</v>
      </c>
      <c r="B18" s="18" t="s">
        <v>310</v>
      </c>
      <c r="C18" s="19" t="s">
        <v>311</v>
      </c>
      <c r="D18" s="43">
        <f>T_C+273.15</f>
        <v>303.14999999999998</v>
      </c>
      <c r="E18" s="102" t="s">
        <v>436</v>
      </c>
      <c r="F18" s="20"/>
    </row>
    <row r="19" spans="1:6" x14ac:dyDescent="0.2">
      <c r="A19" s="17" t="s">
        <v>437</v>
      </c>
      <c r="B19" s="18" t="s">
        <v>313</v>
      </c>
      <c r="C19" s="19" t="s">
        <v>64</v>
      </c>
      <c r="D19" s="64">
        <f>IF(Summary!$D$10&gt;0,Summary!$D$10,101325)</f>
        <v>101325</v>
      </c>
      <c r="E19" s="38" t="s">
        <v>438</v>
      </c>
      <c r="F19" s="20"/>
    </row>
    <row r="20" spans="1:6" x14ac:dyDescent="0.2">
      <c r="A20" s="17" t="s">
        <v>439</v>
      </c>
      <c r="B20" s="18" t="s">
        <v>440</v>
      </c>
      <c r="C20" s="19" t="s">
        <v>441</v>
      </c>
      <c r="D20" s="53">
        <v>101325</v>
      </c>
      <c r="E20" s="102" t="s">
        <v>442</v>
      </c>
      <c r="F20" s="20"/>
    </row>
    <row r="21" spans="1:6" x14ac:dyDescent="0.2">
      <c r="A21" s="17" t="s">
        <v>443</v>
      </c>
      <c r="B21" s="18" t="s">
        <v>444</v>
      </c>
      <c r="C21" s="19" t="s">
        <v>445</v>
      </c>
      <c r="D21" s="53">
        <v>1.2E-5</v>
      </c>
      <c r="E21" s="52" t="s">
        <v>446</v>
      </c>
      <c r="F21" s="20"/>
    </row>
    <row r="22" spans="1:6" x14ac:dyDescent="0.2">
      <c r="A22" s="17" t="s">
        <v>447</v>
      </c>
      <c r="B22" s="18" t="s">
        <v>448</v>
      </c>
      <c r="C22" s="19" t="s">
        <v>311</v>
      </c>
      <c r="D22" s="53">
        <v>1500</v>
      </c>
      <c r="E22" s="52" t="s">
        <v>449</v>
      </c>
      <c r="F22" s="20"/>
    </row>
    <row r="23" spans="1:6" x14ac:dyDescent="0.2">
      <c r="A23" s="17" t="s">
        <v>450</v>
      </c>
      <c r="B23" s="18" t="s">
        <v>451</v>
      </c>
      <c r="C23" s="19" t="s">
        <v>311</v>
      </c>
      <c r="D23" s="53">
        <v>298.14999999999998</v>
      </c>
      <c r="E23" s="102" t="s">
        <v>452</v>
      </c>
      <c r="F23" s="20"/>
    </row>
    <row r="24" spans="1:6" x14ac:dyDescent="0.2">
      <c r="A24" s="17" t="s">
        <v>453</v>
      </c>
      <c r="B24" s="18" t="s">
        <v>454</v>
      </c>
      <c r="C24" s="19" t="s">
        <v>445</v>
      </c>
      <c r="D24" s="65">
        <f>H_O2ref*EXP(H_O2T*(1/T_K-1/T_ref))</f>
        <v>1.1044444261766009E-5</v>
      </c>
      <c r="E24" s="102" t="s">
        <v>455</v>
      </c>
      <c r="F24" s="20"/>
    </row>
    <row r="25" spans="1:6" ht="24" customHeight="1" x14ac:dyDescent="0.2">
      <c r="A25" s="17" t="s">
        <v>456</v>
      </c>
      <c r="B25" s="18" t="s">
        <v>457</v>
      </c>
      <c r="C25" s="19" t="s">
        <v>458</v>
      </c>
      <c r="D25" s="53">
        <v>0.3</v>
      </c>
      <c r="E25" s="52" t="s">
        <v>459</v>
      </c>
      <c r="F25" s="20"/>
    </row>
    <row r="26" spans="1:6" x14ac:dyDescent="0.2">
      <c r="A26" s="17" t="s">
        <v>460</v>
      </c>
      <c r="B26" s="18" t="s">
        <v>461</v>
      </c>
      <c r="C26" s="19" t="s">
        <v>64</v>
      </c>
      <c r="D26" s="44">
        <f>O2_ceil_atm*Pa_per_atm</f>
        <v>30397.5</v>
      </c>
      <c r="E26" s="102" t="s">
        <v>462</v>
      </c>
      <c r="F26" s="20"/>
    </row>
    <row r="27" spans="1:6" x14ac:dyDescent="0.2">
      <c r="A27" s="17" t="s">
        <v>463</v>
      </c>
      <c r="B27" s="18" t="s">
        <v>464</v>
      </c>
      <c r="C27" s="19" t="s">
        <v>465</v>
      </c>
      <c r="D27" s="47">
        <f>H_O2_T*O2_ceil_Pa</f>
        <v>0.33572349444703226</v>
      </c>
      <c r="E27" s="102" t="s">
        <v>466</v>
      </c>
      <c r="F27" s="20"/>
    </row>
    <row r="28" spans="1:6" x14ac:dyDescent="0.2">
      <c r="A28" s="120" t="s">
        <v>463</v>
      </c>
      <c r="B28" s="18" t="s">
        <v>467</v>
      </c>
      <c r="C28" s="19" t="s">
        <v>468</v>
      </c>
      <c r="D28" s="44">
        <f>O2_ceil_C*1000</f>
        <v>335.72349444703224</v>
      </c>
      <c r="E28" s="66" t="s">
        <v>469</v>
      </c>
      <c r="F28" s="20"/>
    </row>
    <row r="29" spans="1:6" x14ac:dyDescent="0.2">
      <c r="A29" s="17" t="s">
        <v>470</v>
      </c>
      <c r="B29" s="18" t="s">
        <v>471</v>
      </c>
      <c r="C29" s="19" t="s">
        <v>445</v>
      </c>
      <c r="D29" s="67">
        <v>3.3E-4</v>
      </c>
      <c r="E29" s="68" t="s">
        <v>1098</v>
      </c>
      <c r="F29" s="20"/>
    </row>
    <row r="30" spans="1:6" ht="24" customHeight="1" x14ac:dyDescent="0.2">
      <c r="A30" s="17" t="s">
        <v>472</v>
      </c>
      <c r="B30" s="18" t="s">
        <v>473</v>
      </c>
      <c r="C30" s="19" t="s">
        <v>311</v>
      </c>
      <c r="D30" s="67">
        <v>2400</v>
      </c>
      <c r="E30" s="68" t="s">
        <v>474</v>
      </c>
      <c r="F30" s="20"/>
    </row>
    <row r="31" spans="1:6" x14ac:dyDescent="0.2">
      <c r="A31" s="17" t="s">
        <v>475</v>
      </c>
      <c r="B31" s="18" t="s">
        <v>476</v>
      </c>
      <c r="C31" s="19" t="s">
        <v>445</v>
      </c>
      <c r="D31" s="49">
        <f>H_CO2ref*EXP(H_CO2T*(1/T_K-1/T_ref))</f>
        <v>2.8897091602523201E-4</v>
      </c>
      <c r="E31" s="102" t="s">
        <v>477</v>
      </c>
      <c r="F31" s="20"/>
    </row>
    <row r="32" spans="1:6" x14ac:dyDescent="0.2">
      <c r="A32" s="17" t="s">
        <v>478</v>
      </c>
      <c r="B32" s="18" t="s">
        <v>479</v>
      </c>
      <c r="C32" s="19" t="s">
        <v>64</v>
      </c>
      <c r="D32" s="49">
        <f>P_atm</f>
        <v>101325</v>
      </c>
      <c r="E32" s="69" t="s">
        <v>480</v>
      </c>
      <c r="F32" s="20"/>
    </row>
    <row r="33" spans="1:6" x14ac:dyDescent="0.2">
      <c r="A33" s="17" t="s">
        <v>481</v>
      </c>
      <c r="B33" s="18" t="s">
        <v>482</v>
      </c>
      <c r="C33" s="19" t="s">
        <v>465</v>
      </c>
      <c r="D33" s="49">
        <f>H_CO2_T*p_CO2_sparge</f>
        <v>29.279978066256632</v>
      </c>
      <c r="E33" s="102" t="s">
        <v>483</v>
      </c>
      <c r="F33" s="20"/>
    </row>
    <row r="34" spans="1:6" x14ac:dyDescent="0.2">
      <c r="A34" s="17" t="s">
        <v>484</v>
      </c>
      <c r="B34" s="18" t="s">
        <v>485</v>
      </c>
      <c r="C34" s="19" t="s">
        <v>468</v>
      </c>
      <c r="D34" s="125">
        <v>50</v>
      </c>
      <c r="E34" s="70" t="s">
        <v>486</v>
      </c>
      <c r="F34" s="20"/>
    </row>
    <row r="35" spans="1:6" ht="24" customHeight="1" x14ac:dyDescent="0.2">
      <c r="A35" s="17" t="s">
        <v>487</v>
      </c>
      <c r="B35" s="18" t="s">
        <v>488</v>
      </c>
      <c r="C35" s="19" t="s">
        <v>112</v>
      </c>
      <c r="D35" s="49">
        <f>CO2_diss*1000/Km_CO2</f>
        <v>585.59956132513264</v>
      </c>
      <c r="E35" s="102" t="s">
        <v>489</v>
      </c>
      <c r="F35" s="20"/>
    </row>
    <row r="36" spans="1:6" x14ac:dyDescent="0.2">
      <c r="A36" s="17" t="s">
        <v>490</v>
      </c>
      <c r="B36" s="18" t="s">
        <v>491</v>
      </c>
      <c r="C36" s="19" t="s">
        <v>492</v>
      </c>
      <c r="D36" s="67">
        <v>4.4499999999999997E-7</v>
      </c>
      <c r="E36" s="68" t="s">
        <v>493</v>
      </c>
      <c r="F36" s="20"/>
    </row>
    <row r="37" spans="1:6" ht="24" customHeight="1" x14ac:dyDescent="0.2">
      <c r="A37" s="17" t="s">
        <v>494</v>
      </c>
      <c r="B37" s="18" t="s">
        <v>495</v>
      </c>
      <c r="C37" s="19" t="s">
        <v>137</v>
      </c>
      <c r="D37" s="49">
        <f>-LOG10(SQRT(Ka1_carb*(CO2_diss/1000)))</f>
        <v>3.9425346209821237</v>
      </c>
      <c r="E37" s="70" t="s">
        <v>496</v>
      </c>
      <c r="F37" s="20"/>
    </row>
    <row r="38" spans="1:6" x14ac:dyDescent="0.2">
      <c r="A38" s="17" t="s">
        <v>497</v>
      </c>
      <c r="B38" s="18" t="s">
        <v>498</v>
      </c>
      <c r="C38" s="19" t="s">
        <v>445</v>
      </c>
      <c r="D38" s="67">
        <v>7.7999999999999999E-6</v>
      </c>
      <c r="E38" s="68" t="s">
        <v>1099</v>
      </c>
      <c r="F38" s="20"/>
    </row>
    <row r="39" spans="1:6" x14ac:dyDescent="0.2">
      <c r="A39" s="17" t="s">
        <v>499</v>
      </c>
      <c r="B39" s="18" t="s">
        <v>500</v>
      </c>
      <c r="C39" s="19" t="s">
        <v>311</v>
      </c>
      <c r="D39" s="67">
        <v>500</v>
      </c>
      <c r="E39" s="68" t="s">
        <v>501</v>
      </c>
      <c r="F39" s="20"/>
    </row>
    <row r="40" spans="1:6" x14ac:dyDescent="0.2">
      <c r="A40" s="17" t="s">
        <v>502</v>
      </c>
      <c r="B40" s="18" t="s">
        <v>503</v>
      </c>
      <c r="C40" s="19" t="s">
        <v>445</v>
      </c>
      <c r="D40" s="49">
        <f>H_H2ref*EXP(H_H2T*(1/T_K-1/T_ref))</f>
        <v>7.5872106737254795E-6</v>
      </c>
      <c r="E40" s="102" t="s">
        <v>477</v>
      </c>
      <c r="F40" s="20"/>
    </row>
    <row r="41" spans="1:6" x14ac:dyDescent="0.2">
      <c r="A41" s="17" t="s">
        <v>504</v>
      </c>
      <c r="B41" s="18" t="s">
        <v>505</v>
      </c>
      <c r="C41" s="19" t="s">
        <v>465</v>
      </c>
      <c r="D41" s="49">
        <f>H_H2_T*P_atm</f>
        <v>0.76877412151523417</v>
      </c>
      <c r="E41" s="102" t="s">
        <v>506</v>
      </c>
      <c r="F41" s="20"/>
    </row>
    <row r="42" spans="1:6" ht="24" customHeight="1" x14ac:dyDescent="0.2">
      <c r="A42" s="17" t="s">
        <v>507</v>
      </c>
      <c r="B42" s="18" t="s">
        <v>508</v>
      </c>
      <c r="C42" s="19" t="s">
        <v>69</v>
      </c>
      <c r="D42" s="49">
        <f>C_H2_sat*(V_charge/1000000)/rH2_gen*60</f>
        <v>6.5180515324831827</v>
      </c>
      <c r="E42" s="102" t="s">
        <v>509</v>
      </c>
      <c r="F42" s="20"/>
    </row>
    <row r="43" spans="1:6" x14ac:dyDescent="0.2">
      <c r="A43" s="17" t="s">
        <v>510</v>
      </c>
      <c r="B43" s="18" t="s">
        <v>511</v>
      </c>
      <c r="C43" s="19" t="s">
        <v>512</v>
      </c>
      <c r="D43" s="49">
        <f>rH2_gen/(V_charge/1000000)/C_H2_sat</f>
        <v>9.20520491453399</v>
      </c>
      <c r="E43" s="70" t="s">
        <v>513</v>
      </c>
      <c r="F43" s="20"/>
    </row>
    <row r="44" spans="1:6" ht="24" customHeight="1" x14ac:dyDescent="0.2">
      <c r="A44" s="17" t="s">
        <v>514</v>
      </c>
      <c r="B44" s="18" t="s">
        <v>515</v>
      </c>
      <c r="C44" s="19" t="s">
        <v>137</v>
      </c>
      <c r="D44" s="49" t="str">
        <f>IF(H2_turnover&gt;1,"EXPLOSIVE","watch")</f>
        <v>EXPLOSIVE</v>
      </c>
      <c r="E44" s="71" t="s">
        <v>516</v>
      </c>
      <c r="F44" s="108" t="s">
        <v>517</v>
      </c>
    </row>
    <row r="45" spans="1:6" x14ac:dyDescent="0.2">
      <c r="A45" s="20" t="s">
        <v>518</v>
      </c>
      <c r="B45" s="20" t="s">
        <v>519</v>
      </c>
      <c r="C45" s="20" t="s">
        <v>104</v>
      </c>
      <c r="D45" s="72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520</v>
      </c>
      <c r="B46" s="20" t="s">
        <v>521</v>
      </c>
      <c r="C46" s="20" t="s">
        <v>104</v>
      </c>
      <c r="D46" s="24" t="e">
        <f>IF(ISNUMBER(VLOOKUP(organism_sel,$A$52:$F$57,3,FALSE)),VLOOKUP(organism_sel,$A$52:$F$57,3,FALSE),NA())</f>
        <v>#N/A</v>
      </c>
      <c r="E46" s="20"/>
      <c r="F46" s="20"/>
    </row>
    <row r="47" spans="1:6" x14ac:dyDescent="0.2">
      <c r="A47" s="20" t="s">
        <v>522</v>
      </c>
      <c r="B47" s="20" t="s">
        <v>523</v>
      </c>
      <c r="C47" s="20" t="s">
        <v>104</v>
      </c>
      <c r="D47" s="24" t="e">
        <f>IF(ISNUMBER(VLOOKUP(organism_sel,$A$52:$F$57,4,FALSE)),VLOOKUP(organism_sel,$A$52:$F$57,4,FALSE),NA())</f>
        <v>#N/A</v>
      </c>
      <c r="E47" s="20"/>
      <c r="F47" s="20"/>
    </row>
    <row r="48" spans="1:6" x14ac:dyDescent="0.2">
      <c r="A48" s="20" t="s">
        <v>524</v>
      </c>
      <c r="B48" s="20" t="s">
        <v>525</v>
      </c>
      <c r="C48" s="20" t="s">
        <v>104</v>
      </c>
      <c r="D48" s="24" t="e">
        <f>IF(ISNUMBER(VLOOKUP(organism_sel,$A$52:$F$57,5,FALSE)),VLOOKUP(organism_sel,$A$52:$F$57,5,FALSE),NA())</f>
        <v>#N/A</v>
      </c>
      <c r="E48" s="20"/>
      <c r="F48" s="20"/>
    </row>
    <row r="49" spans="1:6" x14ac:dyDescent="0.2">
      <c r="A49" s="20"/>
      <c r="B49" s="60"/>
      <c r="C49" s="60"/>
      <c r="D49" s="60"/>
      <c r="E49" s="60"/>
      <c r="F49" s="20"/>
    </row>
    <row r="50" spans="1:6" x14ac:dyDescent="0.2">
      <c r="A50" s="110" t="s">
        <v>526</v>
      </c>
      <c r="B50" s="20"/>
      <c r="C50" s="20"/>
      <c r="D50" s="20"/>
      <c r="E50" s="20"/>
      <c r="F50" s="20"/>
    </row>
    <row r="51" spans="1:6" x14ac:dyDescent="0.2">
      <c r="A51" s="110" t="s">
        <v>527</v>
      </c>
      <c r="B51" s="110" t="s">
        <v>528</v>
      </c>
      <c r="C51" s="110" t="s">
        <v>529</v>
      </c>
      <c r="D51" s="110" t="s">
        <v>530</v>
      </c>
      <c r="E51" s="110" t="s">
        <v>531</v>
      </c>
      <c r="F51" s="110" t="s">
        <v>532</v>
      </c>
    </row>
    <row r="52" spans="1:6" x14ac:dyDescent="0.2">
      <c r="A52" s="20" t="s">
        <v>39</v>
      </c>
      <c r="B52" s="60" t="s">
        <v>402</v>
      </c>
      <c r="C52" s="20">
        <v>2.6</v>
      </c>
      <c r="D52" s="20">
        <v>3</v>
      </c>
      <c r="E52" s="20">
        <v>11.5</v>
      </c>
      <c r="F52" s="108" t="s">
        <v>533</v>
      </c>
    </row>
    <row r="53" spans="1:6" x14ac:dyDescent="0.2">
      <c r="A53" s="20" t="s">
        <v>534</v>
      </c>
      <c r="B53" s="60" t="s">
        <v>402</v>
      </c>
      <c r="C53" s="60" t="s">
        <v>402</v>
      </c>
      <c r="D53" s="60" t="s">
        <v>402</v>
      </c>
      <c r="E53" s="20">
        <v>11.5</v>
      </c>
      <c r="F53" s="20" t="s">
        <v>535</v>
      </c>
    </row>
    <row r="54" spans="1:6" x14ac:dyDescent="0.2">
      <c r="A54" s="20" t="s">
        <v>536</v>
      </c>
      <c r="B54" s="60" t="s">
        <v>402</v>
      </c>
      <c r="C54" s="60" t="s">
        <v>402</v>
      </c>
      <c r="D54" s="60" t="s">
        <v>402</v>
      </c>
      <c r="E54" s="60" t="s">
        <v>402</v>
      </c>
      <c r="F54" s="20" t="s">
        <v>537</v>
      </c>
    </row>
    <row r="55" spans="1:6" x14ac:dyDescent="0.2">
      <c r="A55" s="20" t="s">
        <v>538</v>
      </c>
      <c r="B55" s="60" t="s">
        <v>402</v>
      </c>
      <c r="C55" s="60" t="s">
        <v>402</v>
      </c>
      <c r="D55" s="60" t="s">
        <v>402</v>
      </c>
      <c r="E55" s="60" t="s">
        <v>402</v>
      </c>
      <c r="F55" s="20" t="s">
        <v>537</v>
      </c>
    </row>
    <row r="56" spans="1:6" x14ac:dyDescent="0.2">
      <c r="A56" s="20" t="s">
        <v>539</v>
      </c>
      <c r="B56" s="60" t="s">
        <v>402</v>
      </c>
      <c r="C56" s="60" t="s">
        <v>402</v>
      </c>
      <c r="D56" s="60" t="s">
        <v>402</v>
      </c>
      <c r="E56" s="60" t="s">
        <v>402</v>
      </c>
      <c r="F56" s="20" t="s">
        <v>537</v>
      </c>
    </row>
    <row r="57" spans="1:6" x14ac:dyDescent="0.2">
      <c r="A57" s="20" t="s">
        <v>540</v>
      </c>
      <c r="B57" s="60" t="s">
        <v>402</v>
      </c>
      <c r="C57" s="60" t="s">
        <v>402</v>
      </c>
      <c r="D57" s="60" t="s">
        <v>402</v>
      </c>
      <c r="E57" s="60" t="s">
        <v>402</v>
      </c>
      <c r="F57" s="20" t="s">
        <v>541</v>
      </c>
    </row>
    <row r="58" spans="1:6" x14ac:dyDescent="0.2">
      <c r="A58" s="20"/>
      <c r="B58" s="20"/>
      <c r="C58" s="20"/>
      <c r="D58" s="33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35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1" t="s">
        <v>542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133</v>
      </c>
      <c r="F2" s="20"/>
    </row>
    <row r="3" spans="1:6" x14ac:dyDescent="0.2">
      <c r="A3" s="17"/>
      <c r="B3" s="18"/>
      <c r="C3" s="19"/>
      <c r="D3" s="112"/>
      <c r="E3" s="38"/>
      <c r="F3" s="20"/>
    </row>
    <row r="4" spans="1:6" ht="16" customHeight="1" x14ac:dyDescent="0.2">
      <c r="A4" s="111" t="s">
        <v>134</v>
      </c>
      <c r="B4" s="18"/>
      <c r="C4" s="19"/>
      <c r="D4" s="112"/>
      <c r="E4" s="38"/>
      <c r="F4" s="20"/>
    </row>
    <row r="5" spans="1:6" x14ac:dyDescent="0.2">
      <c r="A5" s="17" t="s">
        <v>543</v>
      </c>
      <c r="B5" s="18" t="s">
        <v>544</v>
      </c>
      <c r="C5" s="19" t="s">
        <v>148</v>
      </c>
      <c r="D5" s="73">
        <f>Geometry!$D$52</f>
        <v>12</v>
      </c>
      <c r="E5" s="74" t="str">
        <f>HYPERLINK("#Geometry!D52","→ Geometry")</f>
        <v>→ Geometry</v>
      </c>
      <c r="F5" s="108" t="s">
        <v>545</v>
      </c>
    </row>
    <row r="6" spans="1:6" x14ac:dyDescent="0.2">
      <c r="A6" s="20" t="s">
        <v>546</v>
      </c>
      <c r="B6" s="20" t="s">
        <v>464</v>
      </c>
      <c r="C6" s="20" t="s">
        <v>465</v>
      </c>
      <c r="D6" s="26">
        <f>Biology!$D$27</f>
        <v>0.33572349444703226</v>
      </c>
      <c r="E6" s="23" t="str">
        <f>HYPERLINK("#Biology!D27","→ Biology")</f>
        <v>→ Biology</v>
      </c>
      <c r="F6" s="20"/>
    </row>
    <row r="7" spans="1:6" x14ac:dyDescent="0.2">
      <c r="A7" s="20" t="s">
        <v>547</v>
      </c>
      <c r="B7" s="20" t="s">
        <v>461</v>
      </c>
      <c r="C7" s="20" t="s">
        <v>64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309</v>
      </c>
      <c r="B8" s="20" t="s">
        <v>310</v>
      </c>
      <c r="C8" s="20" t="s">
        <v>311</v>
      </c>
      <c r="D8" s="26">
        <f>Biology!$D$18</f>
        <v>303.14999999999998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312</v>
      </c>
      <c r="B9" s="20" t="s">
        <v>313</v>
      </c>
      <c r="C9" s="20" t="s">
        <v>64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548</v>
      </c>
      <c r="B10" s="20" t="s">
        <v>427</v>
      </c>
      <c r="C10" s="20" t="s">
        <v>357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549</v>
      </c>
      <c r="B11" s="20" t="s">
        <v>430</v>
      </c>
      <c r="C11" s="20" t="s">
        <v>357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550</v>
      </c>
      <c r="B12" s="20" t="s">
        <v>454</v>
      </c>
      <c r="C12" s="20" t="s">
        <v>445</v>
      </c>
      <c r="D12" s="26">
        <f>Biology!$D$24</f>
        <v>1.1044444261766009E-5</v>
      </c>
      <c r="E12" s="23" t="str">
        <f>HYPERLINK("#Biology!D24","→ Biology")</f>
        <v>→ Biology</v>
      </c>
      <c r="F12" s="20"/>
    </row>
    <row r="13" spans="1:6" x14ac:dyDescent="0.2">
      <c r="A13" s="20" t="s">
        <v>408</v>
      </c>
      <c r="B13" s="20" t="s">
        <v>382</v>
      </c>
      <c r="C13" s="20" t="s">
        <v>357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551</v>
      </c>
      <c r="B14" s="20" t="s">
        <v>239</v>
      </c>
      <c r="C14" s="20" t="s">
        <v>174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552</v>
      </c>
      <c r="B15" s="20" t="s">
        <v>170</v>
      </c>
      <c r="C15" s="20" t="s">
        <v>148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409</v>
      </c>
      <c r="B16" s="20" t="s">
        <v>230</v>
      </c>
      <c r="C16" s="20" t="s">
        <v>59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553</v>
      </c>
      <c r="B17" s="20" t="s">
        <v>173</v>
      </c>
      <c r="C17" s="20" t="s">
        <v>174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554</v>
      </c>
      <c r="B18" s="20" t="s">
        <v>202</v>
      </c>
      <c r="C18" s="20" t="s">
        <v>148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555</v>
      </c>
      <c r="B19" s="20" t="s">
        <v>254</v>
      </c>
      <c r="C19" s="20" t="s">
        <v>59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556</v>
      </c>
      <c r="B20" s="20" t="s">
        <v>557</v>
      </c>
      <c r="C20" s="20" t="s">
        <v>558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559</v>
      </c>
      <c r="B21" s="20" t="s">
        <v>393</v>
      </c>
      <c r="C21" s="20" t="s">
        <v>137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560</v>
      </c>
      <c r="B22" s="20" t="s">
        <v>521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561</v>
      </c>
      <c r="B23" s="20" t="s">
        <v>523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562</v>
      </c>
      <c r="B24" s="20" t="s">
        <v>525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563</v>
      </c>
      <c r="B25" s="20" t="s">
        <v>519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5"/>
      <c r="E26" s="76"/>
      <c r="F26" s="20"/>
    </row>
    <row r="27" spans="1:6" x14ac:dyDescent="0.2">
      <c r="A27" s="17" t="s">
        <v>564</v>
      </c>
      <c r="B27" s="18" t="s">
        <v>565</v>
      </c>
      <c r="C27" s="19" t="s">
        <v>137</v>
      </c>
      <c r="D27" s="112" t="s">
        <v>399</v>
      </c>
      <c r="E27" s="38" t="s">
        <v>566</v>
      </c>
      <c r="F27" s="20"/>
    </row>
    <row r="28" spans="1:6" x14ac:dyDescent="0.2">
      <c r="A28" s="17" t="s">
        <v>567</v>
      </c>
      <c r="B28" s="18" t="s">
        <v>568</v>
      </c>
      <c r="C28" s="19" t="s">
        <v>137</v>
      </c>
      <c r="D28" s="112" t="s">
        <v>405</v>
      </c>
      <c r="E28" s="38" t="s">
        <v>569</v>
      </c>
      <c r="F28" s="20"/>
    </row>
    <row r="29" spans="1:6" x14ac:dyDescent="0.2">
      <c r="A29" s="17" t="s">
        <v>570</v>
      </c>
      <c r="B29" s="18" t="s">
        <v>571</v>
      </c>
      <c r="C29" s="19" t="s">
        <v>572</v>
      </c>
      <c r="D29" s="77">
        <v>7.1199999999999999E-2</v>
      </c>
      <c r="E29" s="52" t="s">
        <v>573</v>
      </c>
      <c r="F29" s="20"/>
    </row>
    <row r="30" spans="1:6" ht="24" customHeight="1" x14ac:dyDescent="0.2">
      <c r="A30" s="17" t="s">
        <v>574</v>
      </c>
      <c r="B30" s="18" t="s">
        <v>575</v>
      </c>
      <c r="C30" s="19" t="s">
        <v>576</v>
      </c>
      <c r="D30" s="51">
        <v>995.65</v>
      </c>
      <c r="E30" s="52" t="s">
        <v>577</v>
      </c>
      <c r="F30" s="20"/>
    </row>
    <row r="31" spans="1:6" x14ac:dyDescent="0.2">
      <c r="A31" s="17" t="s">
        <v>578</v>
      </c>
      <c r="B31" s="18" t="s">
        <v>579</v>
      </c>
      <c r="C31" s="19" t="s">
        <v>580</v>
      </c>
      <c r="D31" s="57">
        <v>9.8066499999999994</v>
      </c>
      <c r="E31" s="103" t="s">
        <v>581</v>
      </c>
      <c r="F31" s="20"/>
    </row>
    <row r="32" spans="1:6" ht="24" customHeight="1" x14ac:dyDescent="0.2">
      <c r="A32" s="17" t="s">
        <v>582</v>
      </c>
      <c r="B32" s="18" t="s">
        <v>583</v>
      </c>
      <c r="C32" s="19" t="s">
        <v>584</v>
      </c>
      <c r="D32" s="53">
        <v>2.249E-9</v>
      </c>
      <c r="E32" s="38" t="s">
        <v>585</v>
      </c>
      <c r="F32" s="20"/>
    </row>
    <row r="33" spans="1:6" x14ac:dyDescent="0.2">
      <c r="A33" s="17" t="s">
        <v>586</v>
      </c>
      <c r="B33" s="18" t="s">
        <v>587</v>
      </c>
      <c r="C33" s="19" t="s">
        <v>588</v>
      </c>
      <c r="D33" s="53">
        <v>205</v>
      </c>
      <c r="E33" s="52" t="s">
        <v>589</v>
      </c>
      <c r="F33" s="20"/>
    </row>
    <row r="34" spans="1:6" ht="24" customHeight="1" x14ac:dyDescent="0.2">
      <c r="A34" s="17" t="s">
        <v>590</v>
      </c>
      <c r="B34" s="18" t="s">
        <v>591</v>
      </c>
      <c r="C34" s="19" t="s">
        <v>588</v>
      </c>
      <c r="D34" s="53">
        <v>130</v>
      </c>
      <c r="E34" s="52" t="s">
        <v>592</v>
      </c>
      <c r="F34" s="20"/>
    </row>
    <row r="35" spans="1:6" x14ac:dyDescent="0.2">
      <c r="A35" s="17" t="s">
        <v>593</v>
      </c>
      <c r="B35" s="18" t="s">
        <v>594</v>
      </c>
      <c r="C35" s="19" t="s">
        <v>588</v>
      </c>
      <c r="D35" s="53">
        <v>70</v>
      </c>
      <c r="E35" s="52" t="s">
        <v>595</v>
      </c>
      <c r="F35" s="20"/>
    </row>
    <row r="36" spans="1:6" x14ac:dyDescent="0.2">
      <c r="A36" s="17" t="s">
        <v>596</v>
      </c>
      <c r="B36" s="18" t="s">
        <v>597</v>
      </c>
      <c r="C36" s="19" t="s">
        <v>588</v>
      </c>
      <c r="D36" s="53">
        <v>28</v>
      </c>
      <c r="E36" s="52" t="s">
        <v>598</v>
      </c>
      <c r="F36" s="20"/>
    </row>
    <row r="37" spans="1:6" x14ac:dyDescent="0.2">
      <c r="A37" s="17" t="s">
        <v>599</v>
      </c>
      <c r="B37" s="18" t="s">
        <v>600</v>
      </c>
      <c r="C37" s="19" t="s">
        <v>588</v>
      </c>
      <c r="D37" s="53">
        <v>13</v>
      </c>
      <c r="E37" s="52" t="s">
        <v>601</v>
      </c>
      <c r="F37" s="20"/>
    </row>
    <row r="38" spans="1:6" x14ac:dyDescent="0.2">
      <c r="A38" s="17" t="s">
        <v>602</v>
      </c>
      <c r="B38" s="18" t="s">
        <v>603</v>
      </c>
      <c r="C38" s="19" t="s">
        <v>588</v>
      </c>
      <c r="D38" s="55">
        <v>1.3</v>
      </c>
      <c r="E38" s="52" t="s">
        <v>604</v>
      </c>
      <c r="F38" s="20"/>
    </row>
    <row r="39" spans="1:6" x14ac:dyDescent="0.2">
      <c r="A39" s="17" t="s">
        <v>605</v>
      </c>
      <c r="B39" s="18" t="s">
        <v>606</v>
      </c>
      <c r="C39" s="19" t="s">
        <v>607</v>
      </c>
      <c r="D39" s="78">
        <f>CHOOSE(por_grade+1,por0_um,por1_um,por2_um,por3_um,por4_um,por5_um)/1000000</f>
        <v>2.05E-4</v>
      </c>
      <c r="E39" s="102" t="s">
        <v>608</v>
      </c>
      <c r="F39" s="20"/>
    </row>
    <row r="40" spans="1:6" ht="24" customHeight="1" x14ac:dyDescent="0.2">
      <c r="A40" s="17" t="s">
        <v>609</v>
      </c>
      <c r="B40" s="18" t="s">
        <v>610</v>
      </c>
      <c r="C40" s="19" t="s">
        <v>607</v>
      </c>
      <c r="D40" s="78">
        <f>spg_ID/1000</f>
        <v>1.5874999999999999E-3</v>
      </c>
      <c r="E40" s="102" t="s">
        <v>611</v>
      </c>
      <c r="F40" s="20"/>
    </row>
    <row r="41" spans="1:6" x14ac:dyDescent="0.2">
      <c r="A41" s="17" t="s">
        <v>612</v>
      </c>
      <c r="B41" s="18" t="s">
        <v>613</v>
      </c>
      <c r="C41" s="19" t="s">
        <v>607</v>
      </c>
      <c r="D41" s="78">
        <f>IF(sparger=spg_name_1,tube_d_m,IF(sparger=spg_name_2,por_pore,NA()))</f>
        <v>1.5874999999999999E-3</v>
      </c>
      <c r="E41" s="102" t="s">
        <v>614</v>
      </c>
      <c r="F41" s="20"/>
    </row>
    <row r="42" spans="1:6" ht="24" customHeight="1" x14ac:dyDescent="0.2">
      <c r="A42" s="120" t="s">
        <v>615</v>
      </c>
      <c r="B42" s="18" t="s">
        <v>616</v>
      </c>
      <c r="C42" s="19" t="s">
        <v>607</v>
      </c>
      <c r="D42" s="49">
        <f>(6*d_orifice*sigma/(rho_L*g_const))^(1/3)</f>
        <v>4.1106061542088958E-3</v>
      </c>
      <c r="E42" s="76" t="s">
        <v>617</v>
      </c>
      <c r="F42" s="20"/>
    </row>
    <row r="43" spans="1:6" x14ac:dyDescent="0.2">
      <c r="A43" s="120" t="s">
        <v>618</v>
      </c>
      <c r="B43" s="18" t="s">
        <v>619</v>
      </c>
      <c r="C43" s="19" t="s">
        <v>148</v>
      </c>
      <c r="D43" s="46">
        <f>d_bubble*1000</f>
        <v>4.1106061542088961</v>
      </c>
      <c r="E43" s="76"/>
      <c r="F43" s="20"/>
    </row>
    <row r="44" spans="1:6" x14ac:dyDescent="0.2">
      <c r="A44" s="17" t="s">
        <v>620</v>
      </c>
      <c r="B44" s="18" t="s">
        <v>621</v>
      </c>
      <c r="C44" s="19" t="s">
        <v>137</v>
      </c>
      <c r="D44" s="51">
        <v>2.14</v>
      </c>
      <c r="E44" s="76" t="s">
        <v>622</v>
      </c>
      <c r="F44" s="20"/>
    </row>
    <row r="45" spans="1:6" x14ac:dyDescent="0.2">
      <c r="A45" s="17" t="s">
        <v>623</v>
      </c>
      <c r="B45" s="18" t="s">
        <v>624</v>
      </c>
      <c r="C45" s="19" t="s">
        <v>137</v>
      </c>
      <c r="D45" s="79">
        <v>0.505</v>
      </c>
      <c r="E45" s="76" t="s">
        <v>625</v>
      </c>
      <c r="F45" s="20"/>
    </row>
    <row r="46" spans="1:6" ht="36" customHeight="1" x14ac:dyDescent="0.2">
      <c r="A46" s="17" t="s">
        <v>626</v>
      </c>
      <c r="B46" s="18" t="s">
        <v>627</v>
      </c>
      <c r="C46" s="19" t="s">
        <v>109</v>
      </c>
      <c r="D46" s="47">
        <f>SQRT(mend_a*sigma/(rho_L*d_bubble)+mend_b*g_const*d_bubble)</f>
        <v>0.23997120602218533</v>
      </c>
      <c r="E46" s="76" t="s">
        <v>628</v>
      </c>
      <c r="F46" s="20"/>
    </row>
    <row r="47" spans="1:6" x14ac:dyDescent="0.2">
      <c r="A47" s="17" t="s">
        <v>629</v>
      </c>
      <c r="B47" s="18" t="s">
        <v>630</v>
      </c>
      <c r="C47" s="19" t="s">
        <v>109</v>
      </c>
      <c r="D47" s="49">
        <f>(Q_CO2/1000000/60)/(A_x/1000000)</f>
        <v>6.6343780105353137E-3</v>
      </c>
      <c r="E47" s="102" t="s">
        <v>631</v>
      </c>
      <c r="F47" s="20"/>
    </row>
    <row r="48" spans="1:6" x14ac:dyDescent="0.2">
      <c r="A48" s="17" t="s">
        <v>632</v>
      </c>
      <c r="B48" s="18" t="s">
        <v>633</v>
      </c>
      <c r="C48" s="19" t="s">
        <v>137</v>
      </c>
      <c r="D48" s="49">
        <f>u_sg/u_rise</f>
        <v>2.764655860387669E-2</v>
      </c>
      <c r="E48" s="76" t="s">
        <v>634</v>
      </c>
      <c r="F48" s="20"/>
    </row>
    <row r="49" spans="1:6" x14ac:dyDescent="0.2">
      <c r="A49" s="17" t="s">
        <v>635</v>
      </c>
      <c r="B49" s="18" t="s">
        <v>636</v>
      </c>
      <c r="C49" s="19" t="s">
        <v>637</v>
      </c>
      <c r="D49" s="43">
        <f>6*holdup/d_bubble</f>
        <v>40.353988049527544</v>
      </c>
      <c r="E49" s="76" t="s">
        <v>638</v>
      </c>
      <c r="F49" s="20"/>
    </row>
    <row r="50" spans="1:6" x14ac:dyDescent="0.2">
      <c r="A50" s="17" t="s">
        <v>639</v>
      </c>
      <c r="B50" s="18" t="s">
        <v>640</v>
      </c>
      <c r="C50" s="19" t="s">
        <v>13</v>
      </c>
      <c r="D50" s="47">
        <f>d_bubble/u_rise</f>
        <v>1.7129580762405595E-2</v>
      </c>
      <c r="E50" s="76" t="s">
        <v>641</v>
      </c>
      <c r="F50" s="20"/>
    </row>
    <row r="51" spans="1:6" x14ac:dyDescent="0.2">
      <c r="A51" s="17" t="s">
        <v>642</v>
      </c>
      <c r="B51" s="18" t="s">
        <v>643</v>
      </c>
      <c r="C51" s="19" t="s">
        <v>109</v>
      </c>
      <c r="D51" s="49">
        <f>2*SQRT(D_O2/(PI()*t_contact))</f>
        <v>4.088616905871452E-4</v>
      </c>
      <c r="E51" s="76" t="s">
        <v>644</v>
      </c>
      <c r="F51" s="20"/>
    </row>
    <row r="52" spans="1:6" x14ac:dyDescent="0.2">
      <c r="A52" s="120" t="s">
        <v>645</v>
      </c>
      <c r="B52" s="18" t="s">
        <v>646</v>
      </c>
      <c r="C52" s="19" t="s">
        <v>647</v>
      </c>
      <c r="D52" s="49">
        <f>kL*a_int</f>
        <v>1.6499199775863286E-2</v>
      </c>
      <c r="E52" s="76" t="s">
        <v>648</v>
      </c>
      <c r="F52" s="20"/>
    </row>
    <row r="53" spans="1:6" x14ac:dyDescent="0.2">
      <c r="A53" s="17" t="s">
        <v>649</v>
      </c>
      <c r="B53" s="18" t="s">
        <v>650</v>
      </c>
      <c r="C53" s="19" t="s">
        <v>647</v>
      </c>
      <c r="D53" s="65">
        <f>kLa_sparge*duty</f>
        <v>7.5789847626869141E-5</v>
      </c>
      <c r="E53" s="126" t="s">
        <v>651</v>
      </c>
      <c r="F53" s="20"/>
    </row>
    <row r="54" spans="1:6" ht="24" customHeight="1" x14ac:dyDescent="0.2">
      <c r="A54" s="17" t="s">
        <v>652</v>
      </c>
      <c r="B54" s="18" t="s">
        <v>653</v>
      </c>
      <c r="C54" s="19" t="s">
        <v>357</v>
      </c>
      <c r="D54" s="49">
        <f>IF(d_bubble&lt;0.001,0,kLa_sparge*(V_charge/1000000)*O2_ceil_C*3600)</f>
        <v>2.9911512623395577E-4</v>
      </c>
      <c r="E54" s="76" t="s">
        <v>654</v>
      </c>
      <c r="F54" s="20"/>
    </row>
    <row r="55" spans="1:6" ht="24" customHeight="1" x14ac:dyDescent="0.2">
      <c r="A55" s="120" t="s">
        <v>655</v>
      </c>
      <c r="B55" s="18" t="s">
        <v>656</v>
      </c>
      <c r="C55" s="19" t="s">
        <v>357</v>
      </c>
      <c r="D55" s="49">
        <f>strip_sparge*duty</f>
        <v>1.3739993544006338E-6</v>
      </c>
      <c r="E55" s="76" t="s">
        <v>657</v>
      </c>
      <c r="F55" s="20"/>
    </row>
    <row r="56" spans="1:6" x14ac:dyDescent="0.2">
      <c r="A56" s="120" t="s">
        <v>658</v>
      </c>
      <c r="B56" s="18" t="s">
        <v>659</v>
      </c>
      <c r="C56" s="19" t="s">
        <v>112</v>
      </c>
      <c r="D56" s="46">
        <f>IF(O2_excess&gt;0,strip_avg/O2_excess,NA())</f>
        <v>7.7663025215003373E-2</v>
      </c>
      <c r="E56" s="76" t="s">
        <v>660</v>
      </c>
      <c r="F56" s="20"/>
    </row>
    <row r="57" spans="1:6" ht="36" customHeight="1" x14ac:dyDescent="0.2">
      <c r="A57" s="17" t="s">
        <v>661</v>
      </c>
      <c r="B57" s="18" t="s">
        <v>662</v>
      </c>
      <c r="C57" s="19" t="s">
        <v>647</v>
      </c>
      <c r="D57" s="49">
        <f>IF(O2_excess&gt;0,O2_excess/3600/((V_charge/1000000)*O2_ceil_C),NA())</f>
        <v>9.7588070278039642E-4</v>
      </c>
      <c r="E57" s="76" t="s">
        <v>663</v>
      </c>
      <c r="F57" s="20"/>
    </row>
    <row r="58" spans="1:6" ht="24" customHeight="1" x14ac:dyDescent="0.2">
      <c r="A58" s="17" t="s">
        <v>664</v>
      </c>
      <c r="B58" s="18" t="s">
        <v>665</v>
      </c>
      <c r="C58" s="19" t="s">
        <v>109</v>
      </c>
      <c r="D58" s="121">
        <v>0.05</v>
      </c>
      <c r="E58" s="76" t="s">
        <v>666</v>
      </c>
      <c r="F58" s="20"/>
    </row>
    <row r="59" spans="1:6" x14ac:dyDescent="0.2">
      <c r="A59" s="120" t="s">
        <v>667</v>
      </c>
      <c r="B59" s="18" t="s">
        <v>668</v>
      </c>
      <c r="C59" s="19" t="s">
        <v>137</v>
      </c>
      <c r="D59" s="59" t="str">
        <f>IF(u_sg&gt;u_g_max,"RISK","OK")</f>
        <v>OK</v>
      </c>
      <c r="E59" s="76" t="s">
        <v>669</v>
      </c>
      <c r="F59" s="20"/>
    </row>
    <row r="60" spans="1:6" x14ac:dyDescent="0.2">
      <c r="A60" s="17" t="s">
        <v>670</v>
      </c>
      <c r="B60" s="18" t="s">
        <v>671</v>
      </c>
      <c r="C60" s="19" t="s">
        <v>576</v>
      </c>
      <c r="D60" s="49">
        <f>P_atm*(M_CO2/1000)/(R_gas*T_K)</f>
        <v>1.7691770185137061</v>
      </c>
      <c r="E60" s="102" t="s">
        <v>672</v>
      </c>
      <c r="F60" s="20"/>
    </row>
    <row r="61" spans="1:6" x14ac:dyDescent="0.2">
      <c r="A61" s="17" t="s">
        <v>673</v>
      </c>
      <c r="B61" s="18" t="s">
        <v>674</v>
      </c>
      <c r="C61" s="19" t="s">
        <v>137</v>
      </c>
      <c r="D61" s="115">
        <v>1</v>
      </c>
      <c r="E61" s="71" t="s">
        <v>675</v>
      </c>
      <c r="F61" s="20"/>
    </row>
    <row r="62" spans="1:6" x14ac:dyDescent="0.2">
      <c r="A62" s="17" t="s">
        <v>676</v>
      </c>
      <c r="B62" s="18" t="s">
        <v>677</v>
      </c>
      <c r="C62" s="19" t="s">
        <v>109</v>
      </c>
      <c r="D62" s="49">
        <f>(Q_CO2/1000000/60)/(n_pores_active*(PI()/4*d_orifice^2))</f>
        <v>1.6823907977801345</v>
      </c>
      <c r="E62" s="124" t="s">
        <v>651</v>
      </c>
      <c r="F62" s="20"/>
    </row>
    <row r="63" spans="1:6" x14ac:dyDescent="0.2">
      <c r="A63" s="17" t="s">
        <v>678</v>
      </c>
      <c r="B63" s="18" t="s">
        <v>679</v>
      </c>
      <c r="C63" s="19" t="s">
        <v>137</v>
      </c>
      <c r="D63" s="49">
        <f>rho_CO2*v_orifice^2*d_orifice/sigma</f>
        <v>0.11165001815603587</v>
      </c>
      <c r="E63" s="124" t="s">
        <v>651</v>
      </c>
      <c r="F63" s="20"/>
    </row>
    <row r="64" spans="1:6" ht="24" customHeight="1" x14ac:dyDescent="0.2">
      <c r="A64" s="17" t="s">
        <v>680</v>
      </c>
      <c r="B64" s="18" t="s">
        <v>681</v>
      </c>
      <c r="C64" s="19" t="s">
        <v>137</v>
      </c>
      <c r="D64" s="49" t="str">
        <f>IF(d_bubble&lt;0.001,"Sinter OOR – add fine-bubble model",IF(We_orifice&lt;2,"Static","Dynamic"))</f>
        <v>Static</v>
      </c>
      <c r="E64" s="102" t="s">
        <v>682</v>
      </c>
      <c r="F64" s="20"/>
    </row>
    <row r="65" spans="1:6" ht="24" customHeight="1" x14ac:dyDescent="0.2">
      <c r="A65" s="17" t="s">
        <v>683</v>
      </c>
      <c r="B65" s="18" t="s">
        <v>684</v>
      </c>
      <c r="C65" s="19" t="s">
        <v>69</v>
      </c>
      <c r="D65" s="49">
        <f>O2_ceil_C*(V_charge/1000000)/O2_excess*60</f>
        <v>17.078590261270065</v>
      </c>
      <c r="E65" s="102" t="s">
        <v>685</v>
      </c>
      <c r="F65" s="20"/>
    </row>
    <row r="66" spans="1:6" ht="24" customHeight="1" x14ac:dyDescent="0.2">
      <c r="A66" s="17" t="s">
        <v>686</v>
      </c>
      <c r="B66" s="18" t="s">
        <v>687</v>
      </c>
      <c r="C66" s="19" t="s">
        <v>69</v>
      </c>
      <c r="D66" s="49">
        <f>IF(O2_excess-strip_avg&gt;0,O2_ceil_C*(V_charge/1000000)/(O2_excess-strip_avg)*60,9999)</f>
        <v>18.516649259617083</v>
      </c>
      <c r="E66" s="102" t="s">
        <v>688</v>
      </c>
      <c r="F66" s="20"/>
    </row>
    <row r="67" spans="1:6" x14ac:dyDescent="0.2">
      <c r="A67" s="17" t="s">
        <v>689</v>
      </c>
      <c r="B67" s="18" t="s">
        <v>690</v>
      </c>
      <c r="C67" s="19" t="s">
        <v>691</v>
      </c>
      <c r="D67" s="80">
        <f>Summary!$D$7</f>
        <v>1000</v>
      </c>
      <c r="E67" s="69" t="s">
        <v>692</v>
      </c>
      <c r="F67" s="20"/>
    </row>
    <row r="68" spans="1:6" ht="24" customHeight="1" x14ac:dyDescent="0.2">
      <c r="A68" s="17" t="s">
        <v>108</v>
      </c>
      <c r="B68" s="18" t="s">
        <v>693</v>
      </c>
      <c r="C68" s="19" t="s">
        <v>109</v>
      </c>
      <c r="D68" s="49">
        <f>PI()*(stir_len/1000)*stir_rpm/60</f>
        <v>0.62831853071795862</v>
      </c>
      <c r="E68" s="102" t="s">
        <v>694</v>
      </c>
      <c r="F68" s="20"/>
    </row>
    <row r="69" spans="1:6" x14ac:dyDescent="0.2">
      <c r="A69" s="17" t="s">
        <v>695</v>
      </c>
      <c r="B69" s="18" t="s">
        <v>696</v>
      </c>
      <c r="C69" s="19" t="s">
        <v>647</v>
      </c>
      <c r="D69" s="49">
        <f>tip_speed/(vial_ID/1000)</f>
        <v>24.854372259412919</v>
      </c>
      <c r="E69" s="70" t="s">
        <v>697</v>
      </c>
      <c r="F69" s="20"/>
    </row>
    <row r="70" spans="1:6" ht="24" x14ac:dyDescent="0.2">
      <c r="A70" s="17" t="s">
        <v>698</v>
      </c>
      <c r="B70" s="18" t="s">
        <v>699</v>
      </c>
      <c r="C70" s="19" t="s">
        <v>109</v>
      </c>
      <c r="D70" s="49">
        <f>2*SQRT(D_O2*s_renew/PI())</f>
        <v>2.6677872118283601E-4</v>
      </c>
      <c r="E70" s="70" t="s">
        <v>1100</v>
      </c>
      <c r="F70" s="20"/>
    </row>
    <row r="71" spans="1:6" x14ac:dyDescent="0.2">
      <c r="A71" s="17" t="s">
        <v>700</v>
      </c>
      <c r="B71" s="18" t="s">
        <v>701</v>
      </c>
      <c r="C71" s="19" t="s">
        <v>637</v>
      </c>
      <c r="D71" s="49">
        <f>interface_A/V_charge</f>
        <v>28.63651500937112</v>
      </c>
      <c r="E71" s="102" t="s">
        <v>702</v>
      </c>
      <c r="F71" s="20"/>
    </row>
    <row r="72" spans="1:6" x14ac:dyDescent="0.2">
      <c r="A72" s="17" t="s">
        <v>703</v>
      </c>
      <c r="B72" s="18" t="s">
        <v>704</v>
      </c>
      <c r="C72" s="19" t="s">
        <v>647</v>
      </c>
      <c r="D72" s="49">
        <f>kL_surf*a_surf</f>
        <v>7.6396128533331165E-3</v>
      </c>
      <c r="E72" s="70" t="s">
        <v>705</v>
      </c>
      <c r="F72" s="20"/>
    </row>
    <row r="73" spans="1:6" ht="36" customHeight="1" x14ac:dyDescent="0.2">
      <c r="A73" s="17" t="s">
        <v>706</v>
      </c>
      <c r="B73" s="18" t="s">
        <v>707</v>
      </c>
      <c r="C73" s="19" t="s">
        <v>357</v>
      </c>
      <c r="D73" s="49">
        <f>kLa_surf_used*(V_charge/1000000)*O2_ceil_C*3600</f>
        <v>1.3849906626054665E-4</v>
      </c>
      <c r="E73" s="70" t="s">
        <v>1039</v>
      </c>
      <c r="F73" s="20"/>
    </row>
    <row r="74" spans="1:6" ht="24" customHeight="1" x14ac:dyDescent="0.2">
      <c r="A74" s="17" t="s">
        <v>708</v>
      </c>
      <c r="B74" s="18" t="s">
        <v>709</v>
      </c>
      <c r="C74" s="19" t="s">
        <v>112</v>
      </c>
      <c r="D74" s="49">
        <f>IF(O2_excess&gt;0,surf_strip/O2_excess,NA())</f>
        <v>7.8284290606085145</v>
      </c>
      <c r="E74" s="70" t="s">
        <v>710</v>
      </c>
      <c r="F74" s="20"/>
    </row>
    <row r="75" spans="1:6" ht="24" customHeight="1" x14ac:dyDescent="0.2">
      <c r="A75" s="17" t="s">
        <v>711</v>
      </c>
      <c r="B75" s="18" t="s">
        <v>712</v>
      </c>
      <c r="C75" s="19" t="s">
        <v>137</v>
      </c>
      <c r="D75" s="49">
        <f>IF(CO2_supply&gt;0,O2_excess/(O2_excess+CO2_supply),NA())</f>
        <v>7.9285801627011401E-3</v>
      </c>
      <c r="E75" s="102" t="s">
        <v>713</v>
      </c>
      <c r="F75" s="20"/>
    </row>
    <row r="76" spans="1:6" ht="60" x14ac:dyDescent="0.2">
      <c r="A76" s="17" t="s">
        <v>714</v>
      </c>
      <c r="B76" s="18" t="s">
        <v>715</v>
      </c>
      <c r="C76" s="19" t="s">
        <v>468</v>
      </c>
      <c r="D76" s="49">
        <f>H_O2_T*y_O2_vent*P_atm*1000</f>
        <v>8.8727021274181563</v>
      </c>
      <c r="E76" s="70" t="s">
        <v>1040</v>
      </c>
      <c r="F76" s="20"/>
    </row>
    <row r="77" spans="1:6" x14ac:dyDescent="0.2">
      <c r="A77" s="17" t="s">
        <v>716</v>
      </c>
      <c r="B77" s="18" t="s">
        <v>717</v>
      </c>
      <c r="C77" s="19" t="s">
        <v>69</v>
      </c>
      <c r="D77" s="49">
        <f>headspace_V/(Q_CO2*duty)</f>
        <v>2.8464317102116778</v>
      </c>
      <c r="E77" s="102" t="s">
        <v>718</v>
      </c>
      <c r="F77" s="20"/>
    </row>
    <row r="78" spans="1:6" ht="26" customHeight="1" x14ac:dyDescent="0.2">
      <c r="A78" s="17" t="s">
        <v>719</v>
      </c>
      <c r="B78" s="18" t="s">
        <v>720</v>
      </c>
      <c r="C78" s="19" t="s">
        <v>112</v>
      </c>
      <c r="D78" s="49">
        <f>IF(O2_excess&gt;0,(strip_avg+surf_strip)/O2_excess,NA())</f>
        <v>7.9060920858235173</v>
      </c>
      <c r="E78" s="127" t="s">
        <v>721</v>
      </c>
      <c r="F78" s="20"/>
    </row>
    <row r="79" spans="1:6" x14ac:dyDescent="0.2">
      <c r="A79" s="17" t="s">
        <v>722</v>
      </c>
      <c r="B79" s="18" t="s">
        <v>723</v>
      </c>
      <c r="C79" s="19" t="s">
        <v>69</v>
      </c>
      <c r="D79" s="49">
        <f>O2_ceil_C*(V_charge/1000000)/O2_net_gen*60</f>
        <v>5.6928634204233548</v>
      </c>
      <c r="E79" s="102" t="s">
        <v>724</v>
      </c>
      <c r="F79" s="20"/>
    </row>
    <row r="80" spans="1:6" ht="36" customHeight="1" x14ac:dyDescent="0.2">
      <c r="A80" s="17" t="s">
        <v>725</v>
      </c>
      <c r="B80" s="18" t="s">
        <v>726</v>
      </c>
      <c r="C80" s="19" t="s">
        <v>69</v>
      </c>
      <c r="D80" s="49">
        <f>IF(O2_net_gen-strip_avg-surf_strip&gt;0,O2_ceil_C*(V_charge/1000000)/(O2_net_gen-strip_avg-surf_strip)*60,9999)</f>
        <v>9999</v>
      </c>
      <c r="E80" s="70" t="s">
        <v>727</v>
      </c>
      <c r="F80" s="20"/>
    </row>
    <row r="81" spans="1:6" ht="24" customHeight="1" x14ac:dyDescent="0.2">
      <c r="A81" s="17" t="s">
        <v>728</v>
      </c>
      <c r="B81" s="18" t="s">
        <v>729</v>
      </c>
      <c r="C81" s="19" t="s">
        <v>137</v>
      </c>
      <c r="D81" s="125" t="s">
        <v>730</v>
      </c>
      <c r="E81" s="69" t="s">
        <v>1234</v>
      </c>
      <c r="F81" s="20"/>
    </row>
    <row r="82" spans="1:6" x14ac:dyDescent="0.2">
      <c r="A82" s="17" t="s">
        <v>732</v>
      </c>
      <c r="B82" s="18" t="s">
        <v>733</v>
      </c>
      <c r="C82" s="19" t="s">
        <v>13</v>
      </c>
      <c r="D82" s="125">
        <v>1</v>
      </c>
      <c r="E82" s="69" t="s">
        <v>1235</v>
      </c>
      <c r="F82" s="20"/>
    </row>
    <row r="83" spans="1:6" x14ac:dyDescent="0.2">
      <c r="A83" s="17" t="s">
        <v>735</v>
      </c>
      <c r="B83" s="18" t="s">
        <v>736</v>
      </c>
      <c r="C83" s="19" t="s">
        <v>69</v>
      </c>
      <c r="D83" s="125">
        <v>1</v>
      </c>
      <c r="E83" s="69" t="s">
        <v>1236</v>
      </c>
      <c r="F83" s="20"/>
    </row>
    <row r="84" spans="1:6" x14ac:dyDescent="0.2">
      <c r="A84" s="17" t="s">
        <v>738</v>
      </c>
      <c r="B84" s="18" t="s">
        <v>739</v>
      </c>
      <c r="C84" s="19" t="s">
        <v>137</v>
      </c>
      <c r="D84" s="81">
        <f>IF(AND(ISNUMBER(DO_opt),ISNUMBER(DO_toxic)),DO_opt/DO_toxic,0.5)</f>
        <v>0.5</v>
      </c>
      <c r="E84" s="69" t="s">
        <v>740</v>
      </c>
      <c r="F84" s="20"/>
    </row>
    <row r="85" spans="1:6" x14ac:dyDescent="0.2">
      <c r="A85" s="17" t="s">
        <v>741</v>
      </c>
      <c r="B85" s="18" t="s">
        <v>742</v>
      </c>
      <c r="C85" s="19" t="s">
        <v>137</v>
      </c>
      <c r="D85" s="125">
        <v>2</v>
      </c>
      <c r="E85" s="69" t="s">
        <v>743</v>
      </c>
      <c r="F85" s="20"/>
    </row>
    <row r="86" spans="1:6" x14ac:dyDescent="0.2">
      <c r="A86" s="17" t="s">
        <v>744</v>
      </c>
      <c r="B86" s="18" t="s">
        <v>745</v>
      </c>
      <c r="C86" s="19" t="s">
        <v>137</v>
      </c>
      <c r="D86" s="49">
        <f>carbon_margin_min*CO2_cons/(nCO2_rate*3600)</f>
        <v>7.3422747452322058E-5</v>
      </c>
      <c r="E86" s="102" t="s">
        <v>746</v>
      </c>
      <c r="F86" s="20"/>
    </row>
    <row r="87" spans="1:6" ht="24" customHeight="1" x14ac:dyDescent="0.2">
      <c r="A87" s="17" t="s">
        <v>747</v>
      </c>
      <c r="B87" s="18" t="s">
        <v>748</v>
      </c>
      <c r="C87" s="19" t="s">
        <v>137</v>
      </c>
      <c r="D87" s="49">
        <f>O2_src_guard/(target_DO_frac*(O2_ceil_Pa/P_atm))/(nCO2_rate*3600)</f>
        <v>7.3422747452322069E-4</v>
      </c>
      <c r="E87" s="102" t="s">
        <v>1160</v>
      </c>
      <c r="F87" s="20"/>
    </row>
    <row r="88" spans="1:6" ht="24" customHeight="1" x14ac:dyDescent="0.2">
      <c r="A88" s="17" t="s">
        <v>750</v>
      </c>
      <c r="B88" s="18" t="s">
        <v>751</v>
      </c>
      <c r="C88" s="19" t="s">
        <v>137</v>
      </c>
      <c r="D88" s="49">
        <f>MAX(duty_carbon,duty_O2vent)</f>
        <v>7.3422747452322069E-4</v>
      </c>
      <c r="E88" s="70" t="s">
        <v>1041</v>
      </c>
      <c r="F88" s="20"/>
    </row>
    <row r="89" spans="1:6" ht="24" x14ac:dyDescent="0.2">
      <c r="A89" s="17" t="s">
        <v>752</v>
      </c>
      <c r="B89" s="18" t="s">
        <v>753</v>
      </c>
      <c r="C89" s="19" t="s">
        <v>69</v>
      </c>
      <c r="D89" s="49">
        <f>target_DO_frac*O2_ceil_C*(V_charge/1000000)/O2_src_guard*60</f>
        <v>2.8464317102116774</v>
      </c>
      <c r="E89" s="102" t="s">
        <v>1159</v>
      </c>
      <c r="F89" s="20"/>
    </row>
    <row r="90" spans="1:6" x14ac:dyDescent="0.2">
      <c r="A90" s="17" t="s">
        <v>755</v>
      </c>
      <c r="B90" s="18" t="s">
        <v>756</v>
      </c>
      <c r="C90" s="19" t="s">
        <v>13</v>
      </c>
      <c r="D90" s="128">
        <f>MAX(pulse_floor,flush_factor*headspace_V/(Q_CO2/60))</f>
        <v>0.78451304982496561</v>
      </c>
      <c r="E90" s="82" t="s">
        <v>757</v>
      </c>
      <c r="F90" s="20"/>
    </row>
    <row r="91" spans="1:6" ht="24" customHeight="1" x14ac:dyDescent="0.2">
      <c r="A91" s="17" t="s">
        <v>758</v>
      </c>
      <c r="B91" s="18" t="s">
        <v>759</v>
      </c>
      <c r="C91" s="19" t="s">
        <v>69</v>
      </c>
      <c r="D91" s="128">
        <f>IF(spg_int_regime="SURFACE-HELD",spg_int_carbon,MIN(spg_dur_opt/(60*duty_opt),spg_int_max))</f>
        <v>178.08128884816398</v>
      </c>
      <c r="E91" s="82" t="s">
        <v>1158</v>
      </c>
      <c r="F91" s="20"/>
    </row>
    <row r="92" spans="1:6" x14ac:dyDescent="0.2">
      <c r="A92" s="17" t="s">
        <v>761</v>
      </c>
      <c r="B92" s="18" t="s">
        <v>762</v>
      </c>
      <c r="C92" s="19" t="s">
        <v>13</v>
      </c>
      <c r="D92" s="49">
        <f>spg_int_opt*60</f>
        <v>170.78590261270065</v>
      </c>
      <c r="E92" s="82" t="s">
        <v>763</v>
      </c>
      <c r="F92" s="20"/>
    </row>
    <row r="93" spans="1:6" x14ac:dyDescent="0.2">
      <c r="A93" s="17" t="s">
        <v>764</v>
      </c>
      <c r="B93" s="18" t="s">
        <v>765</v>
      </c>
      <c r="C93" s="19" t="s">
        <v>137</v>
      </c>
      <c r="D93" s="49">
        <f>spg_dur_opt/(spg_int_opt*60)</f>
        <v>4.5935468784214775E-3</v>
      </c>
      <c r="E93" s="102" t="s">
        <v>766</v>
      </c>
      <c r="F93" s="20"/>
    </row>
    <row r="94" spans="1:6" x14ac:dyDescent="0.2">
      <c r="A94" s="17" t="s">
        <v>767</v>
      </c>
      <c r="B94" s="18" t="s">
        <v>768</v>
      </c>
      <c r="C94" s="19" t="s">
        <v>137</v>
      </c>
      <c r="D94" s="49" t="str">
        <f>IF(spg_int_regime="SURFACE-HELD","CARBON (surface holds DO)",IF(spg_int_opt&gt;=spg_int_max-0.0001,"O2-CEILING",IF(spg_int_opt&lt;spg_dur_opt/(60*duty_opt)-0.0001,"O2-FREQ",IF(duty_O2vent&gt;=duty_carbon,"O2-VENT","CARBON"))))</f>
        <v>CARBON (surface holds DO)</v>
      </c>
      <c r="E94" s="102" t="s">
        <v>769</v>
      </c>
      <c r="F94" s="20"/>
    </row>
    <row r="95" spans="1:6" x14ac:dyDescent="0.2">
      <c r="A95" s="17" t="s">
        <v>770</v>
      </c>
      <c r="B95" s="18" t="s">
        <v>771</v>
      </c>
      <c r="C95" s="19" t="s">
        <v>137</v>
      </c>
      <c r="D95" s="49" t="str">
        <f>IF(spg_int*60-spg_dur&gt;=5,"OK","TIGHT")</f>
        <v>OK</v>
      </c>
      <c r="E95" s="102" t="s">
        <v>1237</v>
      </c>
      <c r="F95" s="20"/>
    </row>
    <row r="96" spans="1:6" ht="36" customHeight="1" x14ac:dyDescent="0.2">
      <c r="A96" s="17" t="s">
        <v>773</v>
      </c>
      <c r="B96" s="18" t="s">
        <v>774</v>
      </c>
      <c r="C96" s="19" t="s">
        <v>137</v>
      </c>
      <c r="D96" s="49" t="str">
        <f>"see note →"</f>
        <v>see note →</v>
      </c>
      <c r="E96" s="70" t="s">
        <v>775</v>
      </c>
      <c r="F96" s="20"/>
    </row>
    <row r="97" spans="1:6" ht="24" customHeight="1" x14ac:dyDescent="0.2">
      <c r="A97" s="17" t="s">
        <v>776</v>
      </c>
      <c r="B97" s="18" t="s">
        <v>777</v>
      </c>
      <c r="C97" s="19" t="s">
        <v>512</v>
      </c>
      <c r="D97" s="125">
        <v>0</v>
      </c>
      <c r="E97" s="70" t="s">
        <v>778</v>
      </c>
      <c r="F97" s="20"/>
    </row>
    <row r="98" spans="1:6" ht="24" customHeight="1" x14ac:dyDescent="0.2">
      <c r="A98" s="17" t="s">
        <v>779</v>
      </c>
      <c r="B98" s="18" t="s">
        <v>780</v>
      </c>
      <c r="C98" s="19" t="s">
        <v>647</v>
      </c>
      <c r="D98" s="49">
        <f>IF(kLa_meas&gt;0,kLa_meas/3600,kLa_surf)</f>
        <v>7.6396128533331165E-3</v>
      </c>
      <c r="E98" s="102" t="s">
        <v>781</v>
      </c>
      <c r="F98" s="20"/>
    </row>
    <row r="99" spans="1:6" x14ac:dyDescent="0.2">
      <c r="A99" s="20" t="s">
        <v>782</v>
      </c>
      <c r="B99" s="20" t="s">
        <v>783</v>
      </c>
      <c r="C99" s="20" t="s">
        <v>13</v>
      </c>
      <c r="D99" s="24">
        <f>min_sparge_cal</f>
        <v>0.25</v>
      </c>
      <c r="E99" s="20" t="s">
        <v>784</v>
      </c>
      <c r="F99" s="20"/>
    </row>
    <row r="100" spans="1:6" x14ac:dyDescent="0.2">
      <c r="A100" s="20" t="s">
        <v>785</v>
      </c>
      <c r="B100" s="20" t="s">
        <v>786</v>
      </c>
      <c r="C100" s="20" t="s">
        <v>357</v>
      </c>
      <c r="D100" s="24">
        <f>CO2_pulse*pulses_h</f>
        <v>2.2137049791152953E-3</v>
      </c>
      <c r="E100" s="20" t="s">
        <v>784</v>
      </c>
      <c r="F100" s="20"/>
    </row>
    <row r="101" spans="1:6" x14ac:dyDescent="0.2">
      <c r="A101" s="20" t="s">
        <v>787</v>
      </c>
      <c r="B101" s="20" t="s">
        <v>315</v>
      </c>
      <c r="C101" s="20" t="s">
        <v>316</v>
      </c>
      <c r="D101" s="83">
        <v>8.3144626180000003</v>
      </c>
      <c r="E101" s="20" t="s">
        <v>784</v>
      </c>
      <c r="F101" s="20"/>
    </row>
    <row r="102" spans="1:6" x14ac:dyDescent="0.2">
      <c r="A102" s="20" t="s">
        <v>788</v>
      </c>
      <c r="B102" s="20" t="s">
        <v>789</v>
      </c>
      <c r="C102" s="20" t="s">
        <v>364</v>
      </c>
      <c r="D102" s="24">
        <f>IF(has_cal&gt;0,flowrate_cal*60,NA())</f>
        <v>199.8</v>
      </c>
      <c r="E102" s="20" t="s">
        <v>784</v>
      </c>
      <c r="F102" s="20"/>
    </row>
    <row r="103" spans="1:6" x14ac:dyDescent="0.2">
      <c r="A103" s="20" t="s">
        <v>790</v>
      </c>
      <c r="B103" s="20" t="s">
        <v>791</v>
      </c>
      <c r="C103" s="20" t="s">
        <v>792</v>
      </c>
      <c r="D103" s="83">
        <v>44.009500000000003</v>
      </c>
      <c r="E103" s="20" t="s">
        <v>784</v>
      </c>
      <c r="F103" s="20"/>
    </row>
    <row r="104" spans="1:6" x14ac:dyDescent="0.2">
      <c r="A104" s="20" t="s">
        <v>793</v>
      </c>
      <c r="B104" s="20" t="s">
        <v>794</v>
      </c>
      <c r="C104" s="20" t="s">
        <v>795</v>
      </c>
      <c r="D104" s="24">
        <f>P_atm*(Q_CO2/1000000/60)/(R_gas*T_K)</f>
        <v>1.3386563063999001E-4</v>
      </c>
      <c r="E104" s="20" t="s">
        <v>784</v>
      </c>
      <c r="F104" s="20"/>
    </row>
    <row r="105" spans="1:6" x14ac:dyDescent="0.2">
      <c r="A105" s="20" t="s">
        <v>796</v>
      </c>
      <c r="B105" s="20" t="s">
        <v>797</v>
      </c>
      <c r="C105" s="20" t="s">
        <v>137</v>
      </c>
      <c r="D105" s="24">
        <f>spg_dur/(spg_int*60)</f>
        <v>4.5935468784214775E-3</v>
      </c>
      <c r="E105" s="20" t="s">
        <v>784</v>
      </c>
      <c r="F105" s="20"/>
    </row>
    <row r="106" spans="1:6" x14ac:dyDescent="0.2">
      <c r="A106" s="20" t="s">
        <v>798</v>
      </c>
      <c r="B106" s="20" t="s">
        <v>799</v>
      </c>
      <c r="C106" s="20" t="s">
        <v>137</v>
      </c>
      <c r="D106" s="83">
        <v>1</v>
      </c>
      <c r="E106" s="20" t="s">
        <v>784</v>
      </c>
      <c r="F106" s="20"/>
    </row>
    <row r="107" spans="1:6" x14ac:dyDescent="0.2">
      <c r="A107" s="110" t="s">
        <v>800</v>
      </c>
      <c r="B107" s="20"/>
      <c r="C107" s="20"/>
      <c r="D107" s="20"/>
      <c r="E107" s="20"/>
      <c r="F107" s="20"/>
    </row>
    <row r="108" spans="1:6" x14ac:dyDescent="0.2">
      <c r="A108" s="20" t="s">
        <v>801</v>
      </c>
      <c r="B108" s="20" t="s">
        <v>802</v>
      </c>
      <c r="C108" s="20" t="s">
        <v>104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803</v>
      </c>
      <c r="B109" s="20" t="s">
        <v>804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805</v>
      </c>
      <c r="B110" s="20" t="s">
        <v>806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807</v>
      </c>
      <c r="B111" s="20" t="s">
        <v>808</v>
      </c>
      <c r="C111" s="20"/>
      <c r="D111" s="24" t="str">
        <f>IF(tip_speed&gt;1.5,"TIP SPEED &gt; 1.5 m/s","OK")</f>
        <v>OK</v>
      </c>
      <c r="E111" s="84" t="s">
        <v>809</v>
      </c>
      <c r="F111" s="20"/>
    </row>
    <row r="112" spans="1:6" x14ac:dyDescent="0.2">
      <c r="A112" s="20" t="s">
        <v>810</v>
      </c>
      <c r="B112" s="20" t="s">
        <v>811</v>
      </c>
      <c r="C112" s="20" t="s">
        <v>69</v>
      </c>
      <c r="D112" s="24">
        <f>spg_dur_opt/(60*duty_carbon)</f>
        <v>178.08128884816398</v>
      </c>
      <c r="E112" s="20"/>
      <c r="F112" s="20"/>
    </row>
    <row r="113" spans="1:6" x14ac:dyDescent="0.2">
      <c r="A113" s="20" t="s">
        <v>812</v>
      </c>
      <c r="B113" s="20" t="s">
        <v>813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organism DO unknown</v>
      </c>
      <c r="E113" s="84" t="s">
        <v>814</v>
      </c>
      <c r="F113" s="20"/>
    </row>
    <row r="114" spans="1:6" x14ac:dyDescent="0.2">
      <c r="A114" s="110" t="s">
        <v>815</v>
      </c>
      <c r="B114" s="20"/>
      <c r="C114" s="20"/>
      <c r="D114" s="20"/>
      <c r="E114" s="20"/>
      <c r="F114" s="20"/>
    </row>
    <row r="115" spans="1:6" x14ac:dyDescent="0.2">
      <c r="A115" s="20" t="s">
        <v>816</v>
      </c>
      <c r="B115" s="20" t="s">
        <v>1</v>
      </c>
      <c r="C115" s="20"/>
      <c r="D115" s="39" t="str">
        <f>Summary!$D$2</f>
        <v>ed04</v>
      </c>
      <c r="E115" s="20"/>
      <c r="F115" s="20"/>
    </row>
    <row r="116" spans="1:6" x14ac:dyDescent="0.2">
      <c r="A116" s="20" t="s">
        <v>817</v>
      </c>
      <c r="B116" s="20" t="s">
        <v>818</v>
      </c>
      <c r="C116" s="20"/>
      <c r="D116" s="85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819</v>
      </c>
      <c r="B117" s="20" t="s">
        <v>820</v>
      </c>
      <c r="C117" s="20" t="s">
        <v>14</v>
      </c>
      <c r="D117" s="85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821</v>
      </c>
      <c r="B118" s="20" t="s">
        <v>822</v>
      </c>
      <c r="C118" s="20" t="s">
        <v>13</v>
      </c>
      <c r="D118" s="85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823</v>
      </c>
      <c r="B119" s="20" t="s">
        <v>824</v>
      </c>
      <c r="C119" s="20" t="s">
        <v>825</v>
      </c>
      <c r="D119" s="85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826</v>
      </c>
      <c r="B120" s="20" t="s">
        <v>827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828</v>
      </c>
      <c r="B121" s="20" t="s">
        <v>829</v>
      </c>
      <c r="C121" s="20" t="s">
        <v>13</v>
      </c>
      <c r="D121" s="24">
        <f>IF(AND(ISNUMBER(Summary!$G$13),Summary!$G$13&gt;0),Summary!$G$13,IF(sched_mode="Manual",spg_dur_man,spg_dur_opt))</f>
        <v>0.78451304982496561</v>
      </c>
      <c r="E121" s="20"/>
      <c r="F121" s="20"/>
    </row>
    <row r="122" spans="1:6" x14ac:dyDescent="0.2">
      <c r="A122" s="20" t="s">
        <v>830</v>
      </c>
      <c r="B122" s="20" t="s">
        <v>831</v>
      </c>
      <c r="C122" s="20" t="s">
        <v>69</v>
      </c>
      <c r="D122" s="24">
        <f>IF(AND(ISNUMBER(Summary!$G$15),Summary!$G$15&gt;0),Summary!$G$15,IF(sched_mode="Manual",spg_int_man,spg_int_opt))</f>
        <v>178.08128884816398</v>
      </c>
      <c r="E122" s="20"/>
      <c r="F122" s="20"/>
    </row>
    <row r="123" spans="1:6" x14ac:dyDescent="0.2">
      <c r="A123" s="20" t="s">
        <v>832</v>
      </c>
      <c r="B123" s="20" t="s">
        <v>833</v>
      </c>
      <c r="C123" s="20" t="s">
        <v>834</v>
      </c>
      <c r="D123" s="24">
        <f>nCO2_rate*spg_dur</f>
        <v>1.0501933416012093E-4</v>
      </c>
      <c r="E123" s="20"/>
      <c r="F123" s="20"/>
    </row>
    <row r="124" spans="1:6" x14ac:dyDescent="0.2">
      <c r="A124" s="20" t="s">
        <v>835</v>
      </c>
      <c r="B124" s="20" t="s">
        <v>836</v>
      </c>
      <c r="C124" s="20" t="s">
        <v>837</v>
      </c>
      <c r="D124" s="24">
        <f>60/spg_int</f>
        <v>21.079023180056566</v>
      </c>
      <c r="E124" s="20"/>
      <c r="F124" s="20"/>
    </row>
    <row r="125" spans="1:6" x14ac:dyDescent="0.2">
      <c r="A125" s="20" t="s">
        <v>838</v>
      </c>
      <c r="B125" s="20" t="s">
        <v>839</v>
      </c>
      <c r="C125" s="20" t="s">
        <v>840</v>
      </c>
      <c r="D125" s="24">
        <f>pulses_h*24</f>
        <v>505.89655632135759</v>
      </c>
      <c r="E125" s="20"/>
      <c r="F125" s="20"/>
    </row>
    <row r="126" spans="1:6" x14ac:dyDescent="0.2">
      <c r="A126" s="20" t="s">
        <v>841</v>
      </c>
      <c r="B126" s="20" t="s">
        <v>842</v>
      </c>
      <c r="C126" s="20" t="s">
        <v>112</v>
      </c>
      <c r="D126" s="24">
        <f>IF(CO2_cons&gt;0,CO2_supply/CO2_cons,NA())</f>
        <v>125.12598718549323</v>
      </c>
      <c r="E126" s="20"/>
      <c r="F126" s="20"/>
    </row>
    <row r="127" spans="1:6" x14ac:dyDescent="0.2">
      <c r="A127" s="20" t="s">
        <v>843</v>
      </c>
      <c r="B127" s="20" t="s">
        <v>844</v>
      </c>
      <c r="C127" s="20" t="s">
        <v>834</v>
      </c>
      <c r="D127" s="24">
        <f>O2_excess/60*spg_int</f>
        <v>8.3930873611758054E-7</v>
      </c>
      <c r="E127" s="20"/>
      <c r="F127" s="20"/>
    </row>
    <row r="128" spans="1:6" x14ac:dyDescent="0.2">
      <c r="A128" s="20" t="s">
        <v>845</v>
      </c>
      <c r="B128" s="20" t="s">
        <v>846</v>
      </c>
      <c r="C128" s="20" t="s">
        <v>834</v>
      </c>
      <c r="D128" s="24">
        <f>strip_sparge/3600*spg_dur</f>
        <v>6.5183255536272289E-8</v>
      </c>
      <c r="E128" s="20"/>
      <c r="F128" s="20"/>
    </row>
    <row r="129" spans="1:6" x14ac:dyDescent="0.2">
      <c r="A129" s="20" t="s">
        <v>847</v>
      </c>
      <c r="B129" s="20" t="s">
        <v>848</v>
      </c>
      <c r="C129" s="20" t="s">
        <v>112</v>
      </c>
      <c r="D129" s="24">
        <f>IF(O2_accum&gt;0,O2_strip_pulse/O2_accum,NA())</f>
        <v>7.7663025215003401E-2</v>
      </c>
      <c r="E129" s="20"/>
      <c r="F129" s="20"/>
    </row>
    <row r="130" spans="1:6" x14ac:dyDescent="0.2">
      <c r="A130" s="20" t="s">
        <v>849</v>
      </c>
      <c r="B130" s="20" t="s">
        <v>850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851</v>
      </c>
      <c r="B131" s="20" t="s">
        <v>852</v>
      </c>
      <c r="C131" s="20" t="s">
        <v>109</v>
      </c>
      <c r="D131" s="24" t="e">
        <f>IF(ISNUMBER(DO_impair),O2_excess*32/(DO_impair*3600*(V_charge/1000000)*a_surf),NA())</f>
        <v>#N/A</v>
      </c>
      <c r="E131" s="108" t="s">
        <v>853</v>
      </c>
      <c r="F131" s="20"/>
    </row>
    <row r="132" spans="1:6" ht="24" x14ac:dyDescent="0.2">
      <c r="A132" s="17" t="s">
        <v>1023</v>
      </c>
      <c r="B132" s="18" t="s">
        <v>1024</v>
      </c>
      <c r="C132" s="19" t="s">
        <v>1025</v>
      </c>
      <c r="D132" s="29">
        <f>O2_net_gen</f>
        <v>5.3075424911539388E-5</v>
      </c>
      <c r="E132" s="70" t="s">
        <v>1026</v>
      </c>
      <c r="F132" s="20"/>
    </row>
    <row r="133" spans="1:6" ht="24" x14ac:dyDescent="0.2">
      <c r="A133" s="17" t="s">
        <v>1027</v>
      </c>
      <c r="B133" s="18" t="s">
        <v>1028</v>
      </c>
      <c r="C133" s="19" t="s">
        <v>1029</v>
      </c>
      <c r="D133" s="29">
        <f>O2_excess/(kLa_surf_used*3600*(V_charge/1000000))</f>
        <v>4.2885167873123194E-2</v>
      </c>
      <c r="E133" s="70" t="s">
        <v>1030</v>
      </c>
      <c r="F133" s="20"/>
    </row>
    <row r="134" spans="1:6" ht="24" x14ac:dyDescent="0.2">
      <c r="A134" s="20" t="s">
        <v>1031</v>
      </c>
      <c r="B134" s="20" t="s">
        <v>1032</v>
      </c>
      <c r="C134" s="20" t="s">
        <v>1033</v>
      </c>
      <c r="D134" s="29" t="str">
        <f>IF(DO_ss_sawtooth&lt;target_DO_frac*O2_ceil_C,"SURFACE-HELD","SPARGE-NEEDED")</f>
        <v>SURFACE-HELD</v>
      </c>
      <c r="E134" s="70" t="s">
        <v>1034</v>
      </c>
      <c r="F134" s="20"/>
    </row>
    <row r="135" spans="1:6" ht="36" x14ac:dyDescent="0.2">
      <c r="A135" s="20" t="s">
        <v>1035</v>
      </c>
      <c r="B135" s="20" t="s">
        <v>1036</v>
      </c>
      <c r="C135" s="20" t="s">
        <v>1037</v>
      </c>
      <c r="D135" s="29">
        <f>O2_net_gen/(kLa_surf_used*3600*(V_charge/1000000))</f>
        <v>0.12865550361936959</v>
      </c>
      <c r="E135" s="70" t="s">
        <v>1038</v>
      </c>
      <c r="F135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312</vt:i4>
      </vt:variant>
    </vt:vector>
  </HeadingPairs>
  <TitlesOfParts>
    <vt:vector size="319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'Mass Transfer'!a_int</vt:lpstr>
      <vt:lpstr>'Mass Transfer'!a_surf</vt:lpstr>
      <vt:lpstr>Geometry!A_x</vt:lpstr>
      <vt:lpstr>'Mass Transfer'!A_x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Biology!C_H2_sat</vt:lpstr>
      <vt:lpstr>'Mass Transfer'!cal_warning</vt:lpstr>
      <vt:lpstr>'Mass Transfer'!carbon_margin_min</vt:lpstr>
      <vt:lpstr>'Mass Transfer'!carry_flag</vt:lpstr>
      <vt:lpstr>Chemistry!Cl_mc02</vt:lpstr>
      <vt:lpstr>Chemistry!Cl_udg</vt:lpstr>
      <vt:lpstr>Biology!CO2_carbon_margin</vt:lpstr>
      <vt:lpstr>Biology!CO2_cons</vt:lpstr>
      <vt:lpstr>'Mass Transfer'!CO2_cons</vt:lpstr>
      <vt:lpstr>Biology!CO2_diss</vt:lpstr>
      <vt:lpstr>'Mass Transfer'!CO2_pulse</vt:lpstr>
      <vt:lpstr>'Mass Transfer'!CO2_sd_ratio</vt:lpstr>
      <vt:lpstr>'Mass Transfer'!CO2_supply</vt:lpstr>
      <vt:lpstr>Chemistry!CO2aqc</vt:lpstr>
      <vt:lpstr>'Mass Transfer'!d_bubble</vt:lpstr>
      <vt:lpstr>'Mass Transfer'!d_bubble_mm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Electrochemistry!etaF</vt:lpstr>
      <vt:lpstr>Electrochemistry!etaF_OER</vt:lpstr>
      <vt:lpstr>Electrochemistry!F_const</vt:lpstr>
      <vt:lpstr>Chemistry!Fcc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Chemistry!HOCl_max</vt:lpstr>
      <vt:lpstr>'Mass Transfer'!holdup</vt:lpstr>
      <vt:lpstr>'Mass Transfer'!hs_flush_time</vt:lpstr>
      <vt:lpstr>Electrochemistry!I_app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Biology!Km_CO2</vt:lpstr>
      <vt:lpstr>Chemistry!Kw_w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'Mass Transfer'!n_pores_active</vt:lpstr>
      <vt:lpstr>'Mass Transfer'!nCO2_rate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Biology!Pa_per_atm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Biology!T_ref</vt:lpstr>
      <vt:lpstr>'Mass Transfer'!target_DO_frac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Geometry!V_max</vt:lpstr>
      <vt:lpstr>Electrochemistry!V_O2_gen</vt:lpstr>
      <vt:lpstr>'Mass Transfer'!v_orifice</vt:lpstr>
      <vt:lpstr>Geometry!V_vial_total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2026-06-26T10:06:38Z</dcterms:modified>
  <dc:language>en-US</dc:language>
</cp:coreProperties>
</file>