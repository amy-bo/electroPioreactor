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Calibrations!$D$160</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Calibrations!$D$140</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Calibrations!$D$155</definedName>
    <definedName name="ca_rho_k" localSheetId="7">Calibrations!$D$156</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Summary!$D$143</definedName>
    <definedName name="cf_Cl_onset" localSheetId="0">Summary!$D$142</definedName>
    <definedName name="cf_pH_hi" localSheetId="0">Summary!$D$140</definedName>
    <definedName name="cf_pH_lo" localSheetId="0">Summary!$D$139</definedName>
    <definedName name="cf_pH_red_hi" localSheetId="0">Summary!$D$141</definedName>
    <definedName name="cf_pH_red_lo" localSheetId="0">Summary!$D$138</definedName>
    <definedName name="chk_bubble" localSheetId="0">Summary!$D$25</definedName>
    <definedName name="chk_cal" localSheetId="0">Summary!$D$20</definedName>
    <definedName name="chk_carry_usg" localSheetId="0">Summary!$D$136</definedName>
    <definedName name="chk_carryover" localSheetId="0">Summary!$D$29</definedName>
    <definedName name="chk_CO2_supply" localSheetId="0">Summary!$D$26</definedName>
    <definedName name="chk_DO_data" localSheetId="0">Summary!$D$34</definedName>
    <definedName name="chk_DO_min" localSheetId="0">Summary!$D$22</definedName>
    <definedName name="chk_DO_opt" localSheetId="0">Summary!$D$21</definedName>
    <definedName name="chk_geom" localSheetId="0">Summary!$D$19</definedName>
    <definedName name="chk_H2" localSheetId="0">Summary!$D$24</definedName>
    <definedName name="chk_led_law" localSheetId="0">Summary!$D$33</definedName>
    <definedName name="chk_level" localSheetId="0">Summary!$D$32</definedName>
    <definedName name="chk_media_vol" localSheetId="0">Summary!$D$31</definedName>
    <definedName name="chk_od_window" localSheetId="0">Summary!$D$28</definedName>
    <definedName name="chk_pulse_floor" localSheetId="0">Summary!$D$27</definedName>
    <definedName name="chk_relax" localSheetId="0">Summary!$D$23</definedName>
    <definedName name="chk_tip" localSheetId="0">Summary!$D$30</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Calibrations!$D$162</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Calibrations!$D$158</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Summary!$G$13</definedName>
    <definedName name="override_spg_int_min" localSheetId="5">'Mass Transfer'!$D$393</definedName>
    <definedName name="override_spg_int_min" localSheetId="0">Summary!$G$15</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Calibrations!$D$149</definedName>
    <definedName name="pw_A" localSheetId="5">'Mass Transfer'!$D$203</definedName>
    <definedName name="pw_B" localSheetId="7">Calibrations!$D$150</definedName>
    <definedName name="pw_B" localSheetId="5">'Mass Transfer'!$D$204</definedName>
    <definedName name="pw_C" localSheetId="7">Calibrations!$D$151</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Calibrations!$D$161</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Calibrations!$D$157</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Summary!$D$86</definedName>
    <definedName name="res_carbon_margin" localSheetId="0">Summary!$D$41</definedName>
    <definedName name="res_Cl2" localSheetId="0">Summary!$D$36</definedName>
    <definedName name="res_CO2_uptake" localSheetId="0">Summary!$D$135</definedName>
    <definedName name="res_DO_ss" localSheetId="0">Summary!$D$38</definedName>
    <definedName name="res_E_Cl_margin" localSheetId="0">Summary!$D$87</definedName>
    <definedName name="res_E_Cu_margin" localSheetId="0">Summary!$D$88</definedName>
    <definedName name="res_etaF" localSheetId="0">Summary!$D$82</definedName>
    <definedName name="res_H2O2_flag" localSheetId="0">Summary!$D$85</definedName>
    <definedName name="res_I_mA" localSheetId="0">Summary!$D$43</definedName>
    <definedName name="res_I_max" localSheetId="0">Summary!$D$47</definedName>
    <definedName name="res_j_anode" localSheetId="0">Summary!$D$44</definedName>
    <definedName name="res_j_anode_max" localSheetId="0">Summary!$D$48</definedName>
    <definedName name="res_j_status" localSheetId="0">Summary!$D$45</definedName>
    <definedName name="res_j_status_max" localSheetId="0">Summary!$D$49</definedName>
    <definedName name="res_kLa_req" localSheetId="0">Summary!$D$90</definedName>
    <definedName name="res_pH" localSheetId="0">Summary!$D$35</definedName>
    <definedName name="res_pH_probe" localSheetId="0">Summary!$D$89</definedName>
    <definedName name="res_power_max" localSheetId="0">Summary!$D$46</definedName>
    <definedName name="res_spg_dur" localSheetId="0">Summary!$D$13</definedName>
    <definedName name="res_spg_dur_run" localSheetId="0">Summary!$D$14</definedName>
    <definedName name="res_spg_int" localSheetId="0">Summary!$D$15</definedName>
    <definedName name="res_spg_int_carbon" localSheetId="0">Summary!$D$39</definedName>
    <definedName name="res_spg_int_run" localSheetId="0">Summary!$D$16</definedName>
    <definedName name="res_tip_speed" localSheetId="0">Summary!$D$40</definedName>
    <definedName name="res_V_cell" localSheetId="0">Summary!$D$83</definedName>
    <definedName name="res_V_flag" localSheetId="0">Summary!$D$84</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Calibrations!$D$159</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Calibrations!$D$148</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Calibrations!$D$146</definedName>
    <definedName name="z_e_H2" localSheetId="2">Electrochemistry!$D$16</definedName>
    <definedName name="z_e_O2" localSheetId="7">Calibrations!$D$147</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<sst xmlns="http://schemas.openxmlformats.org/spreadsheetml/2006/main" count="3953" uniqueCount="2838">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</sst>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7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59"/>
  <sheetViews>
    <sheetView tabSelected="1" zoomScale="116" workbookViewId="0">
      <selection activeCell="E9" sqref="E9"/>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s">
        <v>1143</v>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7" x14ac:dyDescent="0.2">
      <c r="A11" s="21"/>
      <c r="B11" s="21"/>
      <c r="C11" s="21"/>
      <c r="D11" s="76"/>
      <c r="E11" s="21"/>
      <c r="F11" s="22"/>
    </row>
    <row r="12" spans="1:7" ht="16" customHeight="1" thickBot="1" x14ac:dyDescent="0.25">
      <c r="A12" s="17" t="s">
        <v>59</v>
      </c>
      <c r="B12" s="17" t="s">
        <v>21</v>
      </c>
      <c r="C12" s="17" t="s">
        <v>22</v>
      </c>
      <c r="D12" s="17" t="s">
        <v>23</v>
      </c>
      <c r="E12" s="17" t="s">
        <v>24</v>
      </c>
      <c r="F12" s="17" t="s">
        <v>25</v>
      </c>
      <c r="G12" s="17" t="s">
        <v>1034</v>
      </c>
    </row>
    <row r="13" spans="1:7" ht="16" customHeight="1" thickBot="1" x14ac:dyDescent="0.25">
      <c r="A13" s="25" t="s">
        <v>961</v>
      </c>
      <c r="B13" s="19" t="s">
        <v>1709</v>
      </c>
      <c r="C13" s="21" t="s">
        <v>12</v>
      </c>
      <c r="D13" s="65">
        <f>IF('Mass Transfer'!$D$119=0,"calibrate this reactor first (CO₂ flow section of the Calibrations tab, or a CO2 flows row)",'Mass Transfer'!$D$90)</f>
        <v>0.674076519917</v>
      </c>
      <c r="E13" s="24" t="str">
        <f>HYPERLINK("#'Mass Transfer'!D90","→ Mass")</f>
        <v>→ Mass</v>
      </c>
      <c r="F13" s="22" t="s">
        <v>60</v>
      </c>
      <c r="G13" s="136"/>
    </row>
    <row r="14" spans="1:7" s="4" customFormat="1" ht="16" customHeight="1" thickBot="1" x14ac:dyDescent="0.25">
      <c r="A14" s="25" t="s">
        <v>1710</v>
      </c>
      <c r="B14" s="19" t="s">
        <v>1711</v>
      </c>
      <c r="C14" s="21" t="s">
        <v>12</v>
      </c>
      <c r="D14" s="111">
        <f>IF(NOT(ISNUMBER(res_spg_dur)),res_spg_dur,'Mass Transfer'!spg_dur)</f>
        <v>0.65</v>
      </c>
      <c r="E14" s="21"/>
      <c r="F14" s="57" t="inlineStr">
        <is>
          <t xml:space="preserve">Pulse actually evaluated by every operating check below. Summary override wins, then Manual mode, otherwise the optimum rounded to the pulse resolution.</t>
        </is>
      </c>
    </row>
    <row r="15" spans="1:7" ht="16" customHeight="1" thickBot="1" x14ac:dyDescent="0.25">
      <c r="A15" s="64" t="str">
        <f>"CO₂ sparge interval ("&amp;vent_model_sel&amp;", sized on "&amp;O2_phase_sel&amp;")"</f>
        <v>CO₂ sparge interval (Open vent, sized on Growth)</v>
      </c>
      <c r="B15" s="19" t="s">
        <v>1713</v>
      </c>
      <c r="C15" s="21" t="s">
        <v>61</v>
      </c>
      <c r="D15" s="65">
        <f>IF('Mass Transfer'!$D$119=0,"calibrate this reactor first (CO₂ flow section of the Calibrations tab, or a CO2 flows row)",'Mass Transfer'!$D$91)</f>
        <v>7.398866407059</v>
      </c>
      <c r="E15" s="24" t="str">
        <f>HYPERLINK("#'Mass Transfer'!D91","→ Mass")</f>
        <v>→ Mass</v>
      </c>
      <c r="F15" s="22" t="s">
        <v>1714</v>
      </c>
      <c r="G15" s="136"/>
    </row>
    <row r="16" spans="1:7" x14ac:dyDescent="0.2">
      <c r="A16" s="25" t="s">
        <v>1715</v>
      </c>
      <c r="B16" s="19" t="s">
        <v>1716</v>
      </c>
      <c r="C16" s="21" t="s">
        <v>61</v>
      </c>
      <c r="D16" s="111">
        <f>IF(NOT(ISNUMBER(res_spg_int)),res_spg_int,'Mass Transfer'!spg_int)</f>
        <v>7.17</v>
      </c>
      <c r="E16" s="67"/>
      <c r="F16" s="22" t="inlineStr">
        <is>
          <t xml:space="preserve">Interval actually evaluated below, in decimal minutes. Default converts the commanded pulse to the ideal delivery duty and rounds down to 0.01 min; overrides and Manual mode are evaluated directly.</t>
        </is>
      </c>
    </row>
    <row r="17" spans="1:6" s="4" customFormat="1" x14ac:dyDescent="0.2">
      <c r="A17" s="64"/>
      <c r="B17" s="21"/>
      <c r="C17" s="21"/>
      <c r="D17" s="68"/>
      <c r="E17" s="67"/>
      <c r="F17" s="22"/>
    </row>
    <row r="18" spans="1:6" x14ac:dyDescent="0.2">
      <c r="A18" s="17" t="s">
        <v>62</v>
      </c>
      <c r="B18" s="17"/>
      <c r="C18" s="17"/>
      <c r="D18" s="17" t="s">
        <v>23</v>
      </c>
      <c r="E18" s="17" t="s">
        <v>24</v>
      </c>
      <c r="F18" s="17" t="s">
        <v>25</v>
      </c>
    </row>
    <row r="19" spans="1:6" x14ac:dyDescent="0.2">
      <c r="A19" s="64" t="s">
        <v>63</v>
      </c>
      <c r="B19" s="19" t="s">
        <v>1717</v>
      </c>
      <c r="C19" s="21"/>
      <c r="D19" s="69" t="str">
        <f>Geometry!$D$90</f>
        <v>VIAL GEOMETRY INCONSISTENT - measure true fill volume &amp; bore depth</v>
      </c>
      <c r="E19" s="24" t="str">
        <f>HYPERLINK("#Geometry!D90","→ Geometry")</f>
        <v>→ Geometry</v>
      </c>
      <c r="F19" s="22" t="s">
        <v>1718</v>
      </c>
    </row>
    <row r="20" spans="1:6" x14ac:dyDescent="0.2">
      <c r="A20" s="64" t="s">
        <v>64</v>
      </c>
      <c r="B20" s="19" t="s">
        <v>1719</v>
      </c>
      <c r="C20" s="21"/>
      <c r="D20" s="65" t="str">
        <f>'Mass Transfer'!$D$120</f>
        <v>calibrated: ed04 (flow from CO2 flows)</v>
      </c>
      <c r="E20" s="24" t="str">
        <f>HYPERLINK("#'Mass Transfer'!D120","→ Mass")</f>
        <v>→ Mass</v>
      </c>
      <c r="F20" s="22" t="s">
        <v>1720</v>
      </c>
    </row>
    <row r="21" spans="1:6" x14ac:dyDescent="0.2">
      <c r="A21" s="64" t="s">
        <v>1721</v>
      </c>
      <c r="B21" s="19" t="s">
        <v>1722</v>
      </c>
      <c r="C21" s="21"/>
      <c r="D21" s="65" t="str">
        <f>'Mass Transfer'!$D$374</f>
        <v>organism band unknown – peak 2.4 mg/L is under the inhibition ceiling</v>
      </c>
      <c r="E21" s="24" t="str">
        <f>HYPERLINK("#'Mass Transfer'!D374","→ Mass Transfer")</f>
        <v>→ Mass Transfer</v>
      </c>
      <c r="F21" s="22" t="s">
        <v>1723</v>
      </c>
    </row>
    <row r="22" spans="1:6" x14ac:dyDescent="0.2">
      <c r="A22" s="64" t="s">
        <v>65</v>
      </c>
      <c r="B22" s="19" t="s">
        <v>1724</v>
      </c>
      <c r="C22" s="21"/>
      <c r="D22" s="65" t="str">
        <f>'Mass Transfer'!$D$110</f>
        <v>minimum DO unknown - measure</v>
      </c>
      <c r="E22" s="24" t="str">
        <f>HYPERLINK("#'Mass Transfer'!D110","→ Mass")</f>
        <v>→ Mass</v>
      </c>
      <c r="F22" s="22" t="s">
        <v>66</v>
      </c>
    </row>
    <row r="23" spans="1:6" x14ac:dyDescent="0.2">
      <c r="A23" s="64" t="s">
        <v>1725</v>
      </c>
      <c r="B23" s="19" t="s">
        <v>1726</v>
      </c>
      <c r="C23" s="21"/>
      <c r="D23" s="65" t="str">
        <f>'Mass Transfer'!$D$113</f>
        <v>Do NOT relax: at the carbon-limited interval (185 min) the cycle-mean DO would be ≈14 mg/L, above the 10.1 mg/L inhibition ceiling (peaks higher)</v>
      </c>
      <c r="E23" s="24" t="str">
        <f>HYPERLINK("#'Mass Transfer'!D113","→ Mass")</f>
        <v>→ Mass</v>
      </c>
      <c r="F23" s="22" t="s">
        <v>1727</v>
      </c>
    </row>
    <row r="24" spans="1:6" x14ac:dyDescent="0.2">
      <c r="A24" s="64" t="s">
        <v>1728</v>
      </c>
      <c r="B24" s="19" t="s">
        <v>1729</v>
      </c>
      <c r="C24" s="21"/>
      <c r="D24" s="70" t="str">
        <f>Biology!$D$44</f>
        <v>FLAMMABLE HEADSPACE (lag): H₂ 9% mean, 15% before each pulse; O₂ 5% mean, 8% before each pulse – until uptake starts, sparge every ≤2.3 min or sweep ≥1.0 mL/min N₂; vent to a hood; no ignition sources</v>
      </c>
      <c r="E24" s="24" t="str">
        <f>HYPERLINK("#Biology!D44","→ Biology")</f>
        <v>→ Biology</v>
      </c>
      <c r="F24" s="22" t="s">
        <v>1730</v>
      </c>
    </row>
    <row r="25" spans="1:6" x14ac:dyDescent="0.2">
      <c r="A25" s="64" t="s">
        <v>67</v>
      </c>
      <c r="B25" s="19" t="s">
        <v>1731</v>
      </c>
      <c r="C25" s="21"/>
      <c r="D25" s="65" t="str">
        <f>'Mass Transfer'!$D$64</f>
        <v>Dynamic</v>
      </c>
      <c r="E25" s="24" t="str">
        <f>HYPERLINK("#'Mass Transfer'!D64","→ Mass")</f>
        <v>→ Mass</v>
      </c>
      <c r="F25" s="22" t="s">
        <v>68</v>
      </c>
    </row>
    <row r="26" spans="1:6" x14ac:dyDescent="0.2">
      <c r="A26" s="64" t="s">
        <v>69</v>
      </c>
      <c r="B26" s="19" t="s">
        <v>1732</v>
      </c>
      <c r="C26" s="21"/>
      <c r="D26" s="65" t="str">
        <f>IFERROR("×"&amp;TEXT('Mass Transfer'!$D$126,"0.0")&amp;IF('Mass Transfer'!$D$126&gt;=1," OK"," SHORTFALL (CO2 &lt; demand)")&amp;" delivered; ×"&amp;TEXT('Mass Transfer'!$D$417,"0.0")&amp;" absorbed per pulse (row 135)","calibrate this reactor first")</f>
        <v>×50.0 OK delivered; ×2.5 absorbed per pulse (row 135)</v>
      </c>
      <c r="E26" s="24" t="str">
        <f>HYPERLINK("#'Mass Transfer'!D126","→ Mass")</f>
        <v>→ Mass</v>
      </c>
      <c r="F26" s="22" t="s">
        <v>1733</v>
      </c>
    </row>
    <row r="27" spans="1:6" x14ac:dyDescent="0.2">
      <c r="A27" s="64" t="s">
        <v>70</v>
      </c>
      <c r="B27" s="19" t="s">
        <v>1734</v>
      </c>
      <c r="C27" s="21"/>
      <c r="D27" s="65" t="str">
        <f>IFERROR('Mass Transfer'!$D$130,"calibrate this reactor first (CO₂ flow section of the Calibrations tab, or a CO2 flows row)")</f>
        <v>OK</v>
      </c>
      <c r="E27" s="24" t="str">
        <f>HYPERLINK("#'Mass Transfer'!D130","→ Mass")</f>
        <v>→ Mass</v>
      </c>
      <c r="F27" s="22" t="s">
        <v>1735</v>
      </c>
    </row>
    <row r="28" spans="1:6" x14ac:dyDescent="0.2">
      <c r="A28" s="64" t="s">
        <v>71</v>
      </c>
      <c r="B28" s="19" t="s">
        <v>1736</v>
      </c>
      <c r="C28" s="21"/>
      <c r="D28" s="65" t="str">
        <f>IFERROR('Mass Transfer'!$D$95,"calibrate this reactor first (CO₂ flow section of the Calibrations tab, or a CO2 flows row)")</f>
        <v>OK</v>
      </c>
      <c r="E28" s="24" t="str">
        <f>HYPERLINK("#'Mass Transfer'!D95","→ Mass")</f>
        <v>→ Mass</v>
      </c>
      <c r="F28" s="22" t="s">
        <v>72</v>
      </c>
    </row>
    <row r="29" spans="1:6" x14ac:dyDescent="0.2">
      <c r="A29" s="64" t="s">
        <v>73</v>
      </c>
      <c r="B29" s="19" t="s">
        <v>1737</v>
      </c>
      <c r="C29" s="21"/>
      <c r="D29" s="65" t="str">
        <f>'Mass Transfer'!$D$59</f>
        <v>not measured – record the max flow without carryover for ed04 in CO2 flows column M</v>
      </c>
      <c r="E29" s="24" t="str">
        <f>HYPERLINK("#'Mass Transfer'!D59","→ Mass")</f>
        <v>→ Mass</v>
      </c>
      <c r="F29" s="22" t="s">
        <v>1738</v>
      </c>
    </row>
    <row r="30" spans="1:6" x14ac:dyDescent="0.2">
      <c r="A30" s="64" t="s">
        <v>74</v>
      </c>
      <c r="B30" s="19" t="s">
        <v>1739</v>
      </c>
      <c r="C30" s="21"/>
      <c r="D30" s="65" t="str">
        <f>'Mass Transfer'!$D$111</f>
        <v>OK</v>
      </c>
      <c r="E30" s="24" t="str">
        <f>HYPERLINK("#'Mass Transfer'!D111","→ Mass")</f>
        <v>→ Mass</v>
      </c>
      <c r="F30" s="22" t="s">
        <v>75</v>
      </c>
    </row>
    <row r="31" spans="1:6" x14ac:dyDescent="0.2">
      <c r="A31" s="64" t="s">
        <v>76</v>
      </c>
      <c r="B31" s="19" t="s">
        <v>1740</v>
      </c>
      <c r="C31" s="21"/>
      <c r="D31" s="69" t="str">
        <f>Geometry!$D$54</f>
        <v>OK</v>
      </c>
      <c r="E31" s="24" t="str">
        <f>HYPERLINK("#Geometry!D54","→ Geometry")</f>
        <v>→ Geometry</v>
      </c>
      <c r="F31" s="22" t="s">
        <v>77</v>
      </c>
    </row>
    <row r="32" spans="1:6" x14ac:dyDescent="0.2">
      <c r="A32" s="64" t="s">
        <v>78</v>
      </c>
      <c r="B32" s="19" t="s">
        <v>1741</v>
      </c>
      <c r="C32" s="21"/>
      <c r="D32" s="69" t="str">
        <f>Geometry!$D$55</f>
        <v>OK</v>
      </c>
      <c r="E32" s="24" t="str">
        <f>HYPERLINK("#Geometry!D55","→ Geometry")</f>
        <v>→ Geometry</v>
      </c>
      <c r="F32" s="22" t="s">
        <v>79</v>
      </c>
    </row>
    <row r="33" spans="1:6" ht="16" thickBot="1" x14ac:dyDescent="0.25">
      <c r="A33" s="64" t="s">
        <v>80</v>
      </c>
      <c r="B33" s="19" t="s">
        <v>1742</v>
      </c>
      <c r="C33" s="21"/>
      <c r="D33" s="71" t="str">
        <f>Electrochemistry!$D$20</f>
        <v>OK</v>
      </c>
      <c r="E33" s="24" t="str">
        <f>HYPERLINK("#Electrochemistry!D20","→ Electrochemistry")</f>
        <v>→ Electrochemistry</v>
      </c>
      <c r="F33" s="22" t="s">
        <v>81</v>
      </c>
    </row>
    <row r="34" spans="1:6" ht="16" thickBot="1" x14ac:dyDescent="0.25">
      <c r="A34" s="64" t="s">
        <v>897</v>
      </c>
      <c r="B34" s="19" t="s">
        <v>1743</v>
      </c>
      <c r="C34" s="21"/>
      <c r="D34" s="69" t="str">
        <f>IF(AND(ISNUMBER(Biology!$D$45),ISNUMBER(Biology!$D$46),ISNUMBER(Biology!$D$47),ISNUMBER(Biology!$D$48)),"inputs present","DATA GAP - organism DO thresholds unmeasured; results unreliable")</f>
        <v>DATA GAP - organism DO thresholds unmeasured; results unreliable</v>
      </c>
      <c r="E34" s="24" t="str">
        <f>HYPERLINK("#Biology!D45","→ Biology")</f>
        <v>→ Biology</v>
      </c>
      <c r="F34" s="22" t="s">
        <v>898</v>
      </c>
    </row>
    <row r="35" spans="1:6" ht="16" thickBot="1" x14ac:dyDescent="0.25">
      <c r="A35" s="64" t="s">
        <v>1744</v>
      </c>
      <c r="B35" s="19" t="s">
        <v>1745</v>
      </c>
      <c r="C35" s="21"/>
      <c r="D35" s="92">
        <f>Chemistry!$D$220</f>
        <v>6.487611781829</v>
      </c>
      <c r="E35" s="24" t="str">
        <f>HYPERLINK("#Chemistry!D220","→ Chemistry")</f>
        <v>→ Chemistry</v>
      </c>
      <c r="F35" s="22" t="s">
        <v>1746</v>
      </c>
    </row>
    <row r="36" spans="1:6" ht="16" thickBot="1" x14ac:dyDescent="0.25">
      <c r="A36" s="64" t="s">
        <v>1029</v>
      </c>
      <c r="B36" s="19" t="s">
        <v>1747</v>
      </c>
      <c r="C36" s="21" t="s">
        <v>83</v>
      </c>
      <c r="D36" s="92">
        <f>Chemistry!$D$226</f>
        <v>0.0</v>
      </c>
      <c r="E36" s="24" t="str">
        <f>HYPERLINK("#Chemistry!D226","→ Chemistry")</f>
        <v>→ Chemistry</v>
      </c>
      <c r="F36"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7" spans="1:6" ht="16" thickBot="1" x14ac:dyDescent="0.25">
      <c r="A37" s="77" t="s">
        <v>82</v>
      </c>
      <c r="B37" s="21"/>
      <c r="C37" s="21"/>
      <c r="D37" s="21"/>
      <c r="E37" s="21"/>
      <c r="F37" s="22"/>
    </row>
    <row r="38" spans="1:6" x14ac:dyDescent="0.2">
      <c r="A38" s="64" t="s">
        <v>1749</v>
      </c>
      <c r="B38" s="19" t="s">
        <v>1750</v>
      </c>
      <c r="C38" s="21" t="s">
        <v>83</v>
      </c>
      <c r="D38" s="65">
        <f>'Mass Transfer'!$D$108</f>
        <v>2.270165488391</v>
      </c>
      <c r="E38" s="24" t="str">
        <f>HYPERLINK("#'Mass Transfer'!D108","→ Mass")</f>
        <v>→ Mass</v>
      </c>
      <c r="F38" s="22" t="s">
        <v>1751</v>
      </c>
    </row>
    <row r="39" spans="1:6" x14ac:dyDescent="0.2">
      <c r="A39" s="64" t="s">
        <v>1752</v>
      </c>
      <c r="B39" s="19" t="s">
        <v>1753</v>
      </c>
      <c r="C39" s="21" t="s">
        <v>61</v>
      </c>
      <c r="D39" s="65">
        <f>'Mass Transfer'!$D$112</f>
        <v>184.723136314261</v>
      </c>
      <c r="E39" s="24" t="str">
        <f>HYPERLINK("#'Mass Transfer'!D112","→ Mass")</f>
        <v>→ Mass</v>
      </c>
      <c r="F39" s="22" t="s">
        <v>1754</v>
      </c>
    </row>
    <row r="40" spans="1:6" x14ac:dyDescent="0.2">
      <c r="A40" s="64" t="s">
        <v>84</v>
      </c>
      <c r="B40" s="19" t="s">
        <v>1755</v>
      </c>
      <c r="C40" s="21" t="s">
        <v>85</v>
      </c>
      <c r="D40" s="65">
        <f>'Mass Transfer'!$D$68</f>
        <v>0.628318530718</v>
      </c>
      <c r="E40" s="24" t="str">
        <f>HYPERLINK("#'Mass Transfer'!D68","→ Mass")</f>
        <v>→ Mass</v>
      </c>
      <c r="F40" s="22" t="s">
        <v>86</v>
      </c>
    </row>
    <row r="41" spans="1:6" x14ac:dyDescent="0.2">
      <c r="A41" s="64" t="s">
        <v>1756</v>
      </c>
      <c r="B41" s="19" t="s">
        <v>1757</v>
      </c>
      <c r="C41" s="21" t="s">
        <v>87</v>
      </c>
      <c r="D41" s="70">
        <f>Biology!$D$98</f>
        <v>508.83519620388</v>
      </c>
      <c r="E41" s="24" t="str">
        <f>HYPERLINK("#Biology!D98","→ Biology")</f>
        <v>→ Biology</v>
      </c>
      <c r="F41" s="22" t="s">
        <v>1758</v>
      </c>
    </row>
    <row r="42" spans="1:6" x14ac:dyDescent="0.2">
      <c r="A42" s="77" t="s">
        <v>1144</v>
      </c>
    </row>
    <row r="43" spans="1:6" x14ac:dyDescent="0.2">
      <c r="A43" s="64" t="s">
        <v>1145</v>
      </c>
      <c r="B43" s="19" t="s">
        <v>1759</v>
      </c>
      <c r="C43" s="21" t="s">
        <v>278</v>
      </c>
      <c r="D43" s="65">
        <f>Electrochemistry!$D$19*1000</f>
        <v>5.69</v>
      </c>
      <c r="E43" s="24" t="str">
        <f>HYPERLINK("#Electrochemistry!D19","→ Electrochemistry")</f>
        <v>→ Electrochemistry</v>
      </c>
      <c r="F43" s="22" t="s">
        <v>1146</v>
      </c>
    </row>
    <row r="44" spans="1:6" x14ac:dyDescent="0.2">
      <c r="A44" s="64" t="s">
        <v>1147</v>
      </c>
      <c r="B44" s="19" t="s">
        <v>1760</v>
      </c>
      <c r="C44" s="21" t="s">
        <v>1148</v>
      </c>
      <c r="D44" s="65">
        <f>Electrochemistry!$D$48</f>
        <v>3.287810437489</v>
      </c>
      <c r="E44" s="24" t="str">
        <f>HYPERLINK("#Electrochemistry!D48","→ Electrochemistry")</f>
        <v>→ Electrochemistry</v>
      </c>
      <c r="F44" s="22" t="s">
        <v>1149</v>
      </c>
    </row>
    <row r="45" spans="1:6" x14ac:dyDescent="0.2">
      <c r="A45" s="64" t="s">
        <v>1150</v>
      </c>
      <c r="B45" s="19" t="s">
        <v>1761</v>
      </c>
      <c r="D45" s="65" t="str">
        <f>Electrochemistry!$D$62</f>
        <v>watch - above optimum current density</v>
      </c>
      <c r="E45" s="24" t="str">
        <f>HYPERLINK("#Electrochemistry!D62","→ Electrochemistry")</f>
        <v>→ Electrochemistry</v>
      </c>
      <c r="F45" s="22" t="s">
        <v>1151</v>
      </c>
    </row>
    <row r="46" spans="1:6" x14ac:dyDescent="0.2">
      <c r="A46" s="64" t="s">
        <v>1152</v>
      </c>
      <c r="B46" s="19" t="s">
        <v>1762</v>
      </c>
      <c r="C46" s="21" t="s">
        <v>40</v>
      </c>
      <c r="D46" s="65">
        <f>Electrochemistry!$D$73</f>
        <v>10.0</v>
      </c>
      <c r="E46" s="24" t="str">
        <f>HYPERLINK("#Electrochemistry!D73","→ Electrochemistry")</f>
        <v>→ Electrochemistry</v>
      </c>
      <c r="F46" s="22" t="s">
        <v>1153</v>
      </c>
    </row>
    <row r="47" spans="1:6" x14ac:dyDescent="0.2">
      <c r="A47" s="64" t="s">
        <v>1154</v>
      </c>
      <c r="B47" s="19" t="s">
        <v>1763</v>
      </c>
      <c r="C47" s="21" t="s">
        <v>278</v>
      </c>
      <c r="D47" s="65">
        <f>Electrochemistry!$D$74</f>
        <v>12.9</v>
      </c>
      <c r="E47" s="24" t="str">
        <f>HYPERLINK("#Electrochemistry!D74","→ Electrochemistry")</f>
        <v>→ Electrochemistry</v>
      </c>
      <c r="F47" s="22" t="s">
        <v>1155</v>
      </c>
    </row>
    <row r="48" spans="1:6" x14ac:dyDescent="0.2">
      <c r="A48" s="64" t="s">
        <v>1156</v>
      </c>
      <c r="B48" s="19" t="s">
        <v>1764</v>
      </c>
      <c r="C48" s="21" t="s">
        <v>1148</v>
      </c>
      <c r="D48" s="65">
        <f>Electrochemistry!$D$75</f>
        <v>7.453911185169</v>
      </c>
      <c r="E48" s="24" t="str">
        <f>HYPERLINK("#Electrochemistry!D75","→ Electrochemistry")</f>
        <v>→ Electrochemistry</v>
      </c>
      <c r="F48" s="22" t="s">
        <v>1157</v>
      </c>
    </row>
    <row r="49" spans="1:6" x14ac:dyDescent="0.2">
      <c r="A49" s="64" t="s">
        <v>1158</v>
      </c>
      <c r="B49" s="19" t="s">
        <v>1765</v>
      </c>
      <c r="D49" s="65" t="str">
        <f>Electrochemistry!$D$76</f>
        <v>EXCEED - max current over a limit</v>
      </c>
      <c r="E49" s="24" t="str">
        <f>HYPERLINK("#Electrochemistry!D76","→ Electrochemistry")</f>
        <v>→ Electrochemistry</v>
      </c>
      <c r="F49" s="22" t="s">
        <v>1159</v>
      </c>
    </row>
    <row r="50" spans="1:6" x14ac:dyDescent="0.2">
      <c r="A50" s="21"/>
      <c r="B50" s="21"/>
      <c r="C50" s="21"/>
      <c r="D50" s="21"/>
      <c r="E50" s="21"/>
      <c r="F50" s="21"/>
    </row>
    <row r="51" spans="1:6" x14ac:dyDescent="0.2">
      <c r="A51" s="17" t="s">
        <v>88</v>
      </c>
      <c r="B51" s="17"/>
      <c r="C51" s="17"/>
      <c r="D51" s="17"/>
      <c r="E51" s="17"/>
      <c r="F51" s="17"/>
    </row>
    <row r="52" spans="1:6" x14ac:dyDescent="0.2">
      <c r="A52" s="102" t="s">
        <v>89</v>
      </c>
      <c r="B52" s="21"/>
      <c r="C52" s="21"/>
      <c r="D52" s="25"/>
      <c r="E52" s="21"/>
      <c r="F52" s="21"/>
    </row>
    <row r="53" spans="1:6" x14ac:dyDescent="0.2">
      <c r="A53" s="26" t="s">
        <v>90</v>
      </c>
      <c r="B53" s="21"/>
      <c r="C53" s="21"/>
      <c r="D53" s="25"/>
      <c r="E53" s="21"/>
      <c r="F53" s="21"/>
    </row>
    <row r="54" spans="1:6" x14ac:dyDescent="0.2">
      <c r="A54" s="73" t="s">
        <v>91</v>
      </c>
      <c r="B54" s="21"/>
      <c r="C54" s="21"/>
      <c r="D54" s="25"/>
      <c r="E54" s="21"/>
      <c r="F54" s="21"/>
    </row>
    <row r="55" spans="1:6" x14ac:dyDescent="0.2">
      <c r="A55" s="27" t="s">
        <v>92</v>
      </c>
      <c r="B55" s="21"/>
      <c r="C55" s="21"/>
      <c r="D55" s="25"/>
      <c r="E55" s="21"/>
      <c r="F55" s="21"/>
    </row>
    <row r="56" spans="1:6" x14ac:dyDescent="0.2">
      <c r="A56" s="28" t="s">
        <v>93</v>
      </c>
      <c r="B56" s="21"/>
      <c r="C56" s="21"/>
      <c r="D56" s="25"/>
      <c r="E56" s="67"/>
      <c r="F56" s="21"/>
    </row>
    <row r="57" spans="1:6" x14ac:dyDescent="0.2">
      <c r="A57" s="29" t="s">
        <v>94</v>
      </c>
      <c r="B57" s="21"/>
      <c r="C57" s="21"/>
      <c r="D57" s="25"/>
      <c r="E57" s="67"/>
      <c r="F57" s="21"/>
    </row>
    <row r="58" spans="1:6" x14ac:dyDescent="0.2">
      <c r="A58" s="63" t="s">
        <v>95</v>
      </c>
      <c r="B58" s="21"/>
      <c r="C58" s="21"/>
      <c r="D58" s="25"/>
      <c r="E58" s="67"/>
      <c r="F58" s="21"/>
    </row>
    <row r="59" spans="1:6" x14ac:dyDescent="0.2">
      <c r="A59" s="30" t="s">
        <v>96</v>
      </c>
      <c r="B59" s="21"/>
      <c r="C59" s="21"/>
      <c r="D59" s="21"/>
      <c r="E59" s="21"/>
      <c r="F59" s="21"/>
    </row>
    <row r="60" spans="1:6" x14ac:dyDescent="0.2">
      <c r="A60" s="31" t="s">
        <v>97</v>
      </c>
      <c r="B60" s="21"/>
      <c r="C60" s="21"/>
      <c r="D60" s="21"/>
      <c r="E60" s="21"/>
      <c r="F60" s="21"/>
    </row>
    <row r="61" spans="1:6" s="21" customFormat="1" x14ac:dyDescent="0.2">
      <c r="A61" s="60" t="s">
        <v>98</v>
      </c>
    </row>
    <row r="62" spans="1:6" s="21" customFormat="1" x14ac:dyDescent="0.2">
      <c r="A62" s="61" t="s">
        <v>99</v>
      </c>
    </row>
    <row r="63" spans="1:6" x14ac:dyDescent="0.2">
      <c r="A63" s="103" t="s">
        <v>100</v>
      </c>
      <c r="B63" s="21"/>
      <c r="C63" s="21"/>
      <c r="D63" s="21"/>
      <c r="E63" s="21"/>
      <c r="F63" s="21"/>
    </row>
    <row r="64" spans="1:6" x14ac:dyDescent="0.2">
      <c r="A64" s="21"/>
      <c r="B64" s="21"/>
      <c r="C64" s="21"/>
      <c r="D64" s="25"/>
      <c r="E64" s="67"/>
      <c r="F64" s="21"/>
    </row>
    <row r="65" spans="1:6" x14ac:dyDescent="0.2">
      <c r="A65" s="32" t="s">
        <v>101</v>
      </c>
      <c r="B65" s="32" t="s">
        <v>102</v>
      </c>
      <c r="C65" s="32" t="s">
        <v>103</v>
      </c>
      <c r="D65" s="32" t="s">
        <v>104</v>
      </c>
      <c r="E65" s="32"/>
      <c r="F65" s="32" t="s">
        <v>105</v>
      </c>
    </row>
    <row r="66" spans="1:6" x14ac:dyDescent="0.2">
      <c r="A66" s="21" t="s">
        <v>921</v>
      </c>
      <c r="B66" s="21" t="s">
        <v>922</v>
      </c>
      <c r="C66" s="21" t="s">
        <v>923</v>
      </c>
      <c r="D66" s="33" t="str">
        <f>HYPERLINK("https://github.com/amy-bo/electroPioreactor/blob/AEP02/Media/protocols/surface-kla.md","surface-kla.md →")</f>
        <v>surface-kla.md →</v>
      </c>
      <c r="E66" s="77"/>
      <c r="F66" s="22" t="s">
        <v>1766</v>
      </c>
    </row>
    <row r="67" spans="1:6" x14ac:dyDescent="0.2">
      <c r="A67" s="21" t="s">
        <v>924</v>
      </c>
      <c r="B67" s="21" t="s">
        <v>925</v>
      </c>
      <c r="C67" s="21" t="s">
        <v>926</v>
      </c>
      <c r="D67" s="33" t="str">
        <f>HYPERLINK("https://github.com/amy-bo/electroPioreactor/blob/AEP02/Media/protocols/vial-geometry.md","vial-geometry.md →")</f>
        <v>vial-geometry.md →</v>
      </c>
      <c r="E67" s="77"/>
      <c r="F67" s="22" t="s">
        <v>1767</v>
      </c>
    </row>
    <row r="68" spans="1:6" x14ac:dyDescent="0.2">
      <c r="A68" s="21" t="s">
        <v>927</v>
      </c>
      <c r="B68" s="21" t="s">
        <v>928</v>
      </c>
      <c r="C68" s="21" t="s">
        <v>929</v>
      </c>
      <c r="D68" s="33" t="str">
        <f>HYPERLINK("https://github.com/amy-bo/electroPioreactor/blob/AEP02/Media/protocols/faradaic-efficiency.md","faradaic-efficiency.md →")</f>
        <v>faradaic-efficiency.md →</v>
      </c>
      <c r="E68" s="77"/>
      <c r="F68" s="22" t="s">
        <v>1768</v>
      </c>
    </row>
    <row r="69" spans="1:6" x14ac:dyDescent="0.2">
      <c r="A69" s="21" t="s">
        <v>930</v>
      </c>
      <c r="B69" s="21" t="s">
        <v>931</v>
      </c>
      <c r="C69" s="21" t="s">
        <v>932</v>
      </c>
      <c r="D69" s="33" t="str">
        <f>HYPERLINK("https://github.com/amy-bo/electroPioreactor/blob/AEP02/Media/protocols/knallgas-stoichiometry.md","knallgas-stoichiometry.md →")</f>
        <v>knallgas-stoichiometry.md →</v>
      </c>
      <c r="E69" s="77"/>
      <c r="F69" s="154" t="str">
        <f>IFERROR("Sets the O₂ surplus and the carbon demand: each 1 % on the O₂:H₂ uptake ratio moves the surplus "&amp;TEXT(Biology!$D$14/Biology!$D$16,"0.0")&amp;" % (Biology E16); needs a growing culture.","Sets the O₂ surplus and the carbon demand; needs a growing culture.")</f>
        <v>Sets the O₂ surplus and the carbon demand: each 1 % on the O₂:H₂ uptake ratio moves the surplus 2.0 % (Biology E16); needs a growing culture.</v>
      </c>
    </row>
    <row r="70" spans="1:6" x14ac:dyDescent="0.2">
      <c r="A70" s="21" t="s">
        <v>933</v>
      </c>
      <c r="B70" s="21" t="s">
        <v>934</v>
      </c>
      <c r="C70" s="21" t="s">
        <v>935</v>
      </c>
      <c r="D70" s="33" t="str">
        <f>HYPERLINK("https://github.com/amy-bo/electroPioreactor/blob/AEP02/Media/protocols/faradaic-efficiency.md","faradaic-efficiency.md →")</f>
        <v>faradaic-efficiency.md →</v>
      </c>
      <c r="E70" s="77"/>
      <c r="F70" s="22" t="s">
        <v>1689</v>
      </c>
    </row>
    <row r="71" spans="1:6" x14ac:dyDescent="0.2">
      <c r="A71" s="21" t="s">
        <v>936</v>
      </c>
      <c r="B71" s="21" t="s">
        <v>937</v>
      </c>
      <c r="C71" s="21" t="s">
        <v>938</v>
      </c>
      <c r="D71" s="33" t="str">
        <f>HYPERLINK("https://github.com/amy-bo/electroPioreactor/blob/AEP02/Media/protocols/vial-geometry.md","vial-geometry.md →")</f>
        <v>vial-geometry.md →</v>
      </c>
      <c r="E71" s="77"/>
      <c r="F71" s="22" t="s">
        <v>939</v>
      </c>
    </row>
    <row r="72" spans="1:6" x14ac:dyDescent="0.2">
      <c r="A72" s="21" t="s">
        <v>940</v>
      </c>
      <c r="B72" s="21" t="s">
        <v>941</v>
      </c>
      <c r="C72" s="21" t="s">
        <v>942</v>
      </c>
      <c r="D72" s="33" t="str">
        <f>HYPERLINK("https://github.com/amy-bo/electroPioreactor/blob/AEP02/Media/protocols/flow-calibration.md","flow-calibration.md →")</f>
        <v>flow-calibration.md →</v>
      </c>
      <c r="E72" s="77"/>
      <c r="F72" s="154" t="str">
        <f>"Sets the solenoid floor (pulse_floor, now "&amp;TEXT('Mass Transfer'!$D$99,"0.00")&amp;" s), which binds only when it exceeds the optimal pulse ("&amp;IF(ISNUMBER(D13),TEXT(D13,"0.00")&amp;" s","not yet computed")&amp;"): "&amp;IF(AND(ISNUMBER(D13),'Mass Transfer'!$D$99&gt;=D13),"it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73" spans="1:6" x14ac:dyDescent="0.2">
      <c r="A73" s="21" t="s">
        <v>943</v>
      </c>
      <c r="B73" s="21" t="s">
        <v>944</v>
      </c>
      <c r="C73" s="21" t="s">
        <v>945</v>
      </c>
      <c r="D73" s="33" t="str">
        <f>HYPERLINK("https://github.com/amy-bo/electroPioreactor/blob/AEP02/Media/protocols/dissolved-oxygen.md","dissolved-oxygen.md →")</f>
        <v>dissolved-oxygen.md →</v>
      </c>
      <c r="E73" s="77"/>
      <c r="F73" s="22" t="s">
        <v>946</v>
      </c>
    </row>
    <row r="74" spans="1:6" x14ac:dyDescent="0.2">
      <c r="A74" s="21" t="s">
        <v>947</v>
      </c>
      <c r="B74" s="21" t="s">
        <v>948</v>
      </c>
      <c r="C74" s="21" t="s">
        <v>949</v>
      </c>
      <c r="D74" s="33" t="str">
        <f>HYPERLINK("https://github.com/amy-bo/electroPioreactor/blob/AEP02/Media/protocols/flow-calibration.md","flow-calibration.md →")</f>
        <v>flow-calibration.md →</v>
      </c>
      <c r="E74" s="77"/>
      <c r="F74" s="22" t="s">
        <v>950</v>
      </c>
    </row>
    <row r="75" spans="1:6" x14ac:dyDescent="0.2">
      <c r="A75" s="21" t="s">
        <v>951</v>
      </c>
      <c r="B75" s="21" t="s">
        <v>952</v>
      </c>
      <c r="C75" s="21" t="s">
        <v>953</v>
      </c>
      <c r="D75" s="33" t="str">
        <f>HYPERLINK("https://github.com/amy-bo/electroPioreactor/blob/AEP02/Media/protocols/sinter-porosity.md","sinter-porosity.md →")</f>
        <v>sinter-porosity.md →</v>
      </c>
      <c r="E75" s="77"/>
      <c r="F75" s="22" t="s">
        <v>954</v>
      </c>
    </row>
    <row r="76" spans="1:6" x14ac:dyDescent="0.2">
      <c r="A76" s="21" t="s">
        <v>955</v>
      </c>
      <c r="B76" s="21" t="s">
        <v>956</v>
      </c>
      <c r="C76" s="21" t="s">
        <v>957</v>
      </c>
      <c r="D76" s="33" t="str">
        <f>HYPERLINK("https://github.com/amy-bo/electroPioreactor/blob/AEP02/Media/protocols/README.md","README.md →")</f>
        <v>README.md →</v>
      </c>
      <c r="E76" s="77"/>
      <c r="F76" s="22" t="s">
        <v>1769</v>
      </c>
    </row>
    <row r="77" spans="1:6" x14ac:dyDescent="0.2">
      <c r="A77" t="s">
        <v>1690</v>
      </c>
      <c r="B77" t="s">
        <v>928</v>
      </c>
      <c r="C77" t="s">
        <v>957</v>
      </c>
      <c r="D77" s="24" t="str">
        <f>HYPERLINK("https://github.com/amy-bo/electroPioreactor/blob/AEP02/Media/protocols/electrode-mass-transfer.md","electrode-mass-transfer.md →")</f>
        <v>electrode-mass-transfer.md →</v>
      </c>
      <c r="E77" s="21"/>
      <c r="F77" t="s">
        <v>1691</v>
      </c>
    </row>
    <row r="78" spans="1:6" x14ac:dyDescent="0.2">
      <c r="A78" t="s">
        <v>1692</v>
      </c>
      <c r="B78" t="s">
        <v>948</v>
      </c>
      <c r="C78" t="s">
        <v>957</v>
      </c>
      <c r="D78" s="24" t="str">
        <f>HYPERLINK("https://github.com/amy-bo/electroPioreactor/blob/AEP02/Media/protocols/vial-geometry.md","vial-geometry.md →")</f>
        <v>vial-geometry.md →</v>
      </c>
      <c r="E78" s="21"/>
      <c r="F78" t="s">
        <v>1693</v>
      </c>
    </row>
    <row r="79" spans="1:6" x14ac:dyDescent="0.2">
      <c r="A79" t="s">
        <v>1694</v>
      </c>
      <c r="B79" t="s">
        <v>928</v>
      </c>
      <c r="C79" t="s">
        <v>957</v>
      </c>
      <c r="D79" s="24" t="str">
        <f>HYPERLINK("https://github.com/amy-bo/electroPioreactor/blob/AEP02/Media/protocols/gerrit-current.md","gerrit-current.md →")</f>
        <v>gerrit-current.md →</v>
      </c>
      <c r="E79" s="21"/>
      <c r="F79" t="s">
        <v>1770</v>
      </c>
    </row>
    <row r="80" spans="1:6" x14ac:dyDescent="0.2">
      <c r="A80" t="s">
        <v>1695</v>
      </c>
      <c r="B80" t="s">
        <v>928</v>
      </c>
      <c r="C80" t="s">
        <v>935</v>
      </c>
      <c r="D80" s="24" t="str">
        <f>HYPERLINK("https://github.com/amy-bo/electroPioreactor/blob/AEP02/Media/protocols/README.md","README.md →")</f>
        <v>README.md →</v>
      </c>
      <c r="F80" t="s">
        <v>1771</v>
      </c>
    </row>
    <row r="81" spans="1:6" x14ac:dyDescent="0.2">
      <c r="A81" s="6" t="s">
        <v>1772</v>
      </c>
    </row>
    <row r="82" spans="1:6" x14ac:dyDescent="0.2">
      <c r="A82" t="s">
        <v>1490</v>
      </c>
      <c r="B82" s="19" t="s">
        <v>1773</v>
      </c>
      <c r="C82" s="20" t="s">
        <v>1140</v>
      </c>
      <c r="D82" s="23">
        <f>Electrochemistry!$D$88</f>
        <v>0.964044311944</v>
      </c>
      <c r="E82" s="24" t="str">
        <f>HYPERLINK("#Electrochemistry!D88","→ Electrochemistry")</f>
        <v>→ Electrochemistry</v>
      </c>
      <c r="F82" t="s">
        <v>1774</v>
      </c>
    </row>
    <row r="83" spans="1:6" x14ac:dyDescent="0.2">
      <c r="A83" t="s">
        <v>1572</v>
      </c>
      <c r="B83" s="19" t="s">
        <v>1775</v>
      </c>
      <c r="C83" s="20" t="s">
        <v>1445</v>
      </c>
      <c r="D83" s="23">
        <f>Electrochemistry!$D$119</f>
        <v>2.649439580207</v>
      </c>
      <c r="E83" s="24" t="str">
        <f>HYPERLINK("#Electrochemistry!D119","→ Electrochemistry")</f>
        <v>→ Electrochemistry</v>
      </c>
      <c r="F83" t="s">
        <v>1662</v>
      </c>
    </row>
    <row r="84" spans="1:6" x14ac:dyDescent="0.2">
      <c r="A84" t="s">
        <v>1581</v>
      </c>
      <c r="B84" s="19" t="s">
        <v>1776</v>
      </c>
      <c r="C84" s="20" t="s">
        <v>1140</v>
      </c>
      <c r="D84" s="23" t="str">
        <f>Electrochemistry!$D$122</f>
        <v>OK — 2.65 V estimated against a 5 V rail</v>
      </c>
      <c r="E84" s="24" t="str">
        <f>HYPERLINK("#Electrochemistry!D122","→ Electrochemistry")</f>
        <v>→ Electrochemistry</v>
      </c>
      <c r="F84" t="s">
        <v>1663</v>
      </c>
    </row>
    <row r="85" spans="1:6" x14ac:dyDescent="0.2">
      <c r="A85" t="s">
        <v>1517</v>
      </c>
      <c r="B85" s="19" t="s">
        <v>1777</v>
      </c>
      <c r="C85" s="20" t="s">
        <v>1140</v>
      </c>
      <c r="D85" s="23" t="str">
        <f>Electrochemistry!$D$99</f>
        <v>watch — steady growth is clear (0.048 mg/L) but LAG PHASE is not: peroxide passes the threshold in 6 min before biomass can scavenge it</v>
      </c>
      <c r="E85" s="24" t="str">
        <f>HYPERLINK("#Electrochemistry!D99","→ Electrochemistry")</f>
        <v>→ Electrochemistry</v>
      </c>
      <c r="F85" t="s">
        <v>1664</v>
      </c>
    </row>
    <row r="86" spans="1:6" x14ac:dyDescent="0.2">
      <c r="A86" t="s">
        <v>1665</v>
      </c>
      <c r="B86" s="19" t="s">
        <v>1778</v>
      </c>
      <c r="C86" s="20" t="s">
        <v>1140</v>
      </c>
      <c r="D86" s="23" t="str">
        <f>Chemistry!$D$219</f>
        <v>OK — buffer holds the electrode surfaces at the bulk pH</v>
      </c>
      <c r="E86" s="24" t="str">
        <f>HYPERLINK("#Chemistry!D219","→ Chemistry")</f>
        <v>→ Chemistry</v>
      </c>
      <c r="F86" t="s">
        <v>1666</v>
      </c>
    </row>
    <row r="87" spans="1:6" x14ac:dyDescent="0.2">
      <c r="A87" t="s">
        <v>1779</v>
      </c>
      <c r="B87" s="19" t="s">
        <v>1780</v>
      </c>
      <c r="C87" s="20" t="s">
        <v>1445</v>
      </c>
      <c r="D87" s="23" t="e">
        <f>Chemistry!$D$209</f>
        <v>#N/A</v>
      </c>
      <c r="E87" s="24" t="str">
        <f>HYPERLINK("#Chemistry!D209","→ Chemistry")</f>
        <v>→ Chemistry</v>
      </c>
      <c r="F87" t="s">
        <v>1781</v>
      </c>
    </row>
    <row r="88" spans="1:6" x14ac:dyDescent="0.2">
      <c r="A88" t="s">
        <v>1449</v>
      </c>
      <c r="B88" s="19" t="s">
        <v>1782</v>
      </c>
      <c r="C88" s="20" t="s">
        <v>1445</v>
      </c>
      <c r="D88" s="23">
        <f>Chemistry!$D$211</f>
        <v>1.248889512283</v>
      </c>
      <c r="E88" s="24" t="str">
        <f>HYPERLINK("#Chemistry!D211","→ Chemistry")</f>
        <v>→ Chemistry</v>
      </c>
      <c r="F88" t="s">
        <v>1783</v>
      </c>
    </row>
    <row r="89" spans="1:6" x14ac:dyDescent="0.2">
      <c r="A89" t="s">
        <v>1468</v>
      </c>
      <c r="B89" s="19" t="s">
        <v>1784</v>
      </c>
      <c r="C89" s="20" t="s">
        <v>1140</v>
      </c>
      <c r="D89" s="23">
        <f>Chemistry!$D$220</f>
        <v>6.487611781829</v>
      </c>
      <c r="E89" s="24" t="str">
        <f>HYPERLINK("#Chemistry!D220","→ Chemistry")</f>
        <v>→ Chemistry</v>
      </c>
      <c r="F89" t="s">
        <v>1667</v>
      </c>
    </row>
    <row r="90" spans="1:6" x14ac:dyDescent="0.2">
      <c r="A90" t="s">
        <v>1668</v>
      </c>
      <c r="B90" s="19" t="s">
        <v>1785</v>
      </c>
      <c r="C90" s="20" t="s">
        <v>449</v>
      </c>
      <c r="D90" s="23">
        <f>'Mass Transfer'!$D$186*3600</f>
        <v>15.833923097207</v>
      </c>
      <c r="E90" s="24" t="str">
        <f>HYPERLINK("#'Mass Transfer'!D186","→ Mass Transfer")</f>
        <v>→ Mass Transfer</v>
      </c>
      <c r="F90" t="s">
        <v>1786</v>
      </c>
    </row>
    <row r="92" spans="1:6" x14ac:dyDescent="0.2">
      <c r="A92" s="77" t="s">
        <v>1787</v>
      </c>
    </row>
    <row r="93" spans="1:6" x14ac:dyDescent="0.2">
      <c r="A93" s="21"/>
      <c r="B93" s="19"/>
      <c r="C93" s="21"/>
      <c r="D93" s="130"/>
      <c r="E93" s="62"/>
      <c r="F93"/>
    </row>
    <row r="95" spans="1:6" x14ac:dyDescent="0.2">
      <c r="A95" s="64" t="s">
        <v>1788</v>
      </c>
      <c r="C95" s="21" t="s">
        <v>87</v>
      </c>
      <c r="D95" s="70">
        <f>IF(AND(ISNUMBER(D14),ISNUMBER(D16),ISNUMBER('Mass Transfer'!$D$93)),('Mass Transfer'!$D$408+'Mass Transfer'!$D$407*D14)/('Mass Transfer'!$D$102/60)/(60*D16)/'Mass Transfer'!$D$93,"calibrate this reactor first (CO₂ flow section of the Calibrations tab, or a CO2 flows row)")</f>
        <v>1.000358015991</v>
      </c>
      <c r="E95" s="24" t="str">
        <f>HYPERLINK("#'Mass Transfer'!D93","→ Mass")</f>
        <v>→ Mass</v>
      </c>
      <c r="F95" s="22" t="s">
        <v>1789</v>
      </c>
    </row>
    <row r="110" spans="1:6" x14ac:dyDescent="0.2">
      <c r="A110" s="77" t="s">
        <v>1790</v>
      </c>
    </row>
    <row r="111" spans="1:6" x14ac:dyDescent="0.2">
      <c r="A111" s="18" t="s">
        <v>1791</v>
      </c>
      <c r="B111" s="19" t="s">
        <v>1792</v>
      </c>
      <c r="C111" s="20" t="s">
        <v>111</v>
      </c>
      <c r="D111" s="130" t="s">
        <v>1793</v>
      </c>
      <c r="E111" s="21" t="s">
        <v>27</v>
      </c>
      <c r="F111" s="22" t="s">
        <v>1794</v>
      </c>
    </row>
    <row r="112" spans="1:6" x14ac:dyDescent="0.2">
      <c r="A112" s="18" t="s">
        <v>1795</v>
      </c>
      <c r="B112" s="19" t="s">
        <v>1796</v>
      </c>
      <c r="C112" s="20" t="s">
        <v>111</v>
      </c>
      <c r="D112" s="130" t="s">
        <v>1797</v>
      </c>
      <c r="E112" s="21" t="s">
        <v>27</v>
      </c>
      <c r="F112" s="22" t="s">
        <v>1798</v>
      </c>
    </row>
    <row r="113" spans="1:6" x14ac:dyDescent="0.2">
      <c r="A113" s="64" t="s">
        <v>1799</v>
      </c>
      <c r="C113" s="21" t="s">
        <v>314</v>
      </c>
      <c r="D113" s="65">
        <f>'Mass Transfer'!$D$386</f>
        <v>0.015</v>
      </c>
      <c r="E113" s="24" t="str">
        <f>HYPERLINK("#'Mass Transfer'!D386","→ Mass Transfer")</f>
        <v>→ Mass Transfer</v>
      </c>
      <c r="F113" s="22" t="s">
        <v>1800</v>
      </c>
    </row>
    <row r="114" spans="1:6" x14ac:dyDescent="0.2">
      <c r="A114" s="64" t="s">
        <v>1801</v>
      </c>
      <c r="C114" s="21" t="s">
        <v>83</v>
      </c>
      <c r="D114" s="65">
        <f>'Mass Transfer'!$D$343</f>
        <v>2.270165488391</v>
      </c>
      <c r="E114" s="24" t="str">
        <f>HYPERLINK("#'Mass Transfer'!D343","→ Mass Transfer")</f>
        <v>→ Mass Transfer</v>
      </c>
      <c r="F114" s="22" t="s">
        <v>1802</v>
      </c>
    </row>
    <row r="115" spans="1:6" x14ac:dyDescent="0.2">
      <c r="A115" s="64" t="s">
        <v>1803</v>
      </c>
      <c r="C115" s="21" t="s">
        <v>83</v>
      </c>
      <c r="D115" s="65">
        <f>'Mass Transfer'!$D$344</f>
        <v>2.447092253397</v>
      </c>
      <c r="E115" s="24" t="str">
        <f>HYPERLINK("#'Mass Transfer'!D344","→ Mass Transfer")</f>
        <v>→ Mass Transfer</v>
      </c>
      <c r="F115" s="22" t="s">
        <v>1804</v>
      </c>
    </row>
    <row r="116" spans="1:6" x14ac:dyDescent="0.2">
      <c r="A116" s="64" t="s">
        <v>1805</v>
      </c>
      <c r="C116" s="21" t="s">
        <v>83</v>
      </c>
      <c r="D116" s="65">
        <f>'Mass Transfer'!$D$364</f>
        <v>5.594849867262</v>
      </c>
      <c r="E116" s="24" t="str">
        <f>HYPERLINK("#'Mass Transfer'!D364","→ Mass Transfer")</f>
        <v>→ Mass Transfer</v>
      </c>
      <c r="F116" s="22" t="s">
        <v>1806</v>
      </c>
    </row>
    <row r="117" spans="1:6" x14ac:dyDescent="0.2">
      <c r="A117" s="64" t="s">
        <v>1807</v>
      </c>
      <c r="C117" s="21" t="s">
        <v>83</v>
      </c>
      <c r="D117" s="65">
        <f>'Mass Transfer'!$D$365</f>
        <v>5.953949768528</v>
      </c>
      <c r="E117" s="24" t="str">
        <f>HYPERLINK("#'Mass Transfer'!D365","→ Mass Transfer")</f>
        <v>→ Mass Transfer</v>
      </c>
      <c r="F117" s="22" t="s">
        <v>1808</v>
      </c>
    </row>
    <row r="118" spans="1:6" x14ac:dyDescent="0.2">
      <c r="A118" s="64" t="s">
        <v>1809</v>
      </c>
      <c r="D118" s="65" t="str">
        <f>'Mass Transfer'!$D$348</f>
        <v>peak 2.4 mg/L under the 10.1 mg/L ceiling</v>
      </c>
      <c r="E118" s="24" t="str">
        <f>HYPERLINK("#'Mass Transfer'!D348","→ Mass Transfer")</f>
        <v>→ Mass Transfer</v>
      </c>
      <c r="F118" s="22" t="s">
        <v>1810</v>
      </c>
    </row>
    <row r="119" spans="1:6" x14ac:dyDescent="0.2">
      <c r="A119" s="64" t="s">
        <v>1811</v>
      </c>
      <c r="D119" s="65" t="str">
        <f>'Mass Transfer'!$D$369</f>
        <v>peak 6.0 mg/L under the 10.1 mg/L ceiling</v>
      </c>
      <c r="E119" s="24" t="str">
        <f>HYPERLINK("#'Mass Transfer'!D369","→ Mass Transfer")</f>
        <v>→ Mass Transfer</v>
      </c>
      <c r="F119" s="22" t="s">
        <v>1812</v>
      </c>
    </row>
    <row r="120" spans="1:6" x14ac:dyDescent="0.2">
      <c r="A120" s="64" t="s">
        <v>1813</v>
      </c>
      <c r="D120" s="65" t="str">
        <f>'Mass Transfer'!$D$347</f>
        <v>reachable – kLa margin 1.74×</v>
      </c>
      <c r="E120" s="24" t="str">
        <f>HYPERLINK("#'Mass Transfer'!D347","→ Mass Transfer")</f>
        <v>→ Mass Transfer</v>
      </c>
      <c r="F120" s="22" t="s">
        <v>1814</v>
      </c>
    </row>
    <row r="121" spans="1:6" x14ac:dyDescent="0.2">
      <c r="A121" s="64" t="s">
        <v>1815</v>
      </c>
      <c r="D121" s="65" t="str">
        <f>'Mass Transfer'!$D$368</f>
        <v>UNREACHABLE at this surface kLa – margin 0.61× (raise kL_surf, lower the current, or accept a higher DO)</v>
      </c>
      <c r="E121" s="24" t="str">
        <f>HYPERLINK("#'Mass Transfer'!D368","→ Mass Transfer")</f>
        <v>→ Mass Transfer</v>
      </c>
      <c r="F121" s="154"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22" spans="1:6" x14ac:dyDescent="0.2">
      <c r="A122" s="64" t="s">
        <v>1816</v>
      </c>
      <c r="C122" s="21" t="s">
        <v>449</v>
      </c>
      <c r="D122" s="65">
        <f>'Mass Transfer'!$D$345*3600</f>
        <v>15.833923097207</v>
      </c>
      <c r="E122" s="24" t="str">
        <f>HYPERLINK("#'Mass Transfer'!D345","→ Mass Transfer")</f>
        <v>→ Mass Transfer</v>
      </c>
      <c r="F122" s="22" t="s">
        <v>1817</v>
      </c>
    </row>
    <row r="123" spans="1:6" x14ac:dyDescent="0.2">
      <c r="A123" s="64" t="s">
        <v>1818</v>
      </c>
      <c r="C123" s="21" t="s">
        <v>449</v>
      </c>
      <c r="D123" s="65">
        <f>'Mass Transfer'!$D$366*3600</f>
        <v>44.975226114474</v>
      </c>
      <c r="E123" s="24" t="str">
        <f>HYPERLINK("#'Mass Transfer'!D366","→ Mass Transfer")</f>
        <v>→ Mass Transfer</v>
      </c>
      <c r="F123" s="22" t="s">
        <v>1817</v>
      </c>
    </row>
    <row r="124" spans="1:6" x14ac:dyDescent="0.2">
      <c r="A124" s="64" t="s">
        <v>1819</v>
      </c>
      <c r="C124" s="21" t="s">
        <v>111</v>
      </c>
      <c r="D124" s="65">
        <f>'Mass Transfer'!$D$329</f>
        <v>0.027569266375</v>
      </c>
      <c r="E124" s="24" t="str">
        <f>HYPERLINK("#'Mass Transfer'!D329","→ Mass Transfer")</f>
        <v>→ Mass Transfer</v>
      </c>
      <c r="F124" s="22" t="s">
        <v>1820</v>
      </c>
    </row>
    <row r="125" spans="1:6" x14ac:dyDescent="0.2">
      <c r="A125" s="64" t="s">
        <v>1821</v>
      </c>
      <c r="C125" s="21" t="s">
        <v>111</v>
      </c>
      <c r="D125" s="65">
        <f>'Mass Transfer'!$D$351</f>
        <v>0.053815126441</v>
      </c>
      <c r="E125" s="24" t="str">
        <f>HYPERLINK("#'Mass Transfer'!D351","→ Mass Transfer")</f>
        <v>→ Mass Transfer</v>
      </c>
      <c r="F125" s="22" t="s">
        <v>1822</v>
      </c>
    </row>
    <row r="126" spans="1:6" x14ac:dyDescent="0.2">
      <c r="A126" s="64" t="s">
        <v>1823</v>
      </c>
      <c r="C126" s="21" t="s">
        <v>111</v>
      </c>
      <c r="D126" s="65">
        <f>'Mass Transfer'!$D$352</f>
        <v>0.093689942909</v>
      </c>
      <c r="E126" s="24" t="str">
        <f>HYPERLINK("#'Mass Transfer'!D352","→ Mass Transfer")</f>
        <v>→ Mass Transfer</v>
      </c>
      <c r="F126" s="22" t="s">
        <v>1824</v>
      </c>
    </row>
    <row r="127" spans="1:6" x14ac:dyDescent="0.2">
      <c r="A127" s="64" t="s">
        <v>1825</v>
      </c>
      <c r="C127" s="21" t="s">
        <v>111</v>
      </c>
      <c r="D127" s="65">
        <f>'Mass Transfer'!$D$381</f>
        <v>0.940238937993</v>
      </c>
      <c r="E127" s="24" t="str">
        <f>HYPERLINK("#'Mass Transfer'!D381","→ Mass Transfer")</f>
        <v>→ Mass Transfer</v>
      </c>
      <c r="F127" s="22" t="s">
        <v>1826</v>
      </c>
    </row>
    <row r="128" spans="1:6" x14ac:dyDescent="0.2">
      <c r="A128" s="64" t="s">
        <v>1827</v>
      </c>
      <c r="D128" s="111" t="str">
        <f>IF(ISNA('Mass Transfer'!F_vent_ex+'Mass Transfer'!O2_src_sched),"#N/A – check the selectors in D111/D112",IF(NOT(ISNUMBER('Mass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128" s="24" t="str">
        <f>HYPERLINK("#Chemistry!D220","→ Chemistry")</f>
        <v>→ Chemistry</v>
      </c>
      <c r="F128" s="22" t="s">
        <v>1828</v>
      </c>
    </row>
    <row r="129" spans="1:6" x14ac:dyDescent="0.2">
      <c r="A129" s="64" t="s">
        <v>1829</v>
      </c>
      <c r="C129" s="21" t="s">
        <v>111</v>
      </c>
      <c r="D129" s="65">
        <f>'Mass Transfer'!$D$389</f>
        <v>0.050856361228</v>
      </c>
      <c r="E129" s="24" t="str">
        <f>HYPERLINK("#'Mass Transfer'!D389","→ Mass Transfer")</f>
        <v>→ Mass Transfer</v>
      </c>
      <c r="F129" s="22" t="s">
        <v>1830</v>
      </c>
    </row>
    <row r="130" spans="1:6" x14ac:dyDescent="0.2">
      <c r="A130" s="64" t="s">
        <v>1831</v>
      </c>
      <c r="D130" s="65" t="str">
        <f>'Mass Transfer'!$D$391</f>
        <v>UNVERIFIED pressure closure: air ingress is assumed; measure vent make-up flow</v>
      </c>
      <c r="E130" s="24" t="str">
        <f>HYPERLINK("#'Mass Transfer'!D391","→ Mass Transfer")</f>
        <v>→ Mass Transfer</v>
      </c>
      <c r="F130" s="22" t="s">
        <v>1832</v>
      </c>
    </row>
    <row r="131" spans="1:6" x14ac:dyDescent="0.2">
      <c r="A131" s="64" t="s">
        <v>2691</v>
      </c>
      <c r="C131" s="21" t="s">
        <v>2692</v>
      </c>
      <c r="D131" s="65">
        <f>Chemistry!$D$308</f>
        <v>0.124226377682</v>
      </c>
      <c r="E131" s="24" t="str">
        <f>HYPERLINK("#Chemistry!D306","→ Chemistry")</f>
        <v>→ Chemistry</v>
      </c>
      <c r="F131" s="22" t="s">
        <v>2693</v>
      </c>
    </row>
    <row r="132" spans="1:6" x14ac:dyDescent="0.2">
      <c r="A132" s="64" t="s">
        <v>2694</v>
      </c>
      <c r="C132" s="21" t="s">
        <v>2695</v>
      </c>
      <c r="D132" s="65">
        <f>Chemistry!$D$306*1000</f>
        <v>1.47876221841</v>
      </c>
      <c r="E132" s="24" t="str">
        <f>HYPERLINK("#Chemistry!D306","→ Chemistry")</f>
        <v>→ Chemistry</v>
      </c>
      <c r="F132" s="22" t="s">
        <v>2696</v>
      </c>
    </row>
    <row r="135" spans="1:6" x14ac:dyDescent="0.2">
      <c r="A135" s="64" t="s">
        <v>1833</v>
      </c>
      <c r="B135" s="19" t="s">
        <v>1834</v>
      </c>
      <c r="C135" s="21" t="s">
        <v>87</v>
      </c>
      <c r="D135" s="65">
        <f>'Mass Transfer'!$D$417</f>
        <v>2.501832900863</v>
      </c>
      <c r="E135" s="24" t="str">
        <f>HYPERLINK("#'Mass Transfer'!D417","→ Mass Transfer")</f>
        <v>→ Mass Transfer</v>
      </c>
      <c r="F135" s="22" t="s">
        <v>1835</v>
      </c>
    </row>
    <row r="136" spans="1:6" x14ac:dyDescent="0.2">
      <c r="A136" s="64" t="s">
        <v>1836</v>
      </c>
      <c r="B136" s="19" t="s">
        <v>1837</v>
      </c>
      <c r="D136" s="65" t="str">
        <f>'Mass Transfer'!$D$414</f>
        <v>OK – 6.6 mm/s against the 50 mm/s rule of thumb</v>
      </c>
      <c r="E136" s="24" t="str">
        <f>HYPERLINK("#'Mass Transfer'!D414","→ Mass Transfer")</f>
        <v>→ Mass Transfer</v>
      </c>
      <c r="F136" s="22" t="s">
        <v>1838</v>
      </c>
    </row>
    <row r="137" spans="1:6" x14ac:dyDescent="0.2">
      <c r="A137" s="77" t="s">
        <v>1839</v>
      </c>
    </row>
    <row r="138" spans="1:6" x14ac:dyDescent="0.2">
      <c r="A138" s="64" t="s">
        <v>1840</v>
      </c>
      <c r="B138" s="19" t="s">
        <v>1841</v>
      </c>
      <c r="C138" s="21" t="s">
        <v>1842</v>
      </c>
      <c r="D138" s="65">
        <f>Chemistry!$D$299</f>
        <v>6.0</v>
      </c>
      <c r="E138" s="24" t="str">
        <f>HYPERLINK("#Chemistry!D299","→ Chemistry")</f>
        <v>→ Chemistry</v>
      </c>
      <c r="F138" s="22" t="s">
        <v>1843</v>
      </c>
    </row>
    <row r="139" spans="1:6" x14ac:dyDescent="0.2">
      <c r="A139" s="64" t="s">
        <v>1844</v>
      </c>
      <c r="B139" s="19" t="s">
        <v>1845</v>
      </c>
      <c r="C139" s="21" t="s">
        <v>1842</v>
      </c>
      <c r="D139" s="65">
        <f>Chemistry!$D$236</f>
        <v>6.5</v>
      </c>
      <c r="E139" s="24" t="str">
        <f>HYPERLINK("#Chemistry!D236","→ Chemistry")</f>
        <v>→ Chemistry</v>
      </c>
      <c r="F139" s="22" t="s">
        <v>1843</v>
      </c>
    </row>
    <row r="140" spans="1:6" x14ac:dyDescent="0.2">
      <c r="A140" s="64" t="s">
        <v>1846</v>
      </c>
      <c r="B140" s="19" t="s">
        <v>1847</v>
      </c>
      <c r="C140" s="21" t="s">
        <v>1842</v>
      </c>
      <c r="D140" s="65">
        <f>Chemistry!$D$237</f>
        <v>7.5</v>
      </c>
      <c r="E140" s="24" t="str">
        <f>HYPERLINK("#Chemistry!D237","→ Chemistry")</f>
        <v>→ Chemistry</v>
      </c>
      <c r="F140" s="22" t="s">
        <v>1843</v>
      </c>
    </row>
    <row r="141" spans="1:6" x14ac:dyDescent="0.2">
      <c r="A141" s="64" t="s">
        <v>1848</v>
      </c>
      <c r="B141" s="19" t="s">
        <v>1849</v>
      </c>
      <c r="C141" s="21" t="s">
        <v>1842</v>
      </c>
      <c r="D141" s="65">
        <f>Chemistry!$D$300</f>
        <v>8.0</v>
      </c>
      <c r="E141" s="24" t="str">
        <f>HYPERLINK("#Chemistry!D300","→ Chemistry")</f>
        <v>→ Chemistry</v>
      </c>
      <c r="F141" s="22" t="s">
        <v>1843</v>
      </c>
    </row>
    <row r="142" spans="1:6" x14ac:dyDescent="0.2">
      <c r="A142" s="64" t="s">
        <v>1850</v>
      </c>
      <c r="B142" s="19" t="s">
        <v>1851</v>
      </c>
      <c r="C142" s="21" t="s">
        <v>83</v>
      </c>
      <c r="D142" s="65">
        <f>Chemistry!$D$146</f>
        <v>0.1</v>
      </c>
      <c r="E142" s="24" t="str">
        <f>HYPERLINK("#Chemistry!D146","→ Chemistry")</f>
        <v>→ Chemistry</v>
      </c>
      <c r="F142" s="22" t="s">
        <v>1843</v>
      </c>
    </row>
    <row r="143" spans="1:6" x14ac:dyDescent="0.2">
      <c r="A143" s="64" t="s">
        <v>1852</v>
      </c>
      <c r="B143" s="19" t="s">
        <v>1853</v>
      </c>
      <c r="C143" s="21" t="s">
        <v>83</v>
      </c>
      <c r="D143" s="65">
        <f>Chemistry!$D$147</f>
        <v>2.0</v>
      </c>
      <c r="E143" s="24" t="str">
        <f>HYPERLINK("#Chemistry!D147","→ Chemistry")</f>
        <v>→ Chemistry</v>
      </c>
      <c r="F143" s="22" t="s">
        <v>1843</v>
      </c>
    </row>
    <row r="145" spans="1:6" x14ac:dyDescent="0.2">
      <c r="A145" s="77" t="s">
        <v>2697</v>
      </c>
    </row>
    <row r="146" spans="1:6" x14ac:dyDescent="0.2">
      <c r="A146" s="32" t="s">
        <v>2698</v>
      </c>
      <c r="B146" s="32" t="s">
        <v>102</v>
      </c>
      <c r="C146" s="32" t="s">
        <v>103</v>
      </c>
      <c r="D146" s="32" t="s">
        <v>104</v>
      </c>
      <c r="F146" s="32" t="s">
        <v>105</v>
      </c>
    </row>
    <row r="147" spans="1:6" x14ac:dyDescent="0.2">
      <c r="A147" s="21" t="s">
        <v>2699</v>
      </c>
      <c r="B147" s="21" t="s">
        <v>922</v>
      </c>
      <c r="C147" s="21" t="s">
        <v>923</v>
      </c>
      <c r="D147" s="33" t="str">
        <f>HYPERLINK("https://github.com/amy-bo/electroPioreactor/blob/AEP02/Media/protocols/headspace-vent.md","headspace-vent.md →")</f>
        <v>headspace-vent.md →</v>
      </c>
      <c r="F147" s="22" t="s">
        <v>2700</v>
      </c>
    </row>
    <row r="148" spans="1:6" x14ac:dyDescent="0.2">
      <c r="A148" s="21" t="s">
        <v>2701</v>
      </c>
      <c r="B148" s="21" t="s">
        <v>922</v>
      </c>
      <c r="C148" s="21" t="s">
        <v>923</v>
      </c>
      <c r="D148" s="33" t="str">
        <f>HYPERLINK("https://github.com/amy-bo/electroPioreactor/blob/AEP02/Media/protocols/abiotic-do-trace.md","abiotic-do-trace.md →")</f>
        <v>abiotic-do-trace.md →</v>
      </c>
      <c r="F148" s="22" t="s">
        <v>2702</v>
      </c>
    </row>
    <row r="149" spans="1:6" x14ac:dyDescent="0.2">
      <c r="A149" s="21" t="s">
        <v>2703</v>
      </c>
      <c r="B149" s="21" t="s">
        <v>922</v>
      </c>
      <c r="C149" s="21" t="s">
        <v>923</v>
      </c>
      <c r="D149" s="33" t="str">
        <f>HYPERLINK("https://github.com/amy-bo/electroPioreactor/blob/AEP02/Media/protocols/headspace-gas-safety.md","headspace-gas-safety.md →")</f>
        <v>headspace-gas-safety.md →</v>
      </c>
      <c r="F149" s="22" t="inlineStr">
        <is>
          <t xml:space="preserve">Safety. The model puts the lag-phase headspace at about 9 % H₂ (D24), above the 4 % lower flammable limit, until the cells take up H₂.</t>
        </is>
      </c>
    </row>
    <row r="150" spans="1:6" x14ac:dyDescent="0.2">
      <c r="A150" s="21" t="s">
        <v>2705</v>
      </c>
      <c r="B150" s="21" t="s">
        <v>922</v>
      </c>
      <c r="C150" s="21" t="s">
        <v>932</v>
      </c>
      <c r="D150" s="33" t="str">
        <f>HYPERLINK("https://github.com/amy-bo/electroPioreactor/blob/AEP02/Media/protocols/knallgas-stoichiometry.md","knallgas-stoichiometry.md →")</f>
        <v>knallgas-stoichiometry.md →</v>
      </c>
      <c r="F150" s="22" t="s">
        <v>2706</v>
      </c>
    </row>
    <row r="151" spans="1:6" x14ac:dyDescent="0.2">
      <c r="A151" s="21" t="s">
        <v>2707</v>
      </c>
      <c r="B151" s="21" t="s">
        <v>931</v>
      </c>
      <c r="C151" s="21" t="s">
        <v>926</v>
      </c>
      <c r="D151" s="33" t="str">
        <f>HYPERLINK("https://github.com/amy-bo/electroPioreactor/blob/AEP02/Media/protocols/chlorine-species.md","chlorine-species.md →")</f>
        <v>chlorine-species.md →</v>
      </c>
      <c r="F151" s="22" t="s">
        <v>2708</v>
      </c>
    </row>
    <row r="152" spans="1:6" x14ac:dyDescent="0.2">
      <c r="A152" s="21" t="s">
        <v>2709</v>
      </c>
      <c r="B152" s="21" t="s">
        <v>941</v>
      </c>
      <c r="C152" s="21" t="s">
        <v>926</v>
      </c>
      <c r="D152" s="33" t="str">
        <f>HYPERLINK("https://github.com/amy-bo/electroPioreactor/blob/AEP02/Media/protocols/flow-calibration.md","flow-calibration.md →")</f>
        <v>flow-calibration.md →</v>
      </c>
      <c r="F152" s="22" t="s">
        <v>2710</v>
      </c>
    </row>
    <row r="153" spans="1:6" x14ac:dyDescent="0.2">
      <c r="A153" s="21" t="s">
        <v>2711</v>
      </c>
      <c r="B153" s="21" t="s">
        <v>922</v>
      </c>
      <c r="C153" s="21" t="s">
        <v>932</v>
      </c>
      <c r="F153" s="22" t="s">
        <v>2712</v>
      </c>
    </row>
    <row r="154" spans="1:6" x14ac:dyDescent="0.2">
      <c r="A154" s="21" t="s">
        <v>2713</v>
      </c>
      <c r="B154" s="21" t="s">
        <v>922</v>
      </c>
      <c r="C154" s="21" t="s">
        <v>923</v>
      </c>
      <c r="F154" s="22" t="inlineStr">
        <is>
          <t xml:space="preserve">Rows 131–132 give the NaHCO₃ for a target pH at first order (AMYBO03 already carries 40 mM; about 0.1 g/L more reaches the 6.5 floor). Still to do: an added-alkalinity input that feeds the charge balance, ionic strength and CO₂ storage.</t>
        </is>
      </c>
    </row>
    <row r="155" spans="1:6" x14ac:dyDescent="0.2">
      <c r="A155" s="21" t="s">
        <v>2715</v>
      </c>
      <c r="B155" s="21" t="s">
        <v>931</v>
      </c>
      <c r="C155" s="21" t="s">
        <v>926</v>
      </c>
      <c r="F155" s="22" t="inlineStr">
        <is>
          <t xml:space="preserve">Pulse length (D13) is a rule of thumb: about one headspace volume per pulse. A twin trial (UdG, 25 °C) at the 0.25 s default floor gave 0.25 s every 4.4 min: same pH and growth DO on about 7 % less CO₂, but higher lag-phase DO. Wait for the measured floor (flow-calibration step 9).</t>
        </is>
      </c>
    </row>
    <row r="156" spans="1:6" x14ac:dyDescent="0.2">
      <c r="A156" s="21" t="s">
        <v>2717</v>
      </c>
      <c r="B156" s="21" t="s">
        <v>931</v>
      </c>
      <c r="C156" s="21" t="s">
        <v>923</v>
      </c>
      <c r="F156" s="22" t="s">
        <v>2718</v>
      </c>
    </row>
    <row r="157" spans="1:6" x14ac:dyDescent="0.2">
      <c r="A157" s="21" t="s">
        <v>2719</v>
      </c>
      <c r="B157" s="21" t="s">
        <v>941</v>
      </c>
      <c r="C157" s="21" t="s">
        <v>926</v>
      </c>
      <c r="D157" s="33" t="str">
        <f>HYPERLINK("https://github.com/amy-bo/electroPioreactor/blob/AEP02/Media/protocols/electrode-mass-transfer.md","electrode-mass-transfer.md →")</f>
        <v>electrode-mass-transfer.md →</v>
      </c>
      <c r="F157" s="22" t="s">
        <v>2720</v>
      </c>
    </row>
    <row r="158" spans="1:6" x14ac:dyDescent="0.2">
      <c r="A158" s="21" t="inlineStr">
        <is>
          <t xml:space="preserve">Measure: CO₂ flow of the reactor in use</t>
        </is>
      </c>
      <c r="B158" s="21" t="inlineStr">
        <is>
          <t xml:space="preserve">HIGH</t>
        </is>
      </c>
      <c r="C158" s="21" t="s">
        <v>926</v>
      </c>
      <c r="D158" s="33" t="str">
        <f>HYPERLINK("https://github.com/amy-bo/electroPioreactor/blob/AEP02/Media/protocols/flow-calibration.md","flow-calibration.md →")</f>
        <v>flow-calibration.md →</v>
      </c>
      <c r="F158" s="22" t="inlineStr">
        <is>
          <t xml:space="preserve">D2 is ed04, the only reactor with a flow calibration, and its MEP0.3 geometry (20 mL vial, 16 mL max). For an AEP0.2 build (ed06–ed08), calibrate that reactor and select it in D2.</t>
        </is>
      </c>
    </row>
    <row r="159" spans="1:6" x14ac:dyDescent="0.2">
      <c r="A159" s="21" t="s">
        <v>2723</v>
      </c>
      <c r="B159" s="21" t="s">
        <v>941</v>
      </c>
      <c r="C159" s="21" t="s">
        <v>926</v>
      </c>
      <c r="F159" s="22" t="s">
        <v>2724</v>
      </c>
    </row>
  </sheetData>
  <conditionalFormatting sqref="B64:B80 B147:B159">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80 C147:C159">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D84:D86 D118:D121 D128:D130">
    <cfRule type="expression" dxfId="36" priority="12" stopIfTrue="1">
      <formula>OR(ISNUMBER(FIND("INCONSISTENT",D19)),ISNUMBER(FIND("OVER",D19)),ISNUMBER(FIND("BELOW",D19)),ISNUMBER(FIND("EXCEED",D19)),ISNUMBER(FIND("NO CALIB",D19)),ISNUMBER(SEARCH("calibrate this",D19)),ISNUMBER(FIND("RISK",D19)),ISNUMBER(FIND("EXPLOSIVE",D19)),ISNUMBER(FIND("FLAMMABLE",D19)),ISNUMBER(FIND("OOR",D19)),ISNUMBER(SEARCH("insufficient",D19)),ISNUMBER(FIND("TIP SPEED",D19)),ISNUMBER(FIND("SHORTFALL",D19)),ISNUMBER(SEARCH("unreachable",D19)),ISNUMBER(FIND("SAGS",D19)),EXACT(LEFT(D19,4),"NO –"),EXACT(D19,"OUT"),EXACT(D19,"LOW"),ISNUMBER(FIND("GAP",D19)))</formula>
    </cfRule>
    <cfRule type="expression" dxfId="35" priority="13" stopIfTrue="1">
      <formula>OR(ISNUMBER(SEARCH("above optimum",D19)),ISNUMBER(SEARCH("watch",D19)),ISNUMBER(SEARCH("NEAREST",D19)),ISNUMBER(SEARCH("unknown",D19)),ISNUMBER(SEARCH("TIGHT",D19)),ISNUMBER(SEARCH("not measured",D19)))</formula>
    </cfRule>
    <cfRule type="expression" dxfId="34" priority="14" stopIfTrue="1">
      <formula>OR(EXACT(D19,"OK"),EXACT(LEFT(D19,2),"OK"),ISNUMBER(SEARCH(" OK",D19)),ISNUMBER(SEARCH("calibrated:",D19)),ISNUMBER(SEARCH("optimum",D19)),ISNUMBER(SEARCH("above min",D19)),ISNUMBER(SEARCH("CARBON-limited",D19)),ISNUMBER(SEARCH("Static",D19)),ISNUMBER(SEARCH("Dynamic",D19)),ISNUMBER(SEARCH("present",D19)),ISNUMBER(SEARCH("under the",D19)),ISNUMBER(SEARCH("reachable",D19)),EXACT(LEFT(D19,3),"yes"),ISNUMBER(FIND("Below the H₂ LFL",D19)))</formula>
    </cfRule>
  </conditionalFormatting>
  <conditionalFormatting sqref="D35">
    <cfRule type="expression" dxfId="33" priority="22" stopIfTrue="1">
      <formula>OR(D35&lt;cf_pH_red_lo,D35&gt;cf_pH_red_hi)</formula>
    </cfRule>
    <cfRule type="expression" dxfId="32" priority="23" stopIfTrue="1">
      <formula>OR(D35&lt;cf_pH_lo,D35&gt;cf_pH_hi)</formula>
    </cfRule>
    <cfRule type="expression" dxfId="31" priority="24" stopIfTrue="1">
      <formula>ISNUMBER(D35)</formula>
    </cfRule>
  </conditionalFormatting>
  <conditionalFormatting sqref="D36">
    <cfRule type="expression" dxfId="30" priority="25" stopIfTrue="1">
      <formula>D36&gt;cf_Cl_kill</formula>
    </cfRule>
    <cfRule type="expression" dxfId="29" priority="26" stopIfTrue="1">
      <formula>D36&gt;cf_Cl_onset</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11">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decimal" allowBlank="1" showErrorMessage="1" errorTitle="Invalid value" error="Electrolysis power is 0–25 % (Gerrit's Law is validated to 25 %; the plugin clamps at 10 %)." sqref="D6" xr:uid="{00000000-0002-0000-0000-000004000000}">
      <formula1>0</formula1>
      <formula2>25</formula2>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12" xr:uid="{00000000-0002-0000-0000-000009000000}">
      <formula1>"Growth,Lag"</formula1>
    </dataValidation>
    <dataValidation type="list" allowBlank="1" showErrorMessage="1" errorTitle="Invalid value" error="Choose Outflow only, Open vent or Air exchange." sqref="D111" xr:uid="{00000000-0002-0000-0000-00000A000000}">
      <formula1>"Outflow only,Open vent,Air exchange"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Summary!$D$2</f>
        <v>ed04</v>
      </c>
      <c r="E5" s="105" t="str">
        <f>HYPERLINK("#Summary!D2","→ Summary")</f>
        <v>→ Summary</v>
      </c>
      <c r="F5" s="21"/>
      <c r="G5" s="21"/>
      <c r="H5" s="21"/>
      <c r="I5" s="21"/>
    </row>
    <row r="6" spans="1:9" x14ac:dyDescent="0.2">
      <c r="A6" s="21" t="s">
        <v>112</v>
      </c>
      <c r="B6" s="21" t="s">
        <v>51</v>
      </c>
      <c r="C6" s="21" t="s">
        <v>52</v>
      </c>
      <c r="D6" s="104">
        <f>Summary!$D$9</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VLOOKUP(rx_ver,$A$84:$I$87,MATCH("vial OD (mm)",$A$83:$I$83,0),FALSE)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IF(ISNUMBER(cal_Dint),cal_Dint,VLOOKUP(rx_ver,$A$84:$I$87,MATCH("usable depth (mm)",$A$83:$I$83,0),FALSE))</f>
        <v>55.0</v>
      </c>
      <c r="E22" s="74" t="s">
        <v>131</v>
      </c>
      <c r="F22" s="21"/>
      <c r="G22" s="21"/>
      <c r="H22" s="21"/>
      <c r="I22" s="21"/>
    </row>
    <row r="23" spans="1:9" x14ac:dyDescent="0.2">
      <c r="A23" s="18" t="s">
        <v>132</v>
      </c>
      <c r="B23" s="19" t="s">
        <v>133</v>
      </c>
      <c r="C23" s="20" t="s">
        <v>52</v>
      </c>
      <c r="D23" s="110">
        <f>VLOOKUP(rx_ver,$A$84:$I$87,MATCH("max working (mL)",$A$83:$I$83,0),FALSE)</f>
        <v>16.0</v>
      </c>
      <c r="E23" s="74" t="s">
        <v>131</v>
      </c>
      <c r="F23" s="21"/>
      <c r="G23" s="21"/>
      <c r="H23" s="21"/>
      <c r="I23" s="21"/>
    </row>
    <row r="24" spans="1:9" x14ac:dyDescent="0.2">
      <c r="A24" s="18" t="s">
        <v>134</v>
      </c>
      <c r="B24" s="19" t="s">
        <v>135</v>
      </c>
      <c r="C24" s="20" t="s">
        <v>52</v>
      </c>
      <c r="D24" s="110">
        <f>IF(ISNUMBER(cal_Vtot),cal_Vtot,VLOOKUP(rx_ver,$A$84:$I$87,MATCH("total vial (mL)",$A$83:$I$83,0),FALSE))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VLOOKUP(reactor_sel,$A$59:$B$80,MATCH("Type",$A$58:$B$58,0),FALSE)</f>
        <v>MEP0.3</v>
      </c>
      <c r="E51" s="21"/>
      <c r="F51" s="21"/>
      <c r="G51" s="21"/>
      <c r="H51" s="21"/>
      <c r="I51" s="21"/>
    </row>
    <row r="52" spans="1:9" x14ac:dyDescent="0.2">
      <c r="A52" s="21" t="s">
        <v>213</v>
      </c>
      <c r="B52" s="21" t="s">
        <v>214</v>
      </c>
      <c r="C52" s="21"/>
      <c r="D52" s="25">
        <f>VLOOKUP(rx_ver,$A$84:$I$87,MATCH("stir bar L (mm)",$A$83:$I$83,0),FALSE)</f>
        <v>12.0</v>
      </c>
      <c r="E52" s="21"/>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21"/>
      <c r="F54" s="21"/>
      <c r="G54" s="21"/>
      <c r="H54" s="21"/>
      <c r="I54" s="21"/>
    </row>
    <row r="55" spans="1:9" x14ac:dyDescent="0.2">
      <c r="A55" s="21" t="s">
        <v>218</v>
      </c>
      <c r="B55" s="21" t="s">
        <v>219</v>
      </c>
      <c r="C55" s="21"/>
      <c r="D55" s="25" t="str">
        <f>IF(h_actual&gt;D_int,"LIQUID OVER USABLE DEPTH","OK")</f>
        <v>OK</v>
      </c>
      <c r="E55" s="21"/>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1"/>
      <c r="F90" s="75" t="s">
        <v>1855</v>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3"/>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Biology!$D$18</f>
        <v>303.15</v>
      </c>
      <c r="E5" s="105" t="str">
        <f>HYPERLINK("#Biology!D18","→ Biology")</f>
        <v>→ Biology</v>
      </c>
      <c r="F5" s="21"/>
      <c r="G5" s="21"/>
      <c r="H5" s="21"/>
      <c r="I5" s="21"/>
    </row>
    <row r="6" spans="1:9" x14ac:dyDescent="0.2">
      <c r="A6" s="21" t="s">
        <v>263</v>
      </c>
      <c r="B6" s="21" t="s">
        <v>264</v>
      </c>
      <c r="C6" s="21" t="s">
        <v>57</v>
      </c>
      <c r="D6" s="112">
        <f>Biology!$D$19</f>
        <v>101325.0</v>
      </c>
      <c r="E6" s="105" t="str">
        <f>HYPERLINK("#Biology!D19","→ Biology")</f>
        <v>→ Biology</v>
      </c>
      <c r="F6" s="21"/>
      <c r="G6" s="21"/>
      <c r="H6" s="21"/>
      <c r="I6" s="21"/>
    </row>
    <row r="7" spans="1:9" x14ac:dyDescent="0.2">
      <c r="A7" s="21" t="s">
        <v>265</v>
      </c>
      <c r="B7" s="21" t="s">
        <v>266</v>
      </c>
      <c r="C7" s="21" t="s">
        <v>267</v>
      </c>
      <c r="D7" s="111">
        <f>'Mass Transfer'!$D$101</f>
        <v>8.314462618</v>
      </c>
      <c r="E7" s="105" t="str">
        <f>HYPERLINK("#'Mass Transfer'!D101","→ Mass Transfer")</f>
        <v>→ Mass Transfer</v>
      </c>
      <c r="F7" s="21"/>
      <c r="G7" s="21"/>
      <c r="H7" s="21"/>
      <c r="I7" s="21"/>
    </row>
    <row r="8" spans="1:9" x14ac:dyDescent="0.2">
      <c r="A8" s="21" t="s">
        <v>268</v>
      </c>
      <c r="B8" s="21" t="s">
        <v>30</v>
      </c>
      <c r="C8" s="21"/>
      <c r="D8" s="104" t="str">
        <f>Summary!$D$3</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Summary!$D$6</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5.307542491154e-05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0.022004797411</v>
      </c>
      <c r="E24" s="74" t="s">
        <v>318</v>
      </c>
      <c r="F24" s="21"/>
      <c r="G24" s="21"/>
      <c r="H24" s="21"/>
      <c r="I24" s="21"/>
    </row>
    <row r="25" spans="1:9" ht="24" customHeight="1" x14ac:dyDescent="0.2">
      <c r="A25" s="18" t="s">
        <v>319</v>
      </c>
      <c r="B25" s="19" t="s">
        <v>320</v>
      </c>
      <c r="C25" s="20" t="s">
        <v>314</v>
      </c>
      <c r="D25" s="41">
        <f>V_H2_gen+V_O2_gen</f>
        <v>0.064431996971</v>
      </c>
      <c r="E25" s="74" t="s">
        <v>321</v>
      </c>
      <c r="F25" s="21"/>
      <c r="G25" s="21"/>
      <c r="H25" s="21"/>
      <c r="I25" s="21"/>
    </row>
    <row r="26" spans="1:9" ht="48" x14ac:dyDescent="0.2">
      <c r="A26" s="18" t="s">
        <v>322</v>
      </c>
      <c r="B26" s="19" t="s">
        <v>323</v>
      </c>
      <c r="C26" s="20" t="s">
        <v>111</v>
      </c>
      <c r="D26" s="37">
        <f>IF(ISNUMBER(cal_etaF_OER),cal_etaF_OER,etaF_OER_calc)</f>
        <v>1.0</v>
      </c>
      <c r="E26" s="51" t="s">
        <v>1862</v>
      </c>
      <c r="F26" s="21"/>
      <c r="G26" s="21"/>
      <c r="H26" s="21"/>
      <c r="I26" s="21"/>
    </row>
    <row r="27" spans="1:9" ht="24" customHeight="1" x14ac:dyDescent="0.2">
      <c r="A27" s="18" t="s">
        <v>1863</v>
      </c>
      <c r="B27" s="19" t="s">
        <v>324</v>
      </c>
      <c r="C27" s="20" t="s">
        <v>111</v>
      </c>
      <c r="D27" s="109">
        <f>VLOOKUP(electrode_sel,$A$35:$N$38,MATCH("z_e_ORR",$A$34:$N$34,0),FALSE)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f>
        <v>5.101232932065e-05</v>
      </c>
      <c r="E29" s="74" t="s">
        <v>1866</v>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VLOOKUP(electrode_sel,$A$35:$N$38,MATCH("sparger",$A$34:$N$34,0),FALSE)</f>
        <v>Sintered</v>
      </c>
      <c r="E31" s="21"/>
      <c r="F31" s="21"/>
      <c r="G31" s="21"/>
      <c r="H31" s="21"/>
      <c r="I31" s="21"/>
    </row>
    <row r="32" spans="1:9" x14ac:dyDescent="0.2">
      <c r="A32" s="21" t="s">
        <v>331</v>
      </c>
      <c r="B32" s="21" t="s">
        <v>332</v>
      </c>
      <c r="C32" s="21"/>
      <c r="D32" s="25">
        <f>IF(ISNUMBER(cal_sinter),cal_sinter,IF(ISNUMBER(VLOOKUP(electrode_sel,$A$35:$N$38,MATCH("sinter porosity",$A$34:$N$34,0),FALSE)),VLOOKUP(electrode_sel,$A$35:$N$38,MATCH("sinter porosity",$A$34:$N$34,0),FALSE),0))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VLOOKUP(electrode_sel,$A$35:$N$38,MATCH("anode shape",$A$34:$N$34,0),FALSE)</f>
        <v>tube</v>
      </c>
      <c r="E41" s="74" t="s">
        <v>1176</v>
      </c>
    </row>
    <row r="42" spans="1:14" x14ac:dyDescent="0.2">
      <c r="A42" s="18" t="s">
        <v>1177</v>
      </c>
      <c r="B42" s="19" t="s">
        <v>1178</v>
      </c>
      <c r="C42" s="20" t="s">
        <v>115</v>
      </c>
      <c r="D42" s="41">
        <f>VLOOKUP(electrode_sel,$A$35:$N$38,MATCH("anode dia (mm)",$A$34:$N$34,0),FALSE)</f>
        <v>6.0</v>
      </c>
      <c r="E42" s="74" t="s">
        <v>1179</v>
      </c>
    </row>
    <row r="43" spans="1:14" x14ac:dyDescent="0.2">
      <c r="A43" s="18" t="s">
        <v>1180</v>
      </c>
      <c r="B43" s="19" t="s">
        <v>1181</v>
      </c>
      <c r="C43" s="20" t="s">
        <v>111</v>
      </c>
      <c r="D43" s="41" t="str">
        <f>VLOOKUP(electrode_sel,$A$35:$N$38,MATCH("cathode shape",$A$34:$N$34,0),FALSE)</f>
        <v>rod</v>
      </c>
      <c r="E43" s="74" t="s">
        <v>1182</v>
      </c>
    </row>
    <row r="44" spans="1:14" x14ac:dyDescent="0.2">
      <c r="A44" s="18" t="s">
        <v>1183</v>
      </c>
      <c r="B44" s="19" t="s">
        <v>1184</v>
      </c>
      <c r="C44" s="20" t="s">
        <v>115</v>
      </c>
      <c r="D44" s="41">
        <f>VLOOKUP(electrode_sel,$A$35:$N$38,MATCH("cathode dia (mm)",$A$34:$N$34,0),FALSE)</f>
        <v>6.0</v>
      </c>
      <c r="E44" s="74" t="s">
        <v>1179</v>
      </c>
    </row>
    <row r="45" spans="1:14" ht="36" x14ac:dyDescent="0.2">
      <c r="A45" s="18" t="s">
        <v>1185</v>
      </c>
      <c r="B45" s="19" t="s">
        <v>1186</v>
      </c>
      <c r="C45" s="20" t="s">
        <v>115</v>
      </c>
      <c r="D45" s="41">
        <f>Geometry!$D$93</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VLOOKUP(electrode_sel,$A$35:$N$38,MATCH("anode j cont (mA/cm²)",$A$34:$N$34,0),FALSE)</f>
        <v>10.0</v>
      </c>
      <c r="E50" s="74" t="s">
        <v>1199</v>
      </c>
    </row>
    <row r="51" spans="1:5" x14ac:dyDescent="0.2">
      <c r="A51" s="18" t="s">
        <v>1200</v>
      </c>
      <c r="B51" s="19" t="s">
        <v>1201</v>
      </c>
      <c r="C51" s="20" t="s">
        <v>1148</v>
      </c>
      <c r="D51" s="41">
        <f>VLOOKUP(electrode_sel,$A$35:$N$38,MATCH("anode j max (mA/cm²)",$A$34:$N$34,0),FALSE)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IF(ISNUMBER(cal_j_opt),cal_j_opt,IFERROR(VLOOKUP(organism_sel,$A$66:$E$71,MATCH("j_opt",$A$65:$E$65,0),FALSE),j_opt_default))</f>
        <v>2.0</v>
      </c>
      <c r="E56" s="74" t="s">
        <v>1217</v>
      </c>
    </row>
    <row r="57" spans="1:5" x14ac:dyDescent="0.2">
      <c r="A57" s="18" t="s">
        <v>1218</v>
      </c>
      <c r="B57" s="19" t="s">
        <v>1219</v>
      </c>
      <c r="C57" s="20" t="s">
        <v>1148</v>
      </c>
      <c r="D57" s="41">
        <f>IF(ISNUMBER(cal_j_ceiling),cal_j_ceiling,IFERROR(VLOOKUP(organism_sel,$A$66:$E$71,MATCH("j_ceiling",$A$65:$E$65,0),FALSE),j_ceiling_default))</f>
        <v>4.0</v>
      </c>
      <c r="E57" s="74" t="s">
        <v>1220</v>
      </c>
    </row>
    <row r="58" spans="1:5" x14ac:dyDescent="0.2">
      <c r="A58" s="18" t="s">
        <v>1221</v>
      </c>
      <c r="B58" s="19" t="s">
        <v>1222</v>
      </c>
      <c r="C58" s="20" t="s">
        <v>111</v>
      </c>
      <c r="D58" s="41" t="str">
        <f>IFERROR(VLOOKUP(organism_sel,$A$66:$E$71,MATCH("confidence",$A$65:$E$65,0),FALSE),"unknown")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VLOOKUP(electrode_sel,$A$35:$N$38,MATCH("anode material",$A$34:$N$34,0),FALSE)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Biology!$D$27</f>
        <v>0.314742903798</v>
      </c>
      <c r="E80" s="51" t="s">
        <v>1473</v>
      </c>
    </row>
    <row r="81" spans="1:5" x14ac:dyDescent="0.2">
      <c r="A81" t="s">
        <v>1474</v>
      </c>
      <c r="B81" s="19" t="s">
        <v>1475</v>
      </c>
      <c r="C81" s="20" t="s">
        <v>515</v>
      </c>
      <c r="D81" s="111">
        <f>'Mass Transfer'!$D$32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30">
        <v>4.0000000000000001E-3</v>
      </c>
      <c r="E83" s="57" t="s">
        <v>1480</v>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Transfer'!$D$179</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r_H2O2/(k_cat_cells*3600)</f>
        <v>0.047544429265</v>
      </c>
      <c r="E95" s="51" t="s">
        <v>1509</v>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(0.048 mg/L) but LAG PHASE is not: peroxide passes the threshold in 6 min before biomass can scavenge it</v>
      </c>
      <c r="E99" s="51" t="s">
        <v>1519</v>
      </c>
    </row>
    <row r="100" spans="1:5" x14ac:dyDescent="0.2">
      <c r="A100" s="6" t="s">
        <v>1520</v>
      </c>
    </row>
    <row r="101" spans="1:5" x14ac:dyDescent="0.2">
      <c r="A101" t="s">
        <v>1521</v>
      </c>
      <c r="B101" s="19" t="s">
        <v>1522</v>
      </c>
      <c r="C101" s="20" t="s">
        <v>978</v>
      </c>
      <c r="D101" s="111">
        <f>Chemistry!$D$133</f>
        <v>0.0</v>
      </c>
      <c r="E101" s="51" t="s">
        <v>1523</v>
      </c>
    </row>
    <row r="102" spans="1:5" x14ac:dyDescent="0.2">
      <c r="A102" t="s">
        <v>1524</v>
      </c>
      <c r="B102" s="19" t="s">
        <v>1525</v>
      </c>
      <c r="C102" s="20" t="s">
        <v>1140</v>
      </c>
      <c r="D102" s="111">
        <f>Chemistry!$D$158</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
        <v>1.0</v>
      </c>
      <c r="E104" s="51" t="s">
        <v>1880</v>
      </c>
    </row>
    <row r="105" spans="1:5" x14ac:dyDescent="0.2">
      <c r="A105" s="6" t="s">
        <v>1531</v>
      </c>
    </row>
    <row r="106" spans="1:5" ht="24" x14ac:dyDescent="0.2">
      <c r="A106" t="s">
        <v>1532</v>
      </c>
      <c r="B106" s="19" t="s">
        <v>1533</v>
      </c>
      <c r="C106" s="20" t="s">
        <v>1445</v>
      </c>
      <c r="D106" s="111">
        <f>Chemistry!$D$201</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Chemistry!$D$180</f>
        <v>1.401288519775</v>
      </c>
      <c r="E114" s="51" t="s">
        <v>1559</v>
      </c>
    </row>
    <row r="115" spans="1:5" x14ac:dyDescent="0.2">
      <c r="A115" t="s">
        <v>1560</v>
      </c>
      <c r="B115" s="19" t="s">
        <v>1561</v>
      </c>
      <c r="C115" s="20" t="s">
        <v>115</v>
      </c>
      <c r="D115" s="111">
        <f>Geometry!$D$92</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~2.27 by Gerrit’s Law holding linear to 25 % on a 5 V rail (D143–D144); that leaves only 1.33 V of headroom at 25 %, against the ±0.12 V j₀ uncertainty (E108), so the bound is soft. Measure with a conductivity standard.</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3.67 V at 25 %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s">
        <v>1894</v>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f>
        <v>4.800606064204e-05</v>
      </c>
      <c r="E132" s="57" t="s">
        <v>1903</v>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s">
        <v>1915</v>
      </c>
      <c r="B142" s="19" t="s">
        <v>1916</v>
      </c>
      <c r="C142" s="20" t="s">
        <v>300</v>
      </c>
      <c r="D142" s="111">
        <f>(gerrit_slope*gerrit_max+gerrit_int)/1000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Biology!$D$41</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Transfer'!$D$135</f>
        <v>0.174849986476</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Biology!$D$6</f>
        <v>15.0</v>
      </c>
      <c r="E153" s="51" t="s">
        <v>1949</v>
      </c>
    </row>
    <row r="154" spans="1:5" x14ac:dyDescent="0.2">
      <c r="A154" t="s">
        <v>1950</v>
      </c>
      <c r="B154" s="19" t="s">
        <v>33</v>
      </c>
      <c r="C154" s="20" t="s">
        <v>111</v>
      </c>
      <c r="D154" s="111" t="str">
        <f>Summary!$D$4</f>
        <v>Xanthobacter tagetidis</v>
      </c>
      <c r="E154" s="51" t="s">
        <v>1951</v>
      </c>
    </row>
    <row r="160" spans="1:5" ht="16" x14ac:dyDescent="0.2">
      <c r="A160" s="78" t="s">
        <v>1952</v>
      </c>
    </row>
    <row r="161" spans="1:5" x14ac:dyDescent="0.2">
      <c r="A161" t="s">
        <v>1953</v>
      </c>
      <c r="B161" s="19" t="s">
        <v>1954</v>
      </c>
      <c r="C161" s="20" t="s">
        <v>111</v>
      </c>
      <c r="D161" s="111">
        <f>Chemistry!$D$218</f>
        <v>0.199711947856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s">
        <v>1961</v>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08"/>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Biology!$D$18</f>
        <v>303.15</v>
      </c>
      <c r="E4" s="138" t="s">
        <v>760</v>
      </c>
    </row>
    <row r="5" spans="1:6" ht="36" x14ac:dyDescent="0.2">
      <c r="A5" s="18" t="s">
        <v>1962</v>
      </c>
      <c r="B5" s="19" t="s">
        <v>761</v>
      </c>
      <c r="C5" s="20" t="s">
        <v>762</v>
      </c>
      <c r="D5" s="49">
        <f>'Mass Transfer'!$D$162</f>
        <v>0.025562568426</v>
      </c>
      <c r="E5" s="138" t="s">
        <v>1963</v>
      </c>
    </row>
    <row r="6" spans="1:6" x14ac:dyDescent="0.2">
      <c r="A6" s="18" t="s">
        <v>763</v>
      </c>
      <c r="B6" s="19" t="s">
        <v>764</v>
      </c>
      <c r="C6" s="20" t="s">
        <v>765</v>
      </c>
      <c r="D6" s="49">
        <f>Electrochemistry!$D$19</f>
        <v>0.00569</v>
      </c>
      <c r="E6" s="138" t="s">
        <v>766</v>
      </c>
    </row>
    <row r="7" spans="1:6" x14ac:dyDescent="0.2">
      <c r="A7" s="18" t="s">
        <v>767</v>
      </c>
      <c r="B7" s="19" t="s">
        <v>768</v>
      </c>
      <c r="C7" s="20" t="s">
        <v>769</v>
      </c>
      <c r="D7" s="49">
        <f>Electrochemistry!$D$15</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Transfer'!$D$101</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s">
        <v>824</v>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s">
        <v>840</v>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f>
        <v>0.115446909129</v>
      </c>
      <c r="E44" s="138" t="s">
        <v>848</v>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0.069961033937</v>
      </c>
      <c r="C50" s="49">
        <f t="shared" ref="C50:C81" si="2">IF(AND(B50&gt;=0,B51&lt;0),A50+pH_step*B50/(B50-B51),0)</f>
        <v>0.0</v>
      </c>
    </row>
    <row r="51" spans="1:3" x14ac:dyDescent="0.2">
      <c r="A51" s="155">
        <v>4.0999999999999996</v>
      </c>
      <c r="B51" s="49">
        <f t="shared" si="1"/>
        <v>0.069751347811</v>
      </c>
      <c r="C51" s="49">
        <f t="shared" si="2"/>
        <v>0.0</v>
      </c>
    </row>
    <row r="52" spans="1:3" x14ac:dyDescent="0.2">
      <c r="A52" s="155">
        <v>4.2</v>
      </c>
      <c r="B52" s="49">
        <f t="shared" si="1"/>
        <v>0.06954335286</v>
      </c>
      <c r="C52" s="49">
        <f t="shared" si="2"/>
        <v>0.0</v>
      </c>
    </row>
    <row r="53" spans="1:3" x14ac:dyDescent="0.2">
      <c r="A53" s="155">
        <v>4.3</v>
      </c>
      <c r="B53" s="49">
        <f t="shared" si="1"/>
        <v>0.06932616269</v>
      </c>
      <c r="C53" s="49">
        <f t="shared" si="2"/>
        <v>0.0</v>
      </c>
    </row>
    <row r="54" spans="1:3" x14ac:dyDescent="0.2">
      <c r="A54" s="155">
        <v>4.4000000000000004</v>
      </c>
      <c r="B54" s="49">
        <f t="shared" si="1"/>
        <v>0.069088368641</v>
      </c>
      <c r="C54" s="49">
        <f t="shared" si="2"/>
        <v>0.0</v>
      </c>
    </row>
    <row r="55" spans="1:3" x14ac:dyDescent="0.2">
      <c r="A55" s="155">
        <v>4.5</v>
      </c>
      <c r="B55" s="49">
        <f t="shared" si="1"/>
        <v>0.068817465454</v>
      </c>
      <c r="C55" s="49">
        <f t="shared" si="2"/>
        <v>0.0</v>
      </c>
    </row>
    <row r="56" spans="1:3" x14ac:dyDescent="0.2">
      <c r="A56" s="155">
        <v>4.5999999999999996</v>
      </c>
      <c r="B56" s="49">
        <f t="shared" si="1"/>
        <v>0.068499218674</v>
      </c>
      <c r="C56" s="49">
        <f t="shared" si="2"/>
        <v>0.0</v>
      </c>
    </row>
    <row r="57" spans="1:3" x14ac:dyDescent="0.2">
      <c r="A57" s="155">
        <v>4.7</v>
      </c>
      <c r="B57" s="49">
        <f t="shared" si="1"/>
        <v>0.068116946912</v>
      </c>
      <c r="C57" s="49">
        <f t="shared" si="2"/>
        <v>0.0</v>
      </c>
    </row>
    <row r="58" spans="1:3" x14ac:dyDescent="0.2">
      <c r="A58" s="155">
        <v>4.8</v>
      </c>
      <c r="B58" s="49">
        <f t="shared" si="1"/>
        <v>0.067650688881</v>
      </c>
      <c r="C58" s="49">
        <f t="shared" si="2"/>
        <v>0.0</v>
      </c>
    </row>
    <row r="59" spans="1:3" x14ac:dyDescent="0.2">
      <c r="A59" s="155">
        <v>4.9000000000000004</v>
      </c>
      <c r="B59" s="49">
        <f t="shared" si="1"/>
        <v>0.067076221795</v>
      </c>
      <c r="C59" s="49">
        <f t="shared" si="2"/>
        <v>0.0</v>
      </c>
    </row>
    <row r="60" spans="1:3" x14ac:dyDescent="0.2">
      <c r="A60" s="155">
        <v>5</v>
      </c>
      <c r="B60" s="49">
        <f t="shared" si="1"/>
        <v>0.066363894488</v>
      </c>
      <c r="C60" s="49">
        <f t="shared" si="2"/>
        <v>0.0</v>
      </c>
    </row>
    <row r="61" spans="1:3" x14ac:dyDescent="0.2">
      <c r="A61" s="155">
        <v>5.0999999999999996</v>
      </c>
      <c r="B61" s="49">
        <f t="shared" si="1"/>
        <v>0.065477235967</v>
      </c>
      <c r="C61" s="49">
        <f t="shared" si="2"/>
        <v>0.0</v>
      </c>
    </row>
    <row r="62" spans="1:3" x14ac:dyDescent="0.2">
      <c r="A62" s="155">
        <v>5.2</v>
      </c>
      <c r="B62" s="49">
        <f t="shared" si="1"/>
        <v>0.064371298632</v>
      </c>
      <c r="C62" s="49">
        <f t="shared" si="2"/>
        <v>0.0</v>
      </c>
    </row>
    <row r="63" spans="1:3" x14ac:dyDescent="0.2">
      <c r="A63" s="155">
        <v>5.3</v>
      </c>
      <c r="B63" s="49">
        <f t="shared" si="1"/>
        <v>0.062990695937</v>
      </c>
      <c r="C63" s="49">
        <f t="shared" si="2"/>
        <v>0.0</v>
      </c>
    </row>
    <row r="64" spans="1:3" x14ac:dyDescent="0.2">
      <c r="A64" s="155">
        <v>5.4</v>
      </c>
      <c r="B64" s="49">
        <f t="shared" si="1"/>
        <v>0.061267297369</v>
      </c>
      <c r="C64" s="49">
        <f t="shared" si="2"/>
        <v>0.0</v>
      </c>
    </row>
    <row r="65" spans="1:3" x14ac:dyDescent="0.2">
      <c r="A65" s="155">
        <v>5.5</v>
      </c>
      <c r="B65" s="49">
        <f t="shared" si="1"/>
        <v>0.059117549391</v>
      </c>
      <c r="C65" s="49">
        <f t="shared" si="2"/>
        <v>0.0</v>
      </c>
    </row>
    <row r="66" spans="1:3" x14ac:dyDescent="0.2">
      <c r="A66" s="155">
        <v>5.6</v>
      </c>
      <c r="B66" s="49">
        <f t="shared" si="1"/>
        <v>0.056439397427</v>
      </c>
      <c r="C66" s="49">
        <f t="shared" si="2"/>
        <v>0.0</v>
      </c>
    </row>
    <row r="67" spans="1:3" x14ac:dyDescent="0.2">
      <c r="A67" s="155">
        <v>5.7</v>
      </c>
      <c r="B67" s="49">
        <f t="shared" si="1"/>
        <v>0.053108785561</v>
      </c>
      <c r="C67" s="49">
        <f t="shared" si="2"/>
        <v>0.0</v>
      </c>
    </row>
    <row r="68" spans="1:3" x14ac:dyDescent="0.2">
      <c r="A68" s="155">
        <v>5.8</v>
      </c>
      <c r="B68" s="49">
        <f t="shared" si="1"/>
        <v>0.048975695534</v>
      </c>
      <c r="C68" s="49">
        <f t="shared" si="2"/>
        <v>0.0</v>
      </c>
    </row>
    <row r="69" spans="1:3" x14ac:dyDescent="0.2">
      <c r="A69" s="155">
        <v>5.9</v>
      </c>
      <c r="B69" s="49">
        <f t="shared" si="1"/>
        <v>0.043859633841</v>
      </c>
      <c r="C69" s="49">
        <f t="shared" si="2"/>
        <v>0.0</v>
      </c>
    </row>
    <row r="70" spans="1:3" x14ac:dyDescent="0.2">
      <c r="A70" s="155">
        <v>6</v>
      </c>
      <c r="B70" s="49">
        <f t="shared" si="1"/>
        <v>0.037544354526</v>
      </c>
      <c r="C70" s="49">
        <f t="shared" si="2"/>
        <v>0.0</v>
      </c>
    </row>
    <row r="71" spans="1:3" x14ac:dyDescent="0.2">
      <c r="A71" s="155">
        <v>6.1</v>
      </c>
      <c r="B71" s="49">
        <f t="shared" si="1"/>
        <v>0.02977137912</v>
      </c>
      <c r="C71" s="49">
        <f t="shared" si="2"/>
        <v>0.0</v>
      </c>
    </row>
    <row r="72" spans="1:3" x14ac:dyDescent="0.2">
      <c r="A72" s="155">
        <v>6.2</v>
      </c>
      <c r="B72" s="49">
        <f t="shared" si="1"/>
        <v>0.020231516623</v>
      </c>
      <c r="C72" s="49">
        <f t="shared" si="2"/>
        <v>0.0</v>
      </c>
    </row>
    <row r="73" spans="1:3" x14ac:dyDescent="0.2">
      <c r="A73" s="155">
        <v>6.3</v>
      </c>
      <c r="B73" s="49">
        <f t="shared" si="1"/>
        <v>0.008553102653</v>
      </c>
      <c r="C73" s="49">
        <f t="shared" si="2"/>
        <v>6.359946204531</v>
      </c>
    </row>
    <row r="74" spans="1:3" x14ac:dyDescent="0.2">
      <c r="A74" s="155">
        <v>6.4</v>
      </c>
      <c r="B74" s="49">
        <f t="shared" si="1"/>
        <v>-0.005714860965</v>
      </c>
      <c r="C74" s="49">
        <f t="shared" si="2"/>
        <v>0.0</v>
      </c>
    </row>
    <row r="75" spans="1:3" x14ac:dyDescent="0.2">
      <c r="A75" s="155">
        <v>6.5</v>
      </c>
      <c r="B75" s="49">
        <f t="shared" si="1"/>
        <v>-0.023126933372</v>
      </c>
      <c r="C75" s="49">
        <f t="shared" si="2"/>
        <v>0.0</v>
      </c>
    </row>
    <row r="76" spans="1:3" x14ac:dyDescent="0.2">
      <c r="A76" s="155">
        <v>6.6</v>
      </c>
      <c r="B76" s="49">
        <f t="shared" si="1"/>
        <v>-0.044375284982</v>
      </c>
      <c r="C76" s="49">
        <f t="shared" si="2"/>
        <v>0.0</v>
      </c>
    </row>
    <row r="77" spans="1:3" x14ac:dyDescent="0.2">
      <c r="A77" s="155">
        <v>6.7</v>
      </c>
      <c r="B77" s="49">
        <f t="shared" si="1"/>
        <v>-0.070335872221</v>
      </c>
      <c r="C77" s="49">
        <f t="shared" si="2"/>
        <v>0.0</v>
      </c>
    </row>
    <row r="78" spans="1:3" x14ac:dyDescent="0.2">
      <c r="A78" s="155">
        <v>6.8</v>
      </c>
      <c r="B78" s="49">
        <f t="shared" si="1"/>
        <v>-0.102128665511</v>
      </c>
      <c r="C78" s="49">
        <f t="shared" si="2"/>
        <v>0.0</v>
      </c>
    </row>
    <row r="79" spans="1:3" x14ac:dyDescent="0.2">
      <c r="A79" s="155">
        <v>6.9</v>
      </c>
      <c r="B79" s="49">
        <f t="shared" si="1"/>
        <v>-0.141193643645</v>
      </c>
      <c r="C79" s="49">
        <f t="shared" si="2"/>
        <v>0.0</v>
      </c>
    </row>
    <row r="80" spans="1:3" x14ac:dyDescent="0.2">
      <c r="A80" s="155">
        <v>7</v>
      </c>
      <c r="B80" s="49">
        <f t="shared" si="1"/>
        <v>-0.189384694734</v>
      </c>
      <c r="C80" s="49">
        <f t="shared" si="2"/>
        <v>0.0</v>
      </c>
    </row>
    <row r="81" spans="1:3" x14ac:dyDescent="0.2">
      <c r="A81" s="155">
        <v>7.1</v>
      </c>
      <c r="B81" s="49">
        <f t="shared" si="1"/>
        <v>-0.249084986427</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-0.32334984372</v>
      </c>
      <c r="C82" s="49">
        <f t="shared" ref="C82:C99" si="4">IF(AND(B82&gt;=0,B83&lt;0),A82+pH_step*B82/(B82-B83),0)</f>
        <v>0.0</v>
      </c>
    </row>
    <row r="83" spans="1:3" x14ac:dyDescent="0.2">
      <c r="A83" s="155">
        <v>7.3</v>
      </c>
      <c r="B83" s="49">
        <f t="shared" si="3"/>
        <v>-0.416086535989</v>
      </c>
      <c r="C83" s="49">
        <f t="shared" si="4"/>
        <v>0.0</v>
      </c>
    </row>
    <row r="84" spans="1:3" x14ac:dyDescent="0.2">
      <c r="A84" s="155">
        <v>7.4</v>
      </c>
      <c r="B84" s="49">
        <f t="shared" si="3"/>
        <v>-0.532284505155</v>
      </c>
      <c r="C84" s="49">
        <f t="shared" si="4"/>
        <v>0.0</v>
      </c>
    </row>
    <row r="85" spans="1:3" x14ac:dyDescent="0.2">
      <c r="A85" s="155">
        <v>7.5</v>
      </c>
      <c r="B85" s="49">
        <f t="shared" si="3"/>
        <v>-0.678314662396</v>
      </c>
      <c r="C85" s="49">
        <f t="shared" si="4"/>
        <v>0.0</v>
      </c>
    </row>
    <row r="86" spans="1:3" x14ac:dyDescent="0.2">
      <c r="A86" s="155">
        <v>7.6</v>
      </c>
      <c r="B86" s="49">
        <f t="shared" si="3"/>
        <v>-0.862323104188</v>
      </c>
      <c r="C86" s="49">
        <f t="shared" si="4"/>
        <v>0.0</v>
      </c>
    </row>
    <row r="87" spans="1:3" x14ac:dyDescent="0.2">
      <c r="A87" s="155">
        <v>7.7</v>
      </c>
      <c r="B87" s="49">
        <f t="shared" si="3"/>
        <v>-1.094754114774</v>
      </c>
      <c r="C87" s="49">
        <f t="shared" si="4"/>
        <v>0.0</v>
      </c>
    </row>
    <row r="88" spans="1:3" x14ac:dyDescent="0.2">
      <c r="A88" s="155">
        <v>7.8</v>
      </c>
      <c r="B88" s="49">
        <f t="shared" si="3"/>
        <v>-1.389051363861</v>
      </c>
      <c r="C88" s="49">
        <f t="shared" si="4"/>
        <v>0.0</v>
      </c>
    </row>
    <row r="89" spans="1:3" x14ac:dyDescent="0.2">
      <c r="A89" s="155">
        <v>7.9</v>
      </c>
      <c r="B89" s="49">
        <f t="shared" si="3"/>
        <v>-1.762607295089</v>
      </c>
      <c r="C89" s="49">
        <f t="shared" si="4"/>
        <v>0.0</v>
      </c>
    </row>
    <row r="90" spans="1:3" x14ac:dyDescent="0.2">
      <c r="A90" s="155">
        <v>8</v>
      </c>
      <c r="B90" s="49">
        <f t="shared" si="3"/>
        <v>-2.238062600223</v>
      </c>
      <c r="C90" s="49">
        <f t="shared" si="4"/>
        <v>0.0</v>
      </c>
    </row>
    <row r="91" spans="1:3" x14ac:dyDescent="0.2">
      <c r="A91" s="155">
        <v>8.1</v>
      </c>
      <c r="B91" s="49">
        <f t="shared" si="3"/>
        <v>-2.845106178424</v>
      </c>
      <c r="C91" s="49">
        <f t="shared" si="4"/>
        <v>0.0</v>
      </c>
    </row>
    <row r="92" spans="1:3" x14ac:dyDescent="0.2">
      <c r="A92" s="155">
        <v>8.1999999999999993</v>
      </c>
      <c r="B92" s="49">
        <f t="shared" si="3"/>
        <v>-3.623000128118</v>
      </c>
      <c r="C92" s="49">
        <f t="shared" si="4"/>
        <v>0.0</v>
      </c>
    </row>
    <row r="93" spans="1:3" x14ac:dyDescent="0.2">
      <c r="A93" s="155">
        <v>8.3000000000000007</v>
      </c>
      <c r="B93" s="49">
        <f t="shared" si="3"/>
        <v>-4.624168299219</v>
      </c>
      <c r="C93" s="49">
        <f t="shared" si="4"/>
        <v>0.0</v>
      </c>
    </row>
    <row r="94" spans="1:3" x14ac:dyDescent="0.2">
      <c r="A94" s="155">
        <v>8.4</v>
      </c>
      <c r="B94" s="49">
        <f t="shared" si="3"/>
        <v>-5.919363066712</v>
      </c>
      <c r="C94" s="49">
        <f t="shared" si="4"/>
        <v>0.0</v>
      </c>
    </row>
    <row r="95" spans="1:3" x14ac:dyDescent="0.2">
      <c r="A95" s="155">
        <v>8.5</v>
      </c>
      <c r="B95" s="49">
        <f t="shared" si="3"/>
        <v>-7.605198429237</v>
      </c>
      <c r="C95" s="49">
        <f t="shared" si="4"/>
        <v>0.0</v>
      </c>
    </row>
    <row r="96" spans="1:3" x14ac:dyDescent="0.2">
      <c r="A96" s="155">
        <v>8.6</v>
      </c>
      <c r="B96" s="49">
        <f t="shared" si="3"/>
        <v>-9.815263713325</v>
      </c>
      <c r="C96" s="49">
        <f t="shared" si="4"/>
        <v>0.0</v>
      </c>
    </row>
    <row r="97" spans="1:7" x14ac:dyDescent="0.2">
      <c r="A97" s="155">
        <v>8.6999999999999993</v>
      </c>
      <c r="B97" s="49">
        <f t="shared" si="3"/>
        <v>-12.73669853406</v>
      </c>
      <c r="C97" s="49">
        <f t="shared" si="4"/>
        <v>0.0</v>
      </c>
    </row>
    <row r="98" spans="1:7" x14ac:dyDescent="0.2">
      <c r="A98" s="155">
        <v>8.8000000000000007</v>
      </c>
      <c r="B98" s="49">
        <f t="shared" si="3"/>
        <v>-16.635154346949</v>
      </c>
      <c r="C98" s="49">
        <f t="shared" si="4"/>
        <v>0.0</v>
      </c>
    </row>
    <row r="99" spans="1:7" x14ac:dyDescent="0.2">
      <c r="A99" s="155">
        <v>8.9</v>
      </c>
      <c r="B99" s="49">
        <f t="shared" si="3"/>
        <v>-21.892709216041</v>
      </c>
      <c r="C99" s="49">
        <f t="shared" si="4"/>
        <v>0.0</v>
      </c>
    </row>
    <row r="100" spans="1:7" x14ac:dyDescent="0.2">
      <c r="A100" s="155">
        <v>9</v>
      </c>
      <c r="B100" s="49">
        <f t="shared" si="3"/>
        <v>-29.065885534343</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6.359946204531</v>
      </c>
      <c r="E103" s="138" t="s">
        <v>1670</v>
      </c>
      <c r="F103" s="75" t="s">
        <v>1967</v>
      </c>
    </row>
    <row r="104" spans="1:7" ht="36" x14ac:dyDescent="0.2">
      <c r="A104" s="18" t="s">
        <v>865</v>
      </c>
      <c r="B104" s="19" t="s">
        <v>866</v>
      </c>
      <c r="C104" s="20" t="s">
        <v>867</v>
      </c>
      <c r="D104" s="119">
        <f>1/(1+KaHOCl_c/10^-pH_op)</f>
        <v>0.884671895747</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Electrochemistry!$D$46</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2.586351659465e-05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6">
        <v>1</v>
      </c>
      <c r="E142" s="138" t="s">
        <v>1014</v>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IF(media_sel=INDEX(MediaList,1),kappa0_mc02,IF(media_sel=INDEX(MediaList,2),kappa0_udg,IF(media_sel=INDEX(MediaList,3),AMYBO03!kappa0_AMYBO03,NA())))*kappa_fI*(1+kappa_TC*(TKc-T_ref))</f>
        <v>1.401288519775</v>
      </c>
      <c r="E180" s="51" t="s">
        <v>1373</v>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f>
        <v>0.200184197377</v>
      </c>
      <c r="E185" s="51" t="s">
        <v>860</v>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0.838760699902</v>
      </c>
      <c r="E206" s="74" t="s">
        <v>1438</v>
      </c>
    </row>
    <row r="207" spans="1:5" x14ac:dyDescent="0.2">
      <c r="A207" t="s">
        <v>1439</v>
      </c>
      <c r="B207" s="19" t="s">
        <v>1440</v>
      </c>
      <c r="C207" s="20" t="s">
        <v>1423</v>
      </c>
      <c r="D207" s="111">
        <f>E0_HER-nernst_slope*pH_meas</f>
        <v>-0.390239300098</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0.304760699902</v>
      </c>
      <c r="E210" s="51" t="s">
        <v>1448</v>
      </c>
    </row>
    <row r="211" spans="1:5" ht="48" x14ac:dyDescent="0.2">
      <c r="A211" t="s">
        <v>1981</v>
      </c>
      <c r="B211" s="19" t="s">
        <v>1450</v>
      </c>
      <c r="C211" s="20" t="s">
        <v>1445</v>
      </c>
      <c r="D211" s="111">
        <f>E_anode_op-E0_Cu</f>
        <v>1.248889512283</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16.462762858095</v>
      </c>
      <c r="E216" s="51" t="s">
        <v>1984</v>
      </c>
    </row>
    <row r="217" spans="1:5" x14ac:dyDescent="0.2">
      <c r="A217" t="s">
        <v>1459</v>
      </c>
      <c r="B217" s="19" t="s">
        <v>1460</v>
      </c>
      <c r="C217" s="20" t="s">
        <v>1148</v>
      </c>
      <c r="D217" s="111">
        <f>Electrochemistry!$D$48</f>
        <v>3.287810437489</v>
      </c>
      <c r="E217" s="51" t="s">
        <v>1461</v>
      </c>
    </row>
    <row r="218" spans="1:5" ht="48" x14ac:dyDescent="0.2">
      <c r="A218" t="s">
        <v>1462</v>
      </c>
      <c r="B218" s="19" t="s">
        <v>1463</v>
      </c>
      <c r="C218" s="20" t="s">
        <v>1140</v>
      </c>
      <c r="D218" s="111">
        <f>j_anode_c/j_buffer_lim</f>
        <v>0.199711947856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6.487611781829</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Biology!$D$23</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0.049851828253</v>
      </c>
      <c r="E252" s="51" t="s">
        <v>2022</v>
      </c>
    </row>
    <row r="253" spans="1:5" ht="24" x14ac:dyDescent="0.2">
      <c r="A253" t="s">
        <v>2023</v>
      </c>
      <c r="B253" s="19" t="s">
        <v>2024</v>
      </c>
      <c r="C253" s="20" t="s">
        <v>429</v>
      </c>
      <c r="D253" s="111">
        <f>pH_PT/(1+10^(-LOG10(Ka2p_c)-pH_op))</f>
        <v>0.019455490571</v>
      </c>
      <c r="E253" s="51" t="s">
        <v>2025</v>
      </c>
    </row>
    <row r="254" spans="1:5" ht="24" x14ac:dyDescent="0.2">
      <c r="A254" t="s">
        <v>2026</v>
      </c>
      <c r="B254" s="19" t="s">
        <v>2027</v>
      </c>
      <c r="C254" s="20" t="s">
        <v>1445</v>
      </c>
      <c r="D254" s="111">
        <f>Electrochemistry!$D$111</f>
        <v>0.902028812381</v>
      </c>
      <c r="E254" s="51" t="s">
        <v>2028</v>
      </c>
    </row>
    <row r="255" spans="1:5" ht="24" x14ac:dyDescent="0.2">
      <c r="A255" t="s">
        <v>2029</v>
      </c>
      <c r="B255" s="19" t="s">
        <v>2030</v>
      </c>
      <c r="C255" s="20" t="s">
        <v>1445</v>
      </c>
      <c r="D255" s="111">
        <f>Electrochemistry!$D$162</f>
        <v>-0.15</v>
      </c>
      <c r="E255" s="51" t="s">
        <v>2031</v>
      </c>
    </row>
    <row r="256" spans="1:5" ht="36" x14ac:dyDescent="0.2">
      <c r="A256" t="s">
        <v>2032</v>
      </c>
      <c r="B256" s="19" t="s">
        <v>2033</v>
      </c>
      <c r="C256" s="20" t="s">
        <v>1423</v>
      </c>
      <c r="D256" s="111">
        <f>E_OER+eta_anode_c+pcet_credit_c</f>
        <v>1.590789512283</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Electrochemistry!$D$83</f>
        <v>0.004</v>
      </c>
      <c r="E272" s="51" t="s">
        <v>2053</v>
      </c>
    </row>
    <row r="273" spans="1:5" x14ac:dyDescent="0.2">
      <c r="A273" t="s">
        <v>2054</v>
      </c>
      <c r="B273" s="19" t="s">
        <v>2055</v>
      </c>
      <c r="C273" s="20" t="s">
        <v>111</v>
      </c>
      <c r="D273" s="111">
        <f>Electrochemistry!$D$84</f>
        <v>0.644</v>
      </c>
      <c r="E273" s="51" t="s">
        <v>2056</v>
      </c>
    </row>
    <row r="274" spans="1:5" x14ac:dyDescent="0.2">
      <c r="A274" t="s">
        <v>1474</v>
      </c>
      <c r="B274" s="19" t="s">
        <v>2057</v>
      </c>
      <c r="C274" s="20" t="s">
        <v>515</v>
      </c>
      <c r="D274" s="111">
        <f>Electrochemistry!$D$81</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Biology!$D$6</f>
        <v>15.0</v>
      </c>
      <c r="E279" s="51" t="s">
        <v>1949</v>
      </c>
    </row>
    <row r="280" spans="1:5" x14ac:dyDescent="0.2">
      <c r="A280" t="s">
        <v>2071</v>
      </c>
      <c r="B280" s="19" t="s">
        <v>37</v>
      </c>
      <c r="C280" s="20" t="s">
        <v>111</v>
      </c>
      <c r="D280" s="111" t="str">
        <f>Summary!$D$5</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s">
        <v>2096</v>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-0.001478762218</v>
      </c>
      <c r="E305" s="60" t="s">
        <v>2734</v>
      </c>
    </row>
    <row r="306" spans="1:5" x14ac:dyDescent="0.2">
      <c r="A306" t="s">
        <v>2735</v>
      </c>
      <c r="B306" s="19" t="s">
        <v>2736</v>
      </c>
      <c r="C306" s="20" t="s">
        <v>429</v>
      </c>
      <c r="D306" s="111">
        <f>MAX(0,-alk_resid_t)</f>
        <v>0.001478762218</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0.124226377682</v>
      </c>
      <c r="E308" s="60" t="s">
        <v>2743</v>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3"/>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Electrochemistry!$D$21</f>
        <v>0.0001023341229799</v>
      </c>
      <c r="E4" s="105" t="str">
        <f>HYPERLINK("#Electrochemistry!D21","→ Electrochemistry")</f>
        <v>→ Electrochemistry</v>
      </c>
      <c r="F4" s="21"/>
    </row>
    <row r="5" spans="1:6" x14ac:dyDescent="0.2">
      <c r="A5" s="21" t="s">
        <v>352</v>
      </c>
      <c r="B5" s="19" t="s">
        <v>328</v>
      </c>
      <c r="C5" s="21" t="s">
        <v>307</v>
      </c>
      <c r="D5" s="120">
        <f>Electrochemistry!$D$29</f>
        <v>5.101232932065e-05</v>
      </c>
      <c r="E5" s="105" t="str">
        <f>HYPERLINK("#Electrochemistry!D29","→ Electrochemistry")</f>
        <v>→ Electrochemistry</v>
      </c>
      <c r="F5" s="21"/>
    </row>
    <row r="6" spans="1:6" x14ac:dyDescent="0.2">
      <c r="A6" s="21" t="s">
        <v>353</v>
      </c>
      <c r="B6" s="19" t="s">
        <v>183</v>
      </c>
      <c r="C6" s="21" t="s">
        <v>52</v>
      </c>
      <c r="D6" s="121">
        <f>Geometry!$D$41</f>
        <v>15.0</v>
      </c>
      <c r="E6" s="105" t="str">
        <f>HYPERLINK("#Geometry!D41","→ Geometry")</f>
        <v>→ Geometry</v>
      </c>
      <c r="F6" s="21"/>
    </row>
    <row r="7" spans="1:6" x14ac:dyDescent="0.2">
      <c r="A7" s="21" t="s">
        <v>354</v>
      </c>
      <c r="B7" s="19" t="s">
        <v>33</v>
      </c>
      <c r="C7" s="21"/>
      <c r="D7" s="104" t="str">
        <f>Summary!$D$4</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1.6900954994e-05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Summary!$D$8</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Transfer'!$D$418</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s">
        <v>2105</v>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IF(AND(y_H2_end_b&gt;=H2_LFL,y_O2_end_b&gt;=O2_LOC_H2*LOC_margin),"FLAMMABLE HEADSPACE (lag):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the H₂ LFL or under the O₂ LOC margin at every point of the cycle (lag): H₂ "&amp;TEXT(y_H2_end_b,"0%")&amp;", O₂ "&amp;TEXT(y_O2_end_b,"0%")&amp;" before each pulse ("&amp;TEXT(y_H2_hs_lag,"0%")&amp;" / "&amp;TEXT(y_O2_hs_lag,"0%")&amp;" mean)")</f>
        <v>FLAMMABLE HEADSPACE (lag): H₂ 9% mean, 15% before each pulse; O₂ 5% mean, 8% before each pulse – until uptake starts, sparge every ≤2.3 min or sweep ≥1.0 mL/min N₂; vent to a hood; no ignition sources</v>
      </c>
      <c r="E44" s="57" t="inlineStr">
        <is>
          <t xml:space="preserve">Pre-pulse lag hazard check. Remedy assumes the actual commanded pulse; displayed upper interval is rounded strictly down and minimum sweep strictly up. Bench safety verification remains required.</t>
        </is>
      </c>
      <c r="F44" s="75" t="s">
        <v>2108</v>
      </c>
    </row>
    <row r="45" spans="1:6" x14ac:dyDescent="0.2">
      <c r="A45" s="21" t="s">
        <v>452</v>
      </c>
      <c r="B45" s="21" t="s">
        <v>453</v>
      </c>
      <c r="C45" s="21" t="s">
        <v>83</v>
      </c>
      <c r="D45" s="29" t="e">
        <f>IF(ISNUMBER(cal_DO_min),cal_DO_min,IF(ISNUMBER(VLOOKUP(organism_sel,$A$52:$F$57,MATCH("minimum DO",$A$51:$F$51,0),FALSE)),VLOOKUP(organism_sel,$A$52:$F$57,MATCH("minimum DO",$A$51:$F$51,0),FALSE),NA()))</f>
        <v>#N/A</v>
      </c>
      <c r="E45" s="21"/>
      <c r="F45" s="21"/>
    </row>
    <row r="46" spans="1:6" x14ac:dyDescent="0.2">
      <c r="A46" s="21" t="s">
        <v>454</v>
      </c>
      <c r="B46" s="21" t="s">
        <v>455</v>
      </c>
      <c r="C46" s="21" t="s">
        <v>83</v>
      </c>
      <c r="D46" s="25" t="e">
        <f>IF(ISNUMBER(cal_DO_opt),cal_DO_opt,IF(ISNUMBER(VLOOKUP(organism_sel,$A$52:$F$57,MATCH("optimum DO",$A$51:$F$51,0),FALSE)),VLOOKUP(organism_sel,$A$52:$F$57,MATCH("optimum DO",$A$51:$F$51,0),FALSE),NA()))</f>
        <v>#N/A</v>
      </c>
      <c r="E46" s="21"/>
      <c r="F46" s="21"/>
    </row>
    <row r="47" spans="1:6" x14ac:dyDescent="0.2">
      <c r="A47" s="21" t="s">
        <v>456</v>
      </c>
      <c r="B47" s="21" t="s">
        <v>457</v>
      </c>
      <c r="C47" s="21" t="s">
        <v>83</v>
      </c>
      <c r="D47" s="25" t="e">
        <f>IF(ISNUMBER(cal_DO_impair),cal_DO_impair,IF(ISNUMBER(VLOOKUP(organism_sel,$A$52:$F$57,MATCH("impairment DO",$A$51:$F$51,0),FALSE)),VLOOKUP(organism_sel,$A$52:$F$57,MATCH("impairment DO",$A$51:$F$51,0),FALSE),NA()))</f>
        <v>#N/A</v>
      </c>
      <c r="E47" s="21"/>
      <c r="F47" s="21"/>
    </row>
    <row r="48" spans="1:6" x14ac:dyDescent="0.2">
      <c r="A48" s="21" t="s">
        <v>458</v>
      </c>
      <c r="B48" s="21" t="s">
        <v>459</v>
      </c>
      <c r="C48" s="21" t="s">
        <v>83</v>
      </c>
      <c r="D48" s="25" t="e">
        <f>IF(ISNUMBER(cal_DO_toxic),cal_DO_toxic,IF(ISNUMBER(VLOOKUP(organism_sel,$A$52:$F$57,MATCH("toxic DO",$A$51:$F$51,0),FALSE)),VLOOKUP(organism_sel,$A$52:$F$57,MATCH("toxic DO",$A$51:$F$51,0),FALSE),NA()))</f>
        <v>#N/A</v>
      </c>
      <c r="E48" s="21"/>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s">
        <v>467</v>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IF(AND(ISNUMBER(DO_opt),ISNUMBER(DO_toxic)),DO_opt/DO_toxic,DO_frac_fallback)</f>
        <v>0.226086956522</v>
      </c>
      <c r="E60" s="51" t="s">
        <v>1330</v>
      </c>
    </row>
    <row r="61" spans="1:6" ht="36" x14ac:dyDescent="0.2">
      <c r="A61" t="s">
        <v>1331</v>
      </c>
      <c r="B61" s="19" t="s">
        <v>1332</v>
      </c>
      <c r="C61" s="20" t="s">
        <v>1140</v>
      </c>
      <c r="D61" s="116">
        <v>0.22608695652173899</v>
      </c>
      <c r="E61" s="52" t="s">
        <v>2110</v>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Summary!$D$10</f>
        <v>0.0</v>
      </c>
      <c r="E67" s="140" t="s">
        <v>2125</v>
      </c>
    </row>
    <row r="75" spans="1:5" x14ac:dyDescent="0.2">
      <c r="A75" s="6" t="s">
        <v>2126</v>
      </c>
    </row>
    <row r="76" spans="1:5" x14ac:dyDescent="0.2">
      <c r="A76" s="21" t="s">
        <v>2127</v>
      </c>
      <c r="B76" s="19" t="s">
        <v>2128</v>
      </c>
      <c r="C76" s="21" t="s">
        <v>307</v>
      </c>
      <c r="D76" s="120">
        <f>'Mass Transfer'!$D$100</f>
        <v>0.0008519434760509</v>
      </c>
      <c r="E76" s="140" t="s">
        <v>2129</v>
      </c>
    </row>
    <row r="77" spans="1:5" x14ac:dyDescent="0.2">
      <c r="A77" s="21" t="s">
        <v>2130</v>
      </c>
      <c r="B77" s="19" t="s">
        <v>2131</v>
      </c>
      <c r="C77" s="21" t="s">
        <v>307</v>
      </c>
      <c r="D77" s="120">
        <f>'Mass Transfer'!$D$178</f>
        <v>0.481916270304</v>
      </c>
      <c r="E77" s="140" t="s">
        <v>2132</v>
      </c>
    </row>
    <row r="78" spans="1:5" x14ac:dyDescent="0.2">
      <c r="A78" s="21" t="s">
        <v>2133</v>
      </c>
      <c r="B78" s="19" t="s">
        <v>2134</v>
      </c>
      <c r="C78" s="21" t="s">
        <v>12</v>
      </c>
      <c r="D78" s="120">
        <f>'Mass Transfer'!$D$409</f>
        <v>0.784513049825</v>
      </c>
      <c r="E78" s="140" t="s">
        <v>2135</v>
      </c>
    </row>
    <row r="79" spans="1:5" x14ac:dyDescent="0.2">
      <c r="A79" s="21" t="s">
        <v>2136</v>
      </c>
      <c r="B79" s="19" t="s">
        <v>2137</v>
      </c>
      <c r="C79" s="21" t="s">
        <v>2138</v>
      </c>
      <c r="D79" s="120">
        <f>'Mass Transfer'!$D$101</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0.0001447785865665</v>
      </c>
      <c r="E83" s="53" t="s">
        <v>2151</v>
      </c>
    </row>
    <row r="84" spans="1:5" ht="48" x14ac:dyDescent="0.2">
      <c r="A84" s="18" t="s">
        <v>2152</v>
      </c>
      <c r="B84" s="19" t="s">
        <v>2153</v>
      </c>
      <c r="C84" s="20" t="s">
        <v>111</v>
      </c>
      <c r="D84" s="41">
        <f>H2_src_l_b/(n_flamm_src+CO2_supply_b+F_vent_ex_b)</f>
        <v>0.093689942909</v>
      </c>
      <c r="E84" s="53" t="s">
        <v>2154</v>
      </c>
    </row>
    <row r="85" spans="1:5" ht="24" x14ac:dyDescent="0.2">
      <c r="A85" s="18" t="s">
        <v>2155</v>
      </c>
      <c r="B85" s="19" t="s">
        <v>2156</v>
      </c>
      <c r="C85" s="20" t="s">
        <v>111</v>
      </c>
      <c r="D85" s="41">
        <f>(O2_src_l_b+y_O2_air_b*F_vent_ex_b)/(n_flamm_src+CO2_supply_b+F_vent_ex_b)</f>
        <v>0.053815126441</v>
      </c>
      <c r="E85" s="53" t="s">
        <v>2157</v>
      </c>
    </row>
    <row r="86" spans="1:5" ht="36" x14ac:dyDescent="0.2">
      <c r="A86" s="18" t="s">
        <v>2158</v>
      </c>
      <c r="B86" s="19" t="s">
        <v>2159</v>
      </c>
      <c r="C86" s="20" t="s">
        <v>111</v>
      </c>
      <c r="D86" s="41">
        <f>MAX(0,MIN(H2_src_l_b/H2_LFL-n_flamm_src-F_vent_ex_b,(O2_src_l_b+y_O2_air_b*F_vent_ex_b)/(O2_LOC_H2*LOC_margin)-n_flamm_src-F_vent_ex_b))/CO2_rate_full_b</f>
        <v>0.003321398663</v>
      </c>
      <c r="E86" s="53" t="s">
        <v>2160</v>
      </c>
    </row>
    <row r="87" spans="1:5" ht="24" x14ac:dyDescent="0.2">
      <c r="A87" s="18" t="s">
        <v>2161</v>
      </c>
      <c r="B87" s="19" t="s">
        <v>2162</v>
      </c>
      <c r="C87" s="20" t="s">
        <v>61</v>
      </c>
      <c r="D87" s="41">
        <f>IF(duty_H2safe&gt;0,spg_dur_b/(60*duty_H2safe),NA())</f>
        <v>3.936660071253</v>
      </c>
      <c r="E87" s="53" t="s">
        <v>2163</v>
      </c>
    </row>
    <row r="88" spans="1:5" ht="24" x14ac:dyDescent="0.2">
      <c r="A88" s="18" t="s">
        <v>2164</v>
      </c>
      <c r="B88" s="19" t="s">
        <v>2165</v>
      </c>
      <c r="C88" s="20" t="s">
        <v>314</v>
      </c>
      <c r="D88" s="41">
        <f>MAX(0,H2_src_l_b/H2_LFL-n_flamm_src-F_vent_ex_b)/3600*R_gas_b*T_K/P_atm*1000000*60</f>
        <v>0.928010297432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1.673926467146</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2.318132447064</v>
      </c>
      <c r="E91" s="53" t="s">
        <v>2175</v>
      </c>
    </row>
    <row r="92" spans="1:5" ht="24" x14ac:dyDescent="0.2">
      <c r="A92" s="18" t="s">
        <v>2176</v>
      </c>
      <c r="B92" s="19" t="s">
        <v>2177</v>
      </c>
      <c r="C92" s="20" t="s">
        <v>61</v>
      </c>
      <c r="D92" s="41">
        <f>IF(OR(ISTEXT(t_gap_H2_LFL),ISTEXT(t_gap_O2_LOC)),"any interval",MAX(t_gap_H2_LFL,t_gap_O2_LOC)+spg_dur_opt_b/60)</f>
        <v>2.328965780397</v>
      </c>
      <c r="E92" s="53" t="s">
        <v>2178</v>
      </c>
    </row>
    <row r="95" spans="1:5" x14ac:dyDescent="0.2">
      <c r="A95" s="6" t="s">
        <v>2179</v>
      </c>
    </row>
    <row r="96" spans="1:5" x14ac:dyDescent="0.2">
      <c r="A96" s="18" t="s">
        <v>2180</v>
      </c>
      <c r="B96" s="19" t="s">
        <v>2181</v>
      </c>
      <c r="C96" s="20" t="s">
        <v>307</v>
      </c>
      <c r="D96" s="41">
        <f>Electrochemistry!$D$149</f>
        <v>0.0</v>
      </c>
      <c r="E96" s="51" t="s">
        <v>2182</v>
      </c>
    </row>
    <row r="97" spans="1:5" x14ac:dyDescent="0.2">
      <c r="A97" s="18" t="s">
        <v>2183</v>
      </c>
      <c r="B97" s="19" t="s">
        <v>2184</v>
      </c>
      <c r="C97" s="20" t="s">
        <v>406</v>
      </c>
      <c r="D97" s="41">
        <f>'Mass Transfer'!$D$198</f>
        <v>25.441759810194</v>
      </c>
      <c r="E97" s="51" t="s">
        <v>2185</v>
      </c>
    </row>
    <row r="98" spans="1:5" ht="36" x14ac:dyDescent="0.2">
      <c r="A98" s="18" t="s">
        <v>2186</v>
      </c>
      <c r="B98" s="19" t="s">
        <v>2187</v>
      </c>
      <c r="C98" s="20" t="s">
        <v>87</v>
      </c>
      <c r="D98" s="41">
        <f>C_cycle_start_b*1000/Km_CO2</f>
        <v>508.83519620388</v>
      </c>
      <c r="E98" s="53" t="s">
        <v>2188</v>
      </c>
    </row>
    <row r="110" spans="1:5" x14ac:dyDescent="0.2">
      <c r="A110" s="6" t="s">
        <v>2189</v>
      </c>
    </row>
    <row r="111" spans="1:5" x14ac:dyDescent="0.2">
      <c r="A111" s="21" t="s">
        <v>2190</v>
      </c>
      <c r="B111" s="19" t="s">
        <v>2191</v>
      </c>
      <c r="C111" s="21" t="s">
        <v>307</v>
      </c>
      <c r="D111" s="120">
        <f>'Mass Transfer'!$D$308</f>
        <v>3.617990017297e-05</v>
      </c>
      <c r="E111" s="140" t="s">
        <v>2192</v>
      </c>
    </row>
    <row r="112" spans="1:5" x14ac:dyDescent="0.2">
      <c r="A112" s="21" t="s">
        <v>2193</v>
      </c>
      <c r="B112" s="19" t="s">
        <v>2194</v>
      </c>
      <c r="C112" s="21" t="s">
        <v>111</v>
      </c>
      <c r="D112" s="120">
        <f>'Mass Transfer'!$D$307</f>
        <v>0.2095</v>
      </c>
      <c r="E112" s="140" t="s">
        <v>2195</v>
      </c>
    </row>
    <row r="113" spans="1:5" x14ac:dyDescent="0.2">
      <c r="A113" s="21" t="s">
        <v>2196</v>
      </c>
      <c r="B113" s="19" t="s">
        <v>2197</v>
      </c>
      <c r="C113" s="21" t="s">
        <v>307</v>
      </c>
      <c r="D113" s="120">
        <f>'Mass Transfer'!$D$314</f>
        <v>9.67725259245e-05</v>
      </c>
      <c r="E113" s="140" t="s">
        <v>2198</v>
      </c>
    </row>
    <row r="114" spans="1:5" x14ac:dyDescent="0.2">
      <c r="A114" s="21" t="s">
        <v>2199</v>
      </c>
      <c r="B114" s="19" t="s">
        <v>2200</v>
      </c>
      <c r="C114" s="21" t="s">
        <v>111</v>
      </c>
      <c r="D114" s="120">
        <f>'Mass Transfer'!$D$388</f>
        <v>0.146149332991</v>
      </c>
      <c r="E114" s="140" t="s">
        <v>2201</v>
      </c>
    </row>
    <row r="115" spans="1:5" x14ac:dyDescent="0.2">
      <c r="A115" s="21" t="s">
        <v>2202</v>
      </c>
      <c r="B115" s="19" t="s">
        <v>2203</v>
      </c>
      <c r="C115" s="21" t="s">
        <v>307</v>
      </c>
      <c r="D115" s="120">
        <f>'Mass Transfer'!$D$310</f>
        <v>4.800606064204e-05</v>
      </c>
      <c r="E115" s="140" t="s">
        <v>2204</v>
      </c>
    </row>
    <row r="116" spans="1:5" x14ac:dyDescent="0.2">
      <c r="A116" s="21" t="s">
        <v>2205</v>
      </c>
      <c r="B116" s="19" t="s">
        <v>2206</v>
      </c>
      <c r="C116" s="21" t="s">
        <v>307</v>
      </c>
      <c r="D116" s="120">
        <f>'Mass Transfer'!$D$353</f>
        <v>0.0001809584867395</v>
      </c>
      <c r="E116" s="140" t="s">
        <v>2207</v>
      </c>
    </row>
    <row r="117" spans="1:5" x14ac:dyDescent="0.2">
      <c r="A117" s="21" t="s">
        <v>2208</v>
      </c>
      <c r="B117" s="19" t="s">
        <v>2209</v>
      </c>
      <c r="C117" s="21" t="s">
        <v>732</v>
      </c>
      <c r="D117" s="120">
        <f>'Mass Transfer'!$D$150</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Transfer'!$D$358</f>
        <v>0.083947589143</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Chemistry!$D$185</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418"/>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Geometry!$D$52</f>
        <v>12.0</v>
      </c>
      <c r="E5" s="55" t="str">
        <f>HYPERLINK("#Geometry!D52","→ Geometry")</f>
        <v>→ Geometry</v>
      </c>
      <c r="F5" s="75" t="s">
        <v>2228</v>
      </c>
    </row>
    <row r="6" spans="1:6" x14ac:dyDescent="0.2">
      <c r="A6" s="21" t="s">
        <v>479</v>
      </c>
      <c r="B6" s="21" t="s">
        <v>405</v>
      </c>
      <c r="C6" s="21" t="s">
        <v>406</v>
      </c>
      <c r="D6" s="112">
        <f>Biology!$D$27</f>
        <v>0.314742903798</v>
      </c>
      <c r="E6" s="105" t="str">
        <f>HYPERLINK("#Biology!D27","→ Biology")</f>
        <v>→ Biology</v>
      </c>
      <c r="F6" s="21"/>
    </row>
    <row r="7" spans="1:6" x14ac:dyDescent="0.2">
      <c r="A7" s="21" t="s">
        <v>480</v>
      </c>
      <c r="B7" s="21" t="s">
        <v>402</v>
      </c>
      <c r="C7" s="21" t="s">
        <v>57</v>
      </c>
      <c r="D7" s="112">
        <f>Biology!$D$26</f>
        <v>30397.5</v>
      </c>
      <c r="E7" s="105" t="str">
        <f>HYPERLINK("#Biology!D26","→ Biology")</f>
        <v>→ Biology</v>
      </c>
      <c r="F7" s="21"/>
    </row>
    <row r="8" spans="1:6" ht="24" customHeight="1" x14ac:dyDescent="0.2">
      <c r="A8" s="21" t="s">
        <v>260</v>
      </c>
      <c r="B8" s="21" t="s">
        <v>261</v>
      </c>
      <c r="C8" s="21" t="s">
        <v>262</v>
      </c>
      <c r="D8" s="112">
        <f>Biology!$D$18</f>
        <v>303.15</v>
      </c>
      <c r="E8" s="105" t="str">
        <f>HYPERLINK("#Biology!D18","→ Biology")</f>
        <v>→ Biology</v>
      </c>
      <c r="F8" s="21"/>
    </row>
    <row r="9" spans="1:6" x14ac:dyDescent="0.2">
      <c r="A9" s="21" t="s">
        <v>263</v>
      </c>
      <c r="B9" s="21" t="s">
        <v>264</v>
      </c>
      <c r="C9" s="21" t="s">
        <v>57</v>
      </c>
      <c r="D9" s="112">
        <f>Biology!$D$19</f>
        <v>101325.0</v>
      </c>
      <c r="E9" s="105" t="str">
        <f>HYPERLINK("#Biology!D19","→ Biology")</f>
        <v>→ Biology</v>
      </c>
      <c r="F9" s="21"/>
    </row>
    <row r="10" spans="1:6" x14ac:dyDescent="0.2">
      <c r="A10" s="21" t="s">
        <v>481</v>
      </c>
      <c r="B10" s="21" t="s">
        <v>370</v>
      </c>
      <c r="C10" s="21" t="s">
        <v>307</v>
      </c>
      <c r="D10" s="112">
        <f>Biology!$D$15</f>
        <v>1.705568716332e-05</v>
      </c>
      <c r="E10" s="105" t="str">
        <f>HYPERLINK("#Biology!D15","→ Biology")</f>
        <v>→ Biology</v>
      </c>
      <c r="F10" s="21"/>
    </row>
    <row r="11" spans="1:6" x14ac:dyDescent="0.2">
      <c r="A11" s="21" t="s">
        <v>482</v>
      </c>
      <c r="B11" s="21" t="s">
        <v>373</v>
      </c>
      <c r="C11" s="21" t="s">
        <v>307</v>
      </c>
      <c r="D11" s="112">
        <f>Biology!$D$16</f>
        <v>1.6900954994e-05</v>
      </c>
      <c r="E11" s="105" t="str">
        <f>HYPERLINK("#Biology!D16","→ Biology")</f>
        <v>→ Biology</v>
      </c>
      <c r="F11" s="21"/>
    </row>
    <row r="12" spans="1:6" x14ac:dyDescent="0.2">
      <c r="A12" s="21" t="s">
        <v>483</v>
      </c>
      <c r="B12" s="21" t="s">
        <v>396</v>
      </c>
      <c r="C12" s="21" t="s">
        <v>387</v>
      </c>
      <c r="D12" s="112">
        <f>Biology!$D$24</f>
        <v>1.035423649307e-05</v>
      </c>
      <c r="E12" s="105" t="str">
        <f>HYPERLINK("#Biology!D24","→ Biology")</f>
        <v>→ Biology</v>
      </c>
      <c r="F12" s="21"/>
    </row>
    <row r="13" spans="1:6" x14ac:dyDescent="0.2">
      <c r="A13" s="21" t="s">
        <v>352</v>
      </c>
      <c r="B13" s="21" t="s">
        <v>328</v>
      </c>
      <c r="C13" s="21" t="s">
        <v>307</v>
      </c>
      <c r="D13" s="120">
        <f>Electrochemistry!$D$29</f>
        <v>5.101232932065e-05</v>
      </c>
      <c r="E13" s="105" t="str">
        <f>HYPERLINK("#Electrochemistry!D29","→ Electrochemistry")</f>
        <v>→ Electrochemistry</v>
      </c>
      <c r="F13" s="21"/>
    </row>
    <row r="14" spans="1:6" x14ac:dyDescent="0.2">
      <c r="A14" s="21" t="s">
        <v>484</v>
      </c>
      <c r="B14" s="21" t="s">
        <v>192</v>
      </c>
      <c r="C14" s="21" t="s">
        <v>127</v>
      </c>
      <c r="D14" s="121">
        <f>Geometry!$D$44</f>
        <v>429.547725140567</v>
      </c>
      <c r="E14" s="105" t="str">
        <f>HYPERLINK("#Geometry!D44","→ Geometry")</f>
        <v>→ Geometry</v>
      </c>
      <c r="F14" s="21"/>
    </row>
    <row r="15" spans="1:6" x14ac:dyDescent="0.2">
      <c r="A15" s="21" t="s">
        <v>485</v>
      </c>
      <c r="B15" s="21" t="s">
        <v>123</v>
      </c>
      <c r="C15" s="21" t="s">
        <v>115</v>
      </c>
      <c r="D15" s="121">
        <f>Geometry!$D$20</f>
        <v>25.28</v>
      </c>
      <c r="E15" s="105" t="str">
        <f>HYPERLINK("#Geometry!D20","→ Geometry")</f>
        <v>→ Geometry</v>
      </c>
      <c r="F15" s="21"/>
    </row>
    <row r="16" spans="1:6" x14ac:dyDescent="0.2">
      <c r="A16" s="21" t="s">
        <v>353</v>
      </c>
      <c r="B16" s="21" t="s">
        <v>183</v>
      </c>
      <c r="C16" s="21" t="s">
        <v>52</v>
      </c>
      <c r="D16" s="121">
        <f>Geometry!$D$41</f>
        <v>15.0</v>
      </c>
      <c r="E16" s="105" t="str">
        <f>HYPERLINK("#Geometry!D41","→ Geometry")</f>
        <v>→ Geometry</v>
      </c>
      <c r="F16" s="21"/>
    </row>
    <row r="17" spans="1:6" x14ac:dyDescent="0.2">
      <c r="A17" s="21" t="s">
        <v>486</v>
      </c>
      <c r="B17" s="21" t="s">
        <v>126</v>
      </c>
      <c r="C17" s="21" t="s">
        <v>127</v>
      </c>
      <c r="D17" s="121">
        <f>Geometry!$D$21</f>
        <v>501.93100162698</v>
      </c>
      <c r="E17" s="105" t="str">
        <f>HYPERLINK("#Geometry!D21","→ Geometry")</f>
        <v>→ Geometry</v>
      </c>
      <c r="F17" s="21"/>
    </row>
    <row r="18" spans="1:6" ht="24" customHeight="1" x14ac:dyDescent="0.2">
      <c r="A18" s="21" t="s">
        <v>487</v>
      </c>
      <c r="B18" s="21" t="s">
        <v>155</v>
      </c>
      <c r="C18" s="21" t="s">
        <v>115</v>
      </c>
      <c r="D18" s="121">
        <f>Geometry!$D$31</f>
        <v>1.5875</v>
      </c>
      <c r="E18" s="105" t="str">
        <f>HYPERLINK("#Geometry!D31","→ Geometry")</f>
        <v>→ Geometry</v>
      </c>
      <c r="F18" s="21"/>
    </row>
    <row r="19" spans="1:6" x14ac:dyDescent="0.2">
      <c r="A19" s="21" t="s">
        <v>488</v>
      </c>
      <c r="B19" s="21" t="s">
        <v>207</v>
      </c>
      <c r="C19" s="21" t="s">
        <v>52</v>
      </c>
      <c r="D19" s="121">
        <f>Geometry!$D$49</f>
        <v>2.612428455917</v>
      </c>
      <c r="E19" s="105" t="str">
        <f>HYPERLINK("#Geometry!D49","→ Geometry")</f>
        <v>→ Geometry</v>
      </c>
      <c r="F19" s="21"/>
    </row>
    <row r="20" spans="1:6" x14ac:dyDescent="0.2">
      <c r="A20" s="21" t="s">
        <v>489</v>
      </c>
      <c r="B20" s="21" t="s">
        <v>490</v>
      </c>
      <c r="C20" s="21" t="s">
        <v>491</v>
      </c>
      <c r="D20" s="120">
        <f>Electrochemistry!$D$32</f>
        <v>0.0</v>
      </c>
      <c r="E20" s="105" t="str">
        <f>HYPERLINK("#Electrochemistry!D32","→ Electrochemistry")</f>
        <v>→ Electrochemistry</v>
      </c>
      <c r="F20" s="21"/>
    </row>
    <row r="21" spans="1:6" x14ac:dyDescent="0.2">
      <c r="A21" s="21" t="s">
        <v>492</v>
      </c>
      <c r="B21" s="21" t="s">
        <v>337</v>
      </c>
      <c r="C21" s="21" t="s">
        <v>111</v>
      </c>
      <c r="D21" s="120" t="str">
        <f>Electrochemistry!$D$31</f>
        <v>Sintered</v>
      </c>
      <c r="E21" s="105" t="str">
        <f>HYPERLINK("#Electrochemistry!D31","→ Electrochemistry")</f>
        <v>→ Electrochemistry</v>
      </c>
      <c r="F21" s="21"/>
    </row>
    <row r="22" spans="1:6" ht="36" customHeight="1" x14ac:dyDescent="0.2">
      <c r="A22" s="21" t="s">
        <v>493</v>
      </c>
      <c r="B22" s="21" t="s">
        <v>455</v>
      </c>
      <c r="C22" s="21"/>
      <c r="D22" s="112" t="e">
        <f>Biology!$D$46</f>
        <v>#N/A</v>
      </c>
      <c r="E22" s="105" t="str">
        <f>HYPERLINK("#Biology!D46","→ Biology")</f>
        <v>→ Biology</v>
      </c>
      <c r="F22" s="21"/>
    </row>
    <row r="23" spans="1:6" x14ac:dyDescent="0.2">
      <c r="A23" s="21" t="s">
        <v>494</v>
      </c>
      <c r="B23" s="21" t="s">
        <v>457</v>
      </c>
      <c r="C23" s="21"/>
      <c r="D23" s="112" t="e">
        <f>Biology!$D$47</f>
        <v>#N/A</v>
      </c>
      <c r="E23" s="105" t="str">
        <f>HYPERLINK("#Biology!D47","→ Biology")</f>
        <v>→ Biology</v>
      </c>
      <c r="F23" s="21"/>
    </row>
    <row r="24" spans="1:6" x14ac:dyDescent="0.2">
      <c r="A24" s="21" t="s">
        <v>495</v>
      </c>
      <c r="B24" s="21" t="s">
        <v>459</v>
      </c>
      <c r="C24" s="21"/>
      <c r="D24" s="112" t="e">
        <f>Biology!$D$48</f>
        <v>#N/A</v>
      </c>
      <c r="E24" s="105" t="str">
        <f>HYPERLINK("#Biology!D48","→ Biology")</f>
        <v>→ Biology</v>
      </c>
      <c r="F24" s="21"/>
    </row>
    <row r="25" spans="1:6" x14ac:dyDescent="0.2">
      <c r="A25" s="21" t="s">
        <v>496</v>
      </c>
      <c r="B25" s="21" t="s">
        <v>453</v>
      </c>
      <c r="C25" s="21"/>
      <c r="D25" s="112" t="e">
        <f>Biology!$D$45</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7"/>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6.315438152323e-05</v>
      </c>
      <c r="E53" s="89" t="s">
        <v>581</v>
      </c>
      <c r="F53" s="21"/>
    </row>
    <row r="54" spans="1:6" ht="24" customHeight="1" x14ac:dyDescent="0.2">
      <c r="A54" s="18" t="s">
        <v>582</v>
      </c>
      <c r="B54" s="19" t="s">
        <v>583</v>
      </c>
      <c r="C54" s="20" t="s">
        <v>307</v>
      </c>
      <c r="D54" s="41">
        <f>IF(d_bubble&lt;d_bubble_min_m,0,kLa_sparge*(V_charge/1000000)*O2_ceil_C*3600)</f>
        <v>0.0007104119250025</v>
      </c>
      <c r="E54" s="57" t="s">
        <v>584</v>
      </c>
      <c r="F54" s="21"/>
    </row>
    <row r="55" spans="1:6" ht="24" customHeight="1" x14ac:dyDescent="0.2">
      <c r="A55" s="86" t="s">
        <v>585</v>
      </c>
      <c r="B55" s="19" t="s">
        <v>586</v>
      </c>
      <c r="C55" s="20" t="s">
        <v>307</v>
      </c>
      <c r="D55" s="41">
        <f>strip_sparge*duty</f>
        <v>1.073379245122e-06</v>
      </c>
      <c r="E55" s="57" t="s">
        <v>587</v>
      </c>
      <c r="F55" s="21"/>
    </row>
    <row r="56" spans="1:6" x14ac:dyDescent="0.2">
      <c r="A56" s="86" t="s">
        <v>588</v>
      </c>
      <c r="B56" s="19" t="s">
        <v>589</v>
      </c>
      <c r="C56" s="20" t="s">
        <v>87</v>
      </c>
      <c r="D56" s="39">
        <f>IF(O2_excess&gt;0,strip_avg/O2_excess,NA())</f>
        <v>0.063509975945</v>
      </c>
      <c r="E56" s="57" t="s">
        <v>590</v>
      </c>
      <c r="F56" s="21"/>
    </row>
    <row r="57" spans="1:6" ht="36" customHeight="1" x14ac:dyDescent="0.2">
      <c r="A57" s="18" t="s">
        <v>591</v>
      </c>
      <c r="B57" s="19" t="s">
        <v>592</v>
      </c>
      <c r="C57" s="20" t="s">
        <v>577</v>
      </c>
      <c r="D57" s="41">
        <f>IF(O2_excess&gt;0,O2_excess/3600/((V_charge/1000000)*O2_ceil_C),NA())</f>
        <v>0.0009944009674574</v>
      </c>
      <c r="E57" s="57" t="s">
        <v>593</v>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IF(O2_excess&gt;0,O2_ceil_C*(V_charge/1000000)/O2_excess*60,"never (source &lt;= 0)")</f>
        <v>16.760509303688</v>
      </c>
      <c r="E65" s="74" t="s">
        <v>2232</v>
      </c>
      <c r="F65" s="21"/>
    </row>
    <row r="66" spans="1:6" ht="24" customHeight="1" x14ac:dyDescent="0.2">
      <c r="A66" s="18" t="s">
        <v>614</v>
      </c>
      <c r="B66" s="19" t="s">
        <v>615</v>
      </c>
      <c r="C66" s="20" t="s">
        <v>61</v>
      </c>
      <c r="D66" s="41">
        <f>IF(O2_excess-strip_avg&gt;0,O2_ceil_C*(V_charge/1000000)/(O2_excess-strip_avg)*60,"never (strip ≥ source)")</f>
        <v>17.897157335559</v>
      </c>
      <c r="E66" s="74" t="s">
        <v>2233</v>
      </c>
      <c r="F66" s="21"/>
    </row>
    <row r="67" spans="1:6" x14ac:dyDescent="0.2">
      <c r="A67" s="18" t="s">
        <v>2234</v>
      </c>
      <c r="B67" s="19" t="s">
        <v>616</v>
      </c>
      <c r="C67" s="20" t="s">
        <v>617</v>
      </c>
      <c r="D67" s="127">
        <f>Summary!$D$7</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s">
        <v>910</v>
      </c>
      <c r="F73" s="21"/>
    </row>
    <row r="74" spans="1:6" ht="24" customHeight="1" x14ac:dyDescent="0.2">
      <c r="A74" s="18" t="s">
        <v>633</v>
      </c>
      <c r="B74" s="19" t="s">
        <v>634</v>
      </c>
      <c r="C74" s="20" t="s">
        <v>87</v>
      </c>
      <c r="D74" s="41">
        <f>IF(O2_excess&gt;0,surf_strip/O2_excess,NA())</f>
        <v>7.683557983646</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7.396218442584</v>
      </c>
      <c r="E77" s="74" t="s">
        <v>2236</v>
      </c>
      <c r="F77" s="21"/>
    </row>
    <row r="78" spans="1:6" ht="26" customHeight="1" x14ac:dyDescent="0.2">
      <c r="A78" s="18" t="s">
        <v>638</v>
      </c>
      <c r="B78" s="19" t="s">
        <v>639</v>
      </c>
      <c r="C78" s="20" t="s">
        <v>87</v>
      </c>
      <c r="D78" s="41">
        <f>IF(O2_excess&gt;0,(strip_avg+surf_strip)/O2_excess,NA())</f>
        <v>7.747067959591</v>
      </c>
      <c r="E78" s="90" t="s">
        <v>640</v>
      </c>
      <c r="F78" s="21"/>
    </row>
    <row r="79" spans="1:6" x14ac:dyDescent="0.2">
      <c r="A79" s="18" t="s">
        <v>641</v>
      </c>
      <c r="B79" s="19" t="s">
        <v>642</v>
      </c>
      <c r="C79" s="20" t="s">
        <v>61</v>
      </c>
      <c r="D79" s="41">
        <f>O2_ceil_C*(V_charge/1000000)/O2_net_gen*60</f>
        <v>5.552944105682</v>
      </c>
      <c r="E79" s="74" t="s">
        <v>643</v>
      </c>
      <c r="F79" s="21"/>
    </row>
    <row r="80" spans="1:6" ht="36" customHeight="1" x14ac:dyDescent="0.2">
      <c r="A80" s="18" t="s">
        <v>644</v>
      </c>
      <c r="B80" s="19" t="s">
        <v>645</v>
      </c>
      <c r="C80" s="20" t="s">
        <v>61</v>
      </c>
      <c r="D80" s="41" t="str">
        <f>IF(O2_net_gen-strip_avg-surf_strip&gt;0,O2_ceil_C*(V_charge/1000000)/(O2_net_gen-strip_avg-surf_strip)*60,"never (removal ≥ source)")</f>
        <v>never (removal ≥ source)</v>
      </c>
      <c r="E80" s="53" t="s">
        <v>2237</v>
      </c>
      <c r="F80" s="21"/>
    </row>
    <row r="81" spans="1:6" ht="24" customHeight="1" x14ac:dyDescent="0.2">
      <c r="A81" s="18" t="s">
        <v>646</v>
      </c>
      <c r="B81" s="19" t="s">
        <v>647</v>
      </c>
      <c r="C81" s="20" t="s">
        <v>111</v>
      </c>
      <c r="D81" s="106" t="s">
        <v>648</v>
      </c>
      <c r="E81" s="52" t="s">
        <v>1030</v>
      </c>
      <c r="F81" s="21"/>
    </row>
    <row r="82" spans="1:6" ht="24" x14ac:dyDescent="0.2">
      <c r="A82" s="18" t="s">
        <v>649</v>
      </c>
      <c r="B82" s="19" t="s">
        <v>650</v>
      </c>
      <c r="C82" s="20" t="s">
        <v>12</v>
      </c>
      <c r="D82" s="106">
        <v>1</v>
      </c>
      <c r="E82" s="52" t="s">
        <v>1031</v>
      </c>
      <c r="F82" s="21"/>
    </row>
    <row r="83" spans="1:6" ht="24" x14ac:dyDescent="0.2">
      <c r="A83" s="18" t="s">
        <v>651</v>
      </c>
      <c r="B83" s="19" t="s">
        <v>652</v>
      </c>
      <c r="C83" s="20" t="s">
        <v>61</v>
      </c>
      <c r="D83" s="106">
        <v>1</v>
      </c>
      <c r="E83" s="52" t="s">
        <v>1032</v>
      </c>
      <c r="F83" s="21"/>
    </row>
    <row r="84" spans="1:6" ht="24" x14ac:dyDescent="0.2">
      <c r="A84" s="18" t="s">
        <v>653</v>
      </c>
      <c r="B84" s="19" t="s">
        <v>654</v>
      </c>
      <c r="C84" s="20" t="s">
        <v>111</v>
      </c>
      <c r="D84" s="128">
        <f>Biology!$D$60</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0.001560654623</v>
      </c>
      <c r="E87" s="74" t="s">
        <v>965</v>
      </c>
      <c r="F87" s="21"/>
    </row>
    <row r="88" spans="1:6" ht="24" customHeight="1" x14ac:dyDescent="0.2">
      <c r="A88" s="18" t="s">
        <v>663</v>
      </c>
      <c r="B88" s="19" t="s">
        <v>664</v>
      </c>
      <c r="C88" s="20" t="s">
        <v>111</v>
      </c>
      <c r="D88" s="41">
        <f>MAX(duty_carbon,duty_O2vent)</f>
        <v>0.001560654623</v>
      </c>
      <c r="E88" s="53" t="s">
        <v>2239</v>
      </c>
      <c r="F88" s="21"/>
    </row>
    <row r="89" spans="1:6" ht="60" x14ac:dyDescent="0.2">
      <c r="A89" s="18" t="s">
        <v>2240</v>
      </c>
      <c r="B89" s="19" t="s">
        <v>665</v>
      </c>
      <c r="C89" s="20" t="s">
        <v>61</v>
      </c>
      <c r="D89" s="41">
        <f>target_DO_frac*O2_ceil_C*(V_charge/1000000)/O2_src_guard*60</f>
        <v>1.255448232589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IF(ISNA(F_vent_ex+O2_src_sched),NA(),IF(ISNUMBER(spg_int_DO),MIN(spg_int_carbon,spg_int_DO),MIN(spg_int_carbon,spg_int_max)))</f>
        <v>7.398866407059</v>
      </c>
      <c r="E91" s="129" t="s">
        <v>2243</v>
      </c>
      <c r="F91" s="21"/>
    </row>
    <row r="92" spans="1:6" x14ac:dyDescent="0.2">
      <c r="A92" s="18" t="s">
        <v>670</v>
      </c>
      <c r="B92" s="19" t="s">
        <v>671</v>
      </c>
      <c r="C92" s="20" t="s">
        <v>12</v>
      </c>
      <c r="D92" s="41">
        <f>spg_int_opt*60</f>
        <v>443.931984423528</v>
      </c>
      <c r="E92" s="129" t="s">
        <v>672</v>
      </c>
      <c r="F92" s="21"/>
    </row>
    <row r="93" spans="1:6" ht="24" x14ac:dyDescent="0.2">
      <c r="A93" s="18" t="s">
        <v>2244</v>
      </c>
      <c r="B93" s="19" t="s">
        <v>673</v>
      </c>
      <c r="C93" s="20" t="s">
        <v>111</v>
      </c>
      <c r="D93" s="41">
        <f>spg_dur_eq_opt/(spg_int_opt*60)</f>
        <v>0.001767191996</v>
      </c>
      <c r="E93" s="74" t="s">
        <v>2245</v>
      </c>
      <c r="F93" s="21"/>
    </row>
    <row r="94" spans="1:6" ht="36" x14ac:dyDescent="0.2">
      <c r="A94" s="18" t="s">
        <v>674</v>
      </c>
      <c r="B94" s="19" t="s">
        <v>675</v>
      </c>
      <c r="C94" s="20" t="s">
        <v>111</v>
      </c>
      <c r="D94" s="41" t="str">
        <f>IF(ISNA(F_vent_ex+O2_src_sched),"INVALID SELECTOR (Summary D111/D112)",IF(NOT(ISNUMBER(spg_int_DO)),"O2-INFEASIBLE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0.0008519434760509</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0.001510925151</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2.270165488391</v>
      </c>
      <c r="E108" s="102" t="s">
        <v>2248</v>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21"/>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21"/>
      <c r="F112" s="21"/>
    </row>
    <row r="113" spans="1:6" x14ac:dyDescent="0.2">
      <c r="A113" s="21" t="s">
        <v>712</v>
      </c>
      <c r="B113" s="21" t="s">
        <v>713</v>
      </c>
      <c r="C113" s="21"/>
      <c r="D113" s="25" t="str">
        <f>IF(DO_at_carbon&lt;=DO_target,"Carbon supply alone holds the DO target – the interval may relax to "&amp;TEXT(spg_int_carbon,"0")&amp;"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Summary!$D$2</f>
        <v>ed04</v>
      </c>
      <c r="E115" s="21"/>
      <c r="F115" s="21"/>
    </row>
    <row r="116" spans="1:6" x14ac:dyDescent="0.2">
      <c r="A116" s="21" t="s">
        <v>715</v>
      </c>
      <c r="B116" s="21" t="s">
        <v>716</v>
      </c>
      <c r="C116" s="21"/>
      <c r="D116" s="131">
        <f>SUMPRODUCT(MAX(('CO2 flows'!$A$4:$A$201=Reactor)*('CO2 flows'!$J$4:$J$201&gt;0)*'CO2 flows'!$B$4:$B$201))</f>
        <v>46190.0</v>
      </c>
      <c r="E116" s="21"/>
      <c r="F116" s="21"/>
    </row>
    <row r="117" spans="1:6" x14ac:dyDescent="0.2">
      <c r="A117" s="21" t="s">
        <v>717</v>
      </c>
      <c r="B117" s="21" t="s">
        <v>718</v>
      </c>
      <c r="C117" s="21" t="s">
        <v>1286</v>
      </c>
      <c r="D117" s="131">
        <f>IF(ISNUMBER(cal_flow),cal_flow,SUMPRODUCT(('CO2 flows'!$A$4:$A$201=Reactor)*('CO2 flows'!$B$4:$B$201=latest_date)*'CO2 flows'!$J$4:$J$201)/MAX(1,SUMPRODUCT(('CO2 flows'!$A$4:$A$201=Reactor)*('CO2 flows'!$B$4:$B$201=latest_date)*('CO2 flows'!$J$4:$J$201&gt;0)*1)))</f>
        <v>3.33</v>
      </c>
      <c r="E117" s="102" t="s">
        <v>2251</v>
      </c>
      <c r="F117" s="21"/>
    </row>
    <row r="118" spans="1:6" x14ac:dyDescent="0.2">
      <c r="A118" s="21" t="s">
        <v>719</v>
      </c>
      <c r="B118" s="21" t="s">
        <v>720</v>
      </c>
      <c r="C118" s="21" t="s">
        <v>12</v>
      </c>
      <c r="D118" s="131">
        <f>IF(ISNUMBER(cal_pulse_floor),cal_pulse_floor,IF(SUMPRODUCT(('CO2 flows'!$A$4:$A$201=Reactor)*('CO2 flows'!$J$4:$J$201&gt;0)*1)&gt;0,SUMPRODUCT(('CO2 flows'!$A$4:$A$201=Reactor)*('CO2 flows'!$B$4:$B$201=latest_date)*'CO2 flows'!$I$4:$I$201)/MAX(1,SUMPRODUCT(('CO2 flows'!$A$4:$A$201=Reactor)*('CO2 flows'!$B$4:$B$201=latest_date)*('CO2 flows'!$J$4:$J$201&gt;0)*1)),pulse_floor_default))</f>
        <v>0.25</v>
      </c>
      <c r="E118" s="102" t="s">
        <v>2252</v>
      </c>
      <c r="F118" s="21"/>
    </row>
    <row r="119" spans="1:6" x14ac:dyDescent="0.2">
      <c r="A119" s="21" t="s">
        <v>721</v>
      </c>
      <c r="B119" s="21" t="s">
        <v>722</v>
      </c>
      <c r="C119" s="21" t="s">
        <v>723</v>
      </c>
      <c r="D119" s="131">
        <f>SUMPRODUCT(('CO2 flows'!$A$4:$A$201=Reactor)*('CO2 flows'!$J$4:$J$201&gt;0)*1)+IF(ISNUMBER(cal_flow),1,0)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1"/>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21"/>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7.17</v>
      </c>
      <c r="E122" s="21"/>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8.36820083682</v>
      </c>
      <c r="E124" s="21"/>
      <c r="F124" s="21"/>
    </row>
    <row r="125" spans="1:6" x14ac:dyDescent="0.2">
      <c r="A125" s="21" t="s">
        <v>736</v>
      </c>
      <c r="B125" s="21" t="s">
        <v>737</v>
      </c>
      <c r="C125" s="21" t="s">
        <v>738</v>
      </c>
      <c r="D125" s="25">
        <f>pulses_h*24</f>
        <v>200.836820083682</v>
      </c>
      <c r="E125" s="21"/>
      <c r="F125" s="21"/>
    </row>
    <row r="126" spans="1:6" x14ac:dyDescent="0.2">
      <c r="A126" s="21" t="s">
        <v>739</v>
      </c>
      <c r="B126" s="21" t="s">
        <v>740</v>
      </c>
      <c r="C126" s="21" t="s">
        <v>87</v>
      </c>
      <c r="D126" s="25">
        <f>IF(CO2_cons&gt;0,CO2_supply/CO2_cons,NA())</f>
        <v>49.950697845996</v>
      </c>
      <c r="E126" s="21"/>
      <c r="F126" s="21"/>
    </row>
    <row r="127" spans="1:6" x14ac:dyDescent="0.2">
      <c r="A127" s="21" t="s">
        <v>741</v>
      </c>
      <c r="B127" s="21" t="s">
        <v>742</v>
      </c>
      <c r="C127" s="21" t="s">
        <v>732</v>
      </c>
      <c r="D127" s="25">
        <f>O2_excess/60*spg_int</f>
        <v>2.019664121784e-06</v>
      </c>
      <c r="E127" s="21"/>
      <c r="F127" s="21"/>
    </row>
    <row r="128" spans="1:6" x14ac:dyDescent="0.2">
      <c r="A128" s="21" t="s">
        <v>743</v>
      </c>
      <c r="B128" s="21" t="s">
        <v>744</v>
      </c>
      <c r="C128" s="21" t="s">
        <v>732</v>
      </c>
      <c r="D128" s="25">
        <f>strip_sparge/3600*spg_dur</f>
        <v>1.282688197921e-07</v>
      </c>
      <c r="E128" s="21"/>
      <c r="F128" s="21"/>
    </row>
    <row r="129" spans="1:6" x14ac:dyDescent="0.2">
      <c r="A129" s="21" t="s">
        <v>745</v>
      </c>
      <c r="B129" s="21" t="s">
        <v>746</v>
      </c>
      <c r="C129" s="21" t="s">
        <v>87</v>
      </c>
      <c r="D129" s="25">
        <f>IF(O2_accum&gt;0,O2_strip_pulse/O2_accum,NA())</f>
        <v>0.063509975945</v>
      </c>
      <c r="E129" s="21"/>
      <c r="F129" s="21"/>
    </row>
    <row r="130" spans="1:6" x14ac:dyDescent="0.2">
      <c r="A130" s="21" t="s">
        <v>747</v>
      </c>
      <c r="B130" s="21" t="s">
        <v>748</v>
      </c>
      <c r="C130" s="21"/>
      <c r="D130" s="25" t="str">
        <f>IF(spg_dur&gt;=pulse_floor,"OK","LOW")</f>
        <v>OK</v>
      </c>
      <c r="E130" s="21"/>
      <c r="F130" s="21"/>
    </row>
    <row r="131" spans="1:6" x14ac:dyDescent="0.2">
      <c r="A131" s="21" t="s">
        <v>2255</v>
      </c>
      <c r="B131" s="21" t="s">
        <v>749</v>
      </c>
      <c r="C131" s="21" t="s">
        <v>85</v>
      </c>
      <c r="D131" s="25">
        <f>kLa_surf_req/a_surf</f>
        <v>0.0001535910347333</v>
      </c>
      <c r="E131" s="117" t="s">
        <v>1637</v>
      </c>
      <c r="F131" s="21"/>
    </row>
    <row r="132" spans="1:6" ht="24" x14ac:dyDescent="0.2">
      <c r="A132" s="18" t="s">
        <v>899</v>
      </c>
      <c r="B132" s="19" t="s">
        <v>900</v>
      </c>
      <c r="C132" s="20" t="s">
        <v>901</v>
      </c>
      <c r="D132" s="25">
        <f>O2_net_gen</f>
        <v>5.101232932065e-05</v>
      </c>
      <c r="E132" s="53" t="s">
        <v>902</v>
      </c>
      <c r="F132" s="21"/>
    </row>
    <row r="133" spans="1:6" ht="36" x14ac:dyDescent="0.2">
      <c r="A133" s="18" t="s">
        <v>1749</v>
      </c>
      <c r="B133" s="19" t="s">
        <v>903</v>
      </c>
      <c r="C133" s="20" t="s">
        <v>904</v>
      </c>
      <c r="D133" s="25">
        <f>DO_avg_sched</f>
        <v>0.070947105706</v>
      </c>
      <c r="E133" s="53" t="s">
        <v>2256</v>
      </c>
      <c r="F133" s="21"/>
    </row>
    <row r="134" spans="1:6" ht="24" x14ac:dyDescent="0.2">
      <c r="A134" s="21" t="s">
        <v>905</v>
      </c>
      <c r="B134" s="21" t="s">
        <v>906</v>
      </c>
      <c r="C134" s="21" t="s">
        <v>907</v>
      </c>
      <c r="D134" s="25" t="str">
        <f>IF(ISNA(F_vent_ex+O2_src_sched),"INVALID SELECTOR (Summary D111/D112)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7.4 min; confirm by measuring kL_surf</v>
      </c>
      <c r="E134" s="53" t="s">
        <v>2257</v>
      </c>
      <c r="F134" s="21"/>
    </row>
    <row r="135" spans="1:6" ht="48" x14ac:dyDescent="0.2">
      <c r="A135" s="21" t="s">
        <v>2258</v>
      </c>
      <c r="B135" s="21" t="s">
        <v>908</v>
      </c>
      <c r="C135" s="21" t="s">
        <v>909</v>
      </c>
      <c r="D135" s="25">
        <f>DO_avg_l</f>
        <v>0.174849986476</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s">
        <v>2261</v>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429.55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0.025562568426</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IF(ISNUMBER(DO_opt),DO_opt/M_O2,target_DO_frac*O2_ceil_C)</f>
        <v>0.071159265207</v>
      </c>
      <c r="E179" s="74" t="s">
        <v>2271</v>
      </c>
    </row>
    <row r="180" spans="1:5" ht="48" x14ac:dyDescent="0.2">
      <c r="A180" t="s">
        <v>1616</v>
      </c>
      <c r="B180" s="19" t="s">
        <v>1617</v>
      </c>
      <c r="C180" s="20" t="s">
        <v>909</v>
      </c>
      <c r="D180" s="111">
        <f>O2_src_sched/(kLa_surf_used*3600*(V_charge/1000000))</f>
        <v>0.04096317155</v>
      </c>
      <c r="E180" s="51" t="s">
        <v>2272</v>
      </c>
    </row>
    <row r="181" spans="1:5" ht="24" x14ac:dyDescent="0.2">
      <c r="A181" t="s">
        <v>1618</v>
      </c>
      <c r="B181" s="19" t="s">
        <v>1619</v>
      </c>
      <c r="C181" s="20" t="s">
        <v>909</v>
      </c>
      <c r="D181" s="111">
        <f>O2_src_l/(kLa_surf_used*3600*(V_charge/1000000))</f>
        <v>0.116353217804</v>
      </c>
      <c r="E181" s="51" t="s">
        <v>2273</v>
      </c>
    </row>
    <row r="182" spans="1:5" ht="36" x14ac:dyDescent="0.2">
      <c r="A182" t="s">
        <v>1620</v>
      </c>
      <c r="B182" s="19" t="s">
        <v>1621</v>
      </c>
      <c r="C182" s="20" t="s">
        <v>909</v>
      </c>
      <c r="D182" s="111">
        <f>DO_target-DO_surf_excess</f>
        <v>0.030196093657</v>
      </c>
      <c r="E182" s="51" t="s">
        <v>1622</v>
      </c>
    </row>
    <row r="183" spans="1:5" ht="24" x14ac:dyDescent="0.2">
      <c r="A183" t="s">
        <v>1623</v>
      </c>
      <c r="B183" s="19" t="s">
        <v>1624</v>
      </c>
      <c r="C183" s="20" t="s">
        <v>1140</v>
      </c>
      <c r="D183" s="111">
        <f>IF(hs_O2_allow&gt;0,hs_O2_allow/(H_O2_T*P_dry),NA())</f>
        <v>0.030037623146</v>
      </c>
      <c r="E183" s="51" t="s">
        <v>1625</v>
      </c>
    </row>
    <row r="184" spans="1:5" ht="60" x14ac:dyDescent="0.2">
      <c r="A184" t="s">
        <v>1626</v>
      </c>
      <c r="B184" s="19" t="s">
        <v>1627</v>
      </c>
      <c r="C184" s="20" t="s">
        <v>1140</v>
      </c>
      <c r="D184" s="111">
        <f>IF(ISNUMBER(y_O2_star),MAX(0,((O2_src_sched+y_O2_air*F_vent_ex)*saw_factor/y_O2_star-F_vent_ex-O2_src_sched-H2_src_sched+CO2_fix_sched)/CO2_rate_full),NA())</f>
        <v>0.001767191996</v>
      </c>
      <c r="E184" s="51" t="s">
        <v>2274</v>
      </c>
    </row>
    <row r="185" spans="1:5" ht="24" x14ac:dyDescent="0.2">
      <c r="A185" t="s">
        <v>1628</v>
      </c>
      <c r="B185" s="19" t="s">
        <v>1629</v>
      </c>
      <c r="C185" s="20" t="s">
        <v>873</v>
      </c>
      <c r="D185" s="111">
        <f>IF(ISNUMBER(duty_DO),IF(duty_DO&gt;0,spg_dur_eq_opt/(60*duty_DO),spg_int_carbon),NA())</f>
        <v>7.398866407059</v>
      </c>
      <c r="E185" s="51" t="s">
        <v>1630</v>
      </c>
    </row>
    <row r="186" spans="1:5" ht="48" x14ac:dyDescent="0.2">
      <c r="A186" t="s">
        <v>1631</v>
      </c>
      <c r="B186" s="19" t="s">
        <v>1632</v>
      </c>
      <c r="C186" s="20" t="s">
        <v>577</v>
      </c>
      <c r="D186" s="111">
        <f>O2_src_sched/(DO_target*3600*(V_charge/1000000))</f>
        <v>0.004398311971</v>
      </c>
      <c r="E186" s="51" t="s">
        <v>2275</v>
      </c>
    </row>
    <row r="187" spans="1:5" ht="36" x14ac:dyDescent="0.2">
      <c r="A187" t="s">
        <v>1633</v>
      </c>
      <c r="B187" s="19" t="s">
        <v>1634</v>
      </c>
      <c r="C187" s="20" t="s">
        <v>1140</v>
      </c>
      <c r="D187" s="111">
        <f>IF(O2_sizing_phase=phase_name_1,y_O2_mf_g,IF(O2_sizing_phase=phase_name_2,y_O2_mf_l,NA()))</f>
        <v>0.027569266375</v>
      </c>
      <c r="E187" s="51" t="s">
        <v>2276</v>
      </c>
    </row>
    <row r="188" spans="1:5" ht="36" x14ac:dyDescent="0.2">
      <c r="A188" t="s">
        <v>1635</v>
      </c>
      <c r="B188" s="19" t="s">
        <v>1636</v>
      </c>
      <c r="C188" s="20" t="s">
        <v>909</v>
      </c>
      <c r="D188" s="111">
        <f>IF(ISNUMBER(y_O2_actual),H_O2_T*y_O2_actual*P_dry,NA())</f>
        <v>0.027714714491</v>
      </c>
      <c r="E188" s="51" t="s">
        <v>2277</v>
      </c>
    </row>
    <row r="190" spans="1:5" x14ac:dyDescent="0.2">
      <c r="A190" s="6" t="s">
        <v>2278</v>
      </c>
    </row>
    <row r="191" spans="1:5" x14ac:dyDescent="0.2">
      <c r="A191" t="s">
        <v>1639</v>
      </c>
      <c r="B191" s="19" t="s">
        <v>1640</v>
      </c>
      <c r="C191" s="20" t="s">
        <v>387</v>
      </c>
      <c r="D191" s="111">
        <f>Biology!$D$31</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0.993781961475</v>
      </c>
      <c r="E197" s="74" t="s">
        <v>1654</v>
      </c>
    </row>
    <row r="198" spans="1:5" ht="36" x14ac:dyDescent="0.2">
      <c r="A198" t="s">
        <v>1655</v>
      </c>
      <c r="B198" s="19" t="s">
        <v>1656</v>
      </c>
      <c r="C198" s="20" t="s">
        <v>909</v>
      </c>
      <c r="D198" s="111">
        <f>(pool_D_gap+pool_b*pool_e)/(1-pool_ret*pool_e)</f>
        <v>25.441759810194</v>
      </c>
      <c r="E198" s="74" t="s">
        <v>2284</v>
      </c>
    </row>
    <row r="199" spans="1:5" ht="24" x14ac:dyDescent="0.2">
      <c r="A199" t="s">
        <v>1657</v>
      </c>
      <c r="B199" s="19" t="s">
        <v>1658</v>
      </c>
      <c r="C199" s="20" t="s">
        <v>909</v>
      </c>
      <c r="D199" s="111">
        <f>pool_ret*C_cycle_start+pool_b</f>
        <v>25.683628481892</v>
      </c>
      <c r="E199" s="74" t="s">
        <v>2285</v>
      </c>
    </row>
    <row r="200" spans="1:5" ht="36" x14ac:dyDescent="0.2">
      <c r="A200" t="s">
        <v>1659</v>
      </c>
      <c r="B200" s="19" t="s">
        <v>1660</v>
      </c>
      <c r="C200" s="20" t="s">
        <v>909</v>
      </c>
      <c r="D200" s="111">
        <f>C_cycle_peak*pool_phi+pool_D_raw*pool_psi</f>
        <v>25.562568425791</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Biology!$D$23</f>
        <v>298.15</v>
      </c>
      <c r="E209" s="140" t="s">
        <v>1988</v>
      </c>
    </row>
    <row r="210" spans="1:5" x14ac:dyDescent="0.2">
      <c r="A210" s="21" t="s">
        <v>2288</v>
      </c>
      <c r="B210" s="21" t="s">
        <v>2122</v>
      </c>
      <c r="C210" s="21" t="s">
        <v>262</v>
      </c>
      <c r="D210" s="112">
        <f>Biology!$D$66</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IF(F_vent_ex+CO2_rate_full*duty_carbon+O2_src_sched+H2_src_sched-CO2_fix_sched&gt;0,DO_surf_excess+H_O2_T*P_dry*MIN(1,saw_factor*(O2_src_sched+y_O2_air*F_vent_ex)/(F_vent_ex+CO2_rate_full*duty_carbon+O2_src_sched+H2_src_sched-CO2_fix_sched)),DO_surf_excess+H_O2_T*P_dry)</f>
        <v>0.423131676776</v>
      </c>
      <c r="E232" s="74" t="s">
        <v>2311</v>
      </c>
    </row>
    <row r="240" spans="1:5" x14ac:dyDescent="0.2">
      <c r="A240" s="6" t="s">
        <v>2312</v>
      </c>
    </row>
    <row r="241" spans="1:5" ht="24" x14ac:dyDescent="0.2">
      <c r="A241" t="s">
        <v>2313</v>
      </c>
      <c r="B241" s="19" t="s">
        <v>2314</v>
      </c>
      <c r="C241" s="20" t="s">
        <v>12</v>
      </c>
      <c r="D241" s="116">
        <v>0.05</v>
      </c>
      <c r="E241" s="52" t="s">
        <v>2315</v>
      </c>
    </row>
    <row r="242" spans="1:5" x14ac:dyDescent="0.2">
      <c r="A242" t="s">
        <v>2316</v>
      </c>
      <c r="B242" s="19" t="s">
        <v>2317</v>
      </c>
      <c r="C242" s="20" t="s">
        <v>12</v>
      </c>
      <c r="D242" s="111">
        <f>MAX(pulse_floor,MROUND(spg_dur_opt,pulse_res))</f>
        <v>0.65</v>
      </c>
      <c r="E242" s="51" t="s">
        <v>2318</v>
      </c>
    </row>
    <row r="300" spans="1:5" x14ac:dyDescent="0.2">
      <c r="A300" s="6" t="s">
        <v>2319</v>
      </c>
    </row>
    <row r="301" spans="1:5" x14ac:dyDescent="0.2">
      <c r="A301" s="21" t="s">
        <v>2320</v>
      </c>
      <c r="B301" s="21" t="s">
        <v>2321</v>
      </c>
      <c r="C301" s="21" t="s">
        <v>111</v>
      </c>
      <c r="D301" s="104" t="str">
        <f>Summary!$D$111</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Summary!$D$112</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1.6900954994e-05</v>
      </c>
      <c r="E309" s="51" t="s">
        <v>2349</v>
      </c>
    </row>
    <row r="310" spans="1:5" ht="36" x14ac:dyDescent="0.2">
      <c r="A310" s="18" t="s">
        <v>2350</v>
      </c>
      <c r="B310" s="19" t="s">
        <v>2351</v>
      </c>
      <c r="C310" s="20" t="s">
        <v>307</v>
      </c>
      <c r="D310" s="41">
        <f>O2_net_lag_mt</f>
        <v>4.800606064204e-05</v>
      </c>
      <c r="E310" s="51" t="s">
        <v>2352</v>
      </c>
    </row>
    <row r="311" spans="1:5" x14ac:dyDescent="0.2">
      <c r="A311" s="21" t="s">
        <v>351</v>
      </c>
      <c r="B311" s="21" t="s">
        <v>306</v>
      </c>
      <c r="C311" s="21" t="s">
        <v>307</v>
      </c>
      <c r="D311" s="112">
        <f>Electrochemistry!$D$21</f>
        <v>0.0001023341229799</v>
      </c>
      <c r="E311" s="140" t="s">
        <v>2353</v>
      </c>
    </row>
    <row r="312" spans="1:5" x14ac:dyDescent="0.2">
      <c r="A312" s="21" t="s">
        <v>2354</v>
      </c>
      <c r="B312" s="21" t="s">
        <v>365</v>
      </c>
      <c r="C312" s="21" t="s">
        <v>307</v>
      </c>
      <c r="D312" s="112">
        <f>Biology!$D$13</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1.6900954994e-05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s">
        <v>2377</v>
      </c>
      <c r="B320" s="19" t="s">
        <v>2378</v>
      </c>
      <c r="C320" s="20" t="s">
        <v>111</v>
      </c>
      <c r="D320" s="41">
        <f>nCO2_rate*spg_dur_eq_opt/n_hs_gas</f>
        <v>1.043637061112</v>
      </c>
      <c r="E320" s="51" t="s">
        <v>2379</v>
      </c>
    </row>
    <row r="321" spans="1:5" ht="36" x14ac:dyDescent="0.2">
      <c r="A321" s="18" t="s">
        <v>2380</v>
      </c>
      <c r="B321" s="19" t="s">
        <v>2381</v>
      </c>
      <c r="C321" s="20" t="s">
        <v>111</v>
      </c>
      <c r="D321" s="41">
        <f>EXP(-flush_vol_opt)</f>
        <v>0.352171480635</v>
      </c>
      <c r="E321" s="52" t="s">
        <v>2382</v>
      </c>
    </row>
    <row r="322" spans="1:5" ht="60" x14ac:dyDescent="0.2">
      <c r="A322" s="18" t="s">
        <v>2383</v>
      </c>
      <c r="B322" s="19" t="s">
        <v>2384</v>
      </c>
      <c r="C322" s="20" t="s">
        <v>111</v>
      </c>
      <c r="D322" s="41">
        <f>flush_vol_opt*(1+flush_ret_opt)/(2*(1-flush_ret_opt))</f>
        <v>1.089158803594</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0.119319444444</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2.448064408024e-05</v>
      </c>
      <c r="E327" s="51" t="s">
        <v>2400</v>
      </c>
    </row>
    <row r="328" spans="1:5" ht="24" x14ac:dyDescent="0.2">
      <c r="A328" s="18" t="s">
        <v>2401</v>
      </c>
      <c r="B328" s="19" t="s">
        <v>2402</v>
      </c>
      <c r="C328" s="20" t="s">
        <v>307</v>
      </c>
      <c r="D328" s="41">
        <f>CO2_supply+O2_src_g+H2_src_g-CO2_fix_g</f>
        <v>0.0008517887438816</v>
      </c>
      <c r="E328" s="51" t="s">
        <v>2403</v>
      </c>
    </row>
    <row r="329" spans="1:5" ht="36" x14ac:dyDescent="0.2">
      <c r="A329" s="18" t="s">
        <v>2404</v>
      </c>
      <c r="B329" s="19" t="s">
        <v>2405</v>
      </c>
      <c r="C329" s="20" t="s">
        <v>111</v>
      </c>
      <c r="D329" s="41">
        <f>IF(F_vent_ex+F_hs_net_g&gt;0,S_O2_g/(F_vent_ex+F_hs_net_g),NA())</f>
        <v>0.027569266375</v>
      </c>
      <c r="E329" s="51" t="s">
        <v>2406</v>
      </c>
    </row>
    <row r="330" spans="1:5" x14ac:dyDescent="0.2">
      <c r="A330" s="18" t="s">
        <v>2407</v>
      </c>
      <c r="B330" s="19" t="s">
        <v>2408</v>
      </c>
      <c r="C330" s="20" t="s">
        <v>111</v>
      </c>
      <c r="D330" s="41">
        <f>IF(F_vent_ex+F_hs_net_g&gt;0,H2_src_g/(F_vent_ex+F_hs_net_g),NA())</f>
        <v>0.0</v>
      </c>
      <c r="E330" s="51" t="s">
        <v>2409</v>
      </c>
    </row>
    <row r="331" spans="1:5" ht="36" x14ac:dyDescent="0.2">
      <c r="A331" s="18" t="s">
        <v>2410</v>
      </c>
      <c r="B331" s="19" t="s">
        <v>2411</v>
      </c>
      <c r="C331" s="20" t="s">
        <v>307</v>
      </c>
      <c r="D331" s="41">
        <f>F_vent_ex+MAX(0,O2_src_g+H2_src_g-CO2_fix_g)</f>
        <v>3.617990017297e-05</v>
      </c>
      <c r="E331" s="51" t="s">
        <v>2412</v>
      </c>
    </row>
    <row r="332" spans="1:5" x14ac:dyDescent="0.2">
      <c r="A332" s="18" t="s">
        <v>2413</v>
      </c>
      <c r="B332" s="19" t="s">
        <v>2414</v>
      </c>
      <c r="C332" s="20" t="s">
        <v>111</v>
      </c>
      <c r="D332" s="41">
        <f>F_gap_g*t_gap_h/n_hs_gas</f>
        <v>0.042900150872</v>
      </c>
      <c r="E332" s="51" t="s">
        <v>2415</v>
      </c>
    </row>
    <row r="333" spans="1:5" x14ac:dyDescent="0.2">
      <c r="A333" s="18" t="s">
        <v>2416</v>
      </c>
      <c r="B333" s="19" t="s">
        <v>2417</v>
      </c>
      <c r="C333" s="20" t="s">
        <v>111</v>
      </c>
      <c r="D333" s="41">
        <f>IF(x_hs_g&gt;0,(1-EXP(-x_hs_g))/x_hs_g,1)</f>
        <v>0.97885339998</v>
      </c>
      <c r="E333" s="51" t="s">
        <v>2418</v>
      </c>
    </row>
    <row r="334" spans="1:5" x14ac:dyDescent="0.2">
      <c r="A334" s="18" t="s">
        <v>2419</v>
      </c>
      <c r="B334" s="19" t="s">
        <v>2420</v>
      </c>
      <c r="C334" s="20" t="s">
        <v>111</v>
      </c>
      <c r="D334" s="41">
        <f>IF(x_hs_g&gt;0,(x_hs_g-1+EXP(-x_hs_g))/x_hs_g^2,1/2)</f>
        <v>0.492926005866</v>
      </c>
      <c r="E334" s="51" t="s">
        <v>2421</v>
      </c>
    </row>
    <row r="335" spans="1:5" x14ac:dyDescent="0.2">
      <c r="A335" s="18" t="s">
        <v>2422</v>
      </c>
      <c r="B335" s="19" t="s">
        <v>2423</v>
      </c>
      <c r="C335" s="20" t="s">
        <v>111</v>
      </c>
      <c r="D335" s="41">
        <f>S_O2_g*t_gap_h/n_hs_gas</f>
        <v>0.02902781156</v>
      </c>
      <c r="E335" s="51" t="s">
        <v>2424</v>
      </c>
    </row>
    <row r="336" spans="1:5" ht="24" x14ac:dyDescent="0.2">
      <c r="A336" s="18" t="s">
        <v>2425</v>
      </c>
      <c r="B336" s="19" t="s">
        <v>2426</v>
      </c>
      <c r="C336" s="20" t="s">
        <v>111</v>
      </c>
      <c r="D336" s="41">
        <f>dy_O2_g*phi_hs_g/(1-flush_ret*EXP(-x_hs_g))</f>
        <v>0.043601503232</v>
      </c>
      <c r="E336" s="52" t="s">
        <v>2427</v>
      </c>
    </row>
    <row r="337" spans="1:5" x14ac:dyDescent="0.2">
      <c r="A337" s="18" t="s">
        <v>2428</v>
      </c>
      <c r="B337" s="19" t="s">
        <v>2429</v>
      </c>
      <c r="C337" s="20" t="s">
        <v>111</v>
      </c>
      <c r="D337" s="41">
        <f>y_O2_end_g*flush_ret</f>
        <v>0.015853256328</v>
      </c>
      <c r="E337" s="52" t="s">
        <v>2430</v>
      </c>
    </row>
    <row r="338" spans="1:5" x14ac:dyDescent="0.2">
      <c r="A338" s="18" t="s">
        <v>2431</v>
      </c>
      <c r="B338" s="19" t="s">
        <v>2432</v>
      </c>
      <c r="C338" s="20" t="s">
        <v>111</v>
      </c>
      <c r="D338" s="41">
        <f>y_O2_post_g*phi_hs_g+dy_O2_g*psi_hs_g</f>
        <v>0.029826577069</v>
      </c>
      <c r="E338" s="52" t="s">
        <v>2433</v>
      </c>
    </row>
    <row r="339" spans="1:5" x14ac:dyDescent="0.2">
      <c r="A339" s="18" t="s">
        <v>2434</v>
      </c>
      <c r="B339" s="19" t="s">
        <v>2435</v>
      </c>
      <c r="C339" s="20" t="s">
        <v>406</v>
      </c>
      <c r="D339" s="41">
        <f>O2_src_g/(kLa_surf_used*3600*V_L_m3)</f>
        <v>0.04096317155</v>
      </c>
      <c r="E339" s="51" t="s">
        <v>2436</v>
      </c>
    </row>
    <row r="340" spans="1:5" ht="24" x14ac:dyDescent="0.2">
      <c r="A340" s="18" t="s">
        <v>2437</v>
      </c>
      <c r="B340" s="19" t="s">
        <v>2438</v>
      </c>
      <c r="C340" s="20" t="s">
        <v>406</v>
      </c>
      <c r="D340" s="41">
        <f>DO_surf_excess_g+H_O2_T*P_dry*y_O2_mf_g</f>
        <v>0.068677886041</v>
      </c>
      <c r="E340" s="51" t="s">
        <v>2439</v>
      </c>
    </row>
    <row r="341" spans="1:5" ht="24" x14ac:dyDescent="0.2">
      <c r="A341" s="18" t="s">
        <v>2440</v>
      </c>
      <c r="B341" s="19" t="s">
        <v>2441</v>
      </c>
      <c r="C341" s="20" t="s">
        <v>406</v>
      </c>
      <c r="D341" s="41">
        <f>DO_surf_excess_g+H_O2_T*P_dry*y_O2_avg_g</f>
        <v>0.070947105706</v>
      </c>
      <c r="E341" s="52" t="s">
        <v>2442</v>
      </c>
    </row>
    <row r="342" spans="1:5" ht="36" x14ac:dyDescent="0.2">
      <c r="A342" s="18" t="s">
        <v>2443</v>
      </c>
      <c r="B342" s="19" t="s">
        <v>2444</v>
      </c>
      <c r="C342" s="20" t="s">
        <v>406</v>
      </c>
      <c r="D342" s="41">
        <f>DO_surf_excess_g+H_O2_T*P_dry*MAX(y_O2_avg_g,y_O2_end_g-(S_O2_g-F_gap_g*y_O2_end_g)/n_hs_gas*tau_L_h)</f>
        <v>0.076476412694</v>
      </c>
      <c r="E342" s="52" t="s">
        <v>2445</v>
      </c>
    </row>
    <row r="343" spans="1:5" x14ac:dyDescent="0.2">
      <c r="A343" s="18" t="s">
        <v>2446</v>
      </c>
      <c r="B343" s="19" t="s">
        <v>2447</v>
      </c>
      <c r="C343" s="20" t="s">
        <v>83</v>
      </c>
      <c r="D343" s="41">
        <f>DO_avg_g*M_O2</f>
        <v>2.270165488391</v>
      </c>
      <c r="E343" s="52" t="s">
        <v>2448</v>
      </c>
    </row>
    <row r="344" spans="1:5" x14ac:dyDescent="0.2">
      <c r="A344" s="18" t="s">
        <v>2449</v>
      </c>
      <c r="B344" s="19" t="s">
        <v>2450</v>
      </c>
      <c r="C344" s="20" t="s">
        <v>83</v>
      </c>
      <c r="D344" s="41">
        <f>DO_peak_g*M_O2</f>
        <v>2.447092253397</v>
      </c>
      <c r="E344" s="52" t="s">
        <v>2448</v>
      </c>
    </row>
    <row r="345" spans="1:5" x14ac:dyDescent="0.2">
      <c r="A345" s="18" t="s">
        <v>2451</v>
      </c>
      <c r="B345" s="19" t="s">
        <v>2452</v>
      </c>
      <c r="C345" s="20" t="s">
        <v>577</v>
      </c>
      <c r="D345" s="41">
        <f>O2_src_g/(DO_target*3600*V_L_m3)</f>
        <v>0.004398311971</v>
      </c>
      <c r="E345" s="51" t="s">
        <v>2453</v>
      </c>
    </row>
    <row r="346" spans="1:5" x14ac:dyDescent="0.2">
      <c r="A346" s="18" t="s">
        <v>2454</v>
      </c>
      <c r="B346" s="19" t="s">
        <v>2455</v>
      </c>
      <c r="C346" s="20" t="s">
        <v>87</v>
      </c>
      <c r="D346" s="111">
        <f>IF(kLa_surf_req_g&gt;0,kLa_surf_used/kLa_surf_req_g,"no positive source")</f>
        <v>1.737152239781</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1.74×</v>
      </c>
      <c r="E347" s="51" t="s">
        <v>2458</v>
      </c>
    </row>
    <row r="348" spans="1:5" ht="24" x14ac:dyDescent="0.2">
      <c r="A348" s="21" t="s">
        <v>2459</v>
      </c>
      <c r="B348" s="19" t="s">
        <v>2460</v>
      </c>
      <c r="C348" s="20" t="s">
        <v>111</v>
      </c>
      <c r="D348" s="25" t="str">
        <f>IF(DO_peak_g&lt;=O2_ceil_C,"peak "&amp;TEXT(DO_peak_g_mgL,"0.0")&amp;" mg/L under the "&amp;TEXT(O2_ceil_C*M_O2,"0.0")&amp;" mg/L ceiling","PEAK "&amp;TEXT(DO_peak_g_mgL,"0.0")&amp;" mg/L OVER THE "&amp;TEXT(O2_ceil_C*M_O2,"0.0")&amp;" mg/L INHIBITION CEILING")</f>
        <v>peak 2.4 mg/L under the 10.1 mg/L ceiling</v>
      </c>
      <c r="E348" s="51" t="s">
        <v>2461</v>
      </c>
    </row>
    <row r="349" spans="1:5" ht="24" x14ac:dyDescent="0.2">
      <c r="A349" s="18" t="s">
        <v>2462</v>
      </c>
      <c r="B349" s="19" t="s">
        <v>2463</v>
      </c>
      <c r="C349" s="20" t="s">
        <v>307</v>
      </c>
      <c r="D349" s="41">
        <f>O2_src_l+y_O2_air*F_vent_ex</f>
        <v>5.558574972828e-05</v>
      </c>
      <c r="E349" s="51" t="s">
        <v>2400</v>
      </c>
    </row>
    <row r="350" spans="1:5" ht="24" x14ac:dyDescent="0.2">
      <c r="A350" s="18" t="s">
        <v>2464</v>
      </c>
      <c r="B350" s="19" t="s">
        <v>2465</v>
      </c>
      <c r="C350" s="20" t="s">
        <v>307</v>
      </c>
      <c r="D350" s="41">
        <f>CO2_supply+O2_src_l+H2_src_l-CO2_fix_l</f>
        <v>0.0009967220626175</v>
      </c>
      <c r="E350" s="51" t="s">
        <v>2403</v>
      </c>
    </row>
    <row r="351" spans="1:5" ht="36" x14ac:dyDescent="0.2">
      <c r="A351" s="18" t="s">
        <v>2466</v>
      </c>
      <c r="B351" s="19" t="s">
        <v>2467</v>
      </c>
      <c r="C351" s="20" t="s">
        <v>111</v>
      </c>
      <c r="D351" s="41">
        <f>IF(F_vent_ex+F_hs_net_l&gt;0,S_O2_l/(F_vent_ex+F_hs_net_l),NA())</f>
        <v>0.053815126441</v>
      </c>
      <c r="E351" s="51" t="s">
        <v>2406</v>
      </c>
    </row>
    <row r="352" spans="1:5" x14ac:dyDescent="0.2">
      <c r="A352" s="18" t="s">
        <v>2468</v>
      </c>
      <c r="B352" s="19" t="s">
        <v>2469</v>
      </c>
      <c r="C352" s="20" t="s">
        <v>111</v>
      </c>
      <c r="D352" s="41">
        <f>IF(F_vent_ex+F_hs_net_l&gt;0,H2_src_l/(F_vent_ex+F_hs_net_l),NA())</f>
        <v>0.093689942909</v>
      </c>
      <c r="E352" s="51" t="s">
        <v>2409</v>
      </c>
    </row>
    <row r="353" spans="1:5" ht="36" x14ac:dyDescent="0.2">
      <c r="A353" s="18" t="s">
        <v>2470</v>
      </c>
      <c r="B353" s="19" t="s">
        <v>2471</v>
      </c>
      <c r="C353" s="20" t="s">
        <v>307</v>
      </c>
      <c r="D353" s="41">
        <f>F_vent_ex+MAX(0,O2_src_l+H2_src_l-CO2_fix_l)</f>
        <v>0.0001809584867395</v>
      </c>
      <c r="E353" s="51" t="s">
        <v>2412</v>
      </c>
    </row>
    <row r="354" spans="1:5" x14ac:dyDescent="0.2">
      <c r="A354" s="18" t="s">
        <v>2472</v>
      </c>
      <c r="B354" s="19" t="s">
        <v>2473</v>
      </c>
      <c r="C354" s="20" t="s">
        <v>111</v>
      </c>
      <c r="D354" s="41">
        <f>F_gap_l*t_gap_h/n_hs_gas</f>
        <v>0.214570696589</v>
      </c>
      <c r="E354" s="51" t="s">
        <v>2415</v>
      </c>
    </row>
    <row r="355" spans="1:5" x14ac:dyDescent="0.2">
      <c r="A355" s="18" t="s">
        <v>2474</v>
      </c>
      <c r="B355" s="19" t="s">
        <v>2475</v>
      </c>
      <c r="C355" s="20" t="s">
        <v>111</v>
      </c>
      <c r="D355" s="41">
        <f>IF(x_hs_l&gt;0,(1-EXP(-x_hs_l))/x_hs_l,1)</f>
        <v>0.899993510611</v>
      </c>
      <c r="E355" s="51" t="s">
        <v>2418</v>
      </c>
    </row>
    <row r="356" spans="1:5" x14ac:dyDescent="0.2">
      <c r="A356" s="18" t="s">
        <v>2476</v>
      </c>
      <c r="B356" s="19" t="s">
        <v>2477</v>
      </c>
      <c r="C356" s="20" t="s">
        <v>111</v>
      </c>
      <c r="D356" s="41">
        <f>IF(x_hs_l&gt;0,(x_hs_l-1+EXP(-x_hs_l))/x_hs_l^2,1/2)</f>
        <v>0.466077106423</v>
      </c>
      <c r="E356" s="51" t="s">
        <v>2421</v>
      </c>
    </row>
    <row r="357" spans="1:5" x14ac:dyDescent="0.2">
      <c r="A357" s="18" t="s">
        <v>2478</v>
      </c>
      <c r="B357" s="19" t="s">
        <v>2479</v>
      </c>
      <c r="C357" s="20" t="s">
        <v>111</v>
      </c>
      <c r="D357" s="41">
        <f>S_O2_l*t_gap_h/n_hs_gas</f>
        <v>0.065910548074</v>
      </c>
      <c r="E357" s="51" t="s">
        <v>2424</v>
      </c>
    </row>
    <row r="358" spans="1:5" ht="24" x14ac:dyDescent="0.2">
      <c r="A358" s="18" t="s">
        <v>2480</v>
      </c>
      <c r="B358" s="19" t="s">
        <v>2481</v>
      </c>
      <c r="C358" s="20" t="s">
        <v>111</v>
      </c>
      <c r="D358" s="41">
        <f>dy_O2_l*phi_hs_l/(1-flush_ret*EXP(-x_hs_l))</f>
        <v>0.083947589143</v>
      </c>
      <c r="E358" s="52" t="s">
        <v>2427</v>
      </c>
    </row>
    <row r="359" spans="1:5" x14ac:dyDescent="0.2">
      <c r="A359" s="18" t="s">
        <v>2482</v>
      </c>
      <c r="B359" s="19" t="s">
        <v>2483</v>
      </c>
      <c r="C359" s="20" t="s">
        <v>111</v>
      </c>
      <c r="D359" s="41">
        <f>y_O2_end_l*flush_ret</f>
        <v>0.030522861603</v>
      </c>
      <c r="E359" s="52" t="s">
        <v>2430</v>
      </c>
    </row>
    <row r="360" spans="1:5" x14ac:dyDescent="0.2">
      <c r="A360" s="18" t="s">
        <v>2484</v>
      </c>
      <c r="B360" s="19" t="s">
        <v>2485</v>
      </c>
      <c r="C360" s="20" t="s">
        <v>111</v>
      </c>
      <c r="D360" s="41">
        <f>y_O2_post_l*phi_hs_l+dy_O2_l*psi_hs_l</f>
        <v>0.058189774897</v>
      </c>
      <c r="E360" s="52" t="s">
        <v>2433</v>
      </c>
    </row>
    <row r="361" spans="1:5" ht="24" x14ac:dyDescent="0.2">
      <c r="A361" s="18" t="s">
        <v>2486</v>
      </c>
      <c r="B361" s="19" t="s">
        <v>2487</v>
      </c>
      <c r="C361" s="20" t="s">
        <v>406</v>
      </c>
      <c r="D361" s="41">
        <f>DO_surf_excess_lag+H_O2_T*P_dry*y_O2_mf_l</f>
        <v>0.170452258538</v>
      </c>
      <c r="E361" s="51" t="s">
        <v>2439</v>
      </c>
    </row>
    <row r="362" spans="1:5" ht="24" x14ac:dyDescent="0.2">
      <c r="A362" s="18" t="s">
        <v>2488</v>
      </c>
      <c r="B362" s="19" t="s">
        <v>2489</v>
      </c>
      <c r="C362" s="20" t="s">
        <v>406</v>
      </c>
      <c r="D362" s="41">
        <f>DO_surf_excess_lag+H_O2_T*P_dry*y_O2_avg_l</f>
        <v>0.174849986476</v>
      </c>
      <c r="E362" s="52" t="s">
        <v>2442</v>
      </c>
    </row>
    <row r="363" spans="1:5" ht="36" x14ac:dyDescent="0.2">
      <c r="A363" s="18" t="s">
        <v>2490</v>
      </c>
      <c r="B363" s="19" t="s">
        <v>2491</v>
      </c>
      <c r="C363" s="20" t="s">
        <v>406</v>
      </c>
      <c r="D363" s="41">
        <f>DO_surf_excess_lag+H_O2_T*P_dry*MAX(y_O2_avg_l,y_O2_end_l-(S_O2_l-F_gap_l*y_O2_end_l)/n_hs_gas*tau_L_h)</f>
        <v>0.186072559802</v>
      </c>
      <c r="E363" s="52" t="s">
        <v>2445</v>
      </c>
    </row>
    <row r="364" spans="1:5" x14ac:dyDescent="0.2">
      <c r="A364" s="18" t="s">
        <v>2492</v>
      </c>
      <c r="B364" s="19" t="s">
        <v>2493</v>
      </c>
      <c r="C364" s="20" t="s">
        <v>83</v>
      </c>
      <c r="D364" s="41">
        <f>DO_avg_l*M_O2</f>
        <v>5.594849867262</v>
      </c>
      <c r="E364" s="52" t="s">
        <v>2448</v>
      </c>
    </row>
    <row r="365" spans="1:5" x14ac:dyDescent="0.2">
      <c r="A365" s="18" t="s">
        <v>2494</v>
      </c>
      <c r="B365" s="19" t="s">
        <v>2495</v>
      </c>
      <c r="C365" s="20" t="s">
        <v>83</v>
      </c>
      <c r="D365" s="41">
        <f>DO_peak_l*M_O2</f>
        <v>5.953949768528</v>
      </c>
      <c r="E365" s="52" t="s">
        <v>2448</v>
      </c>
    </row>
    <row r="366" spans="1:5" x14ac:dyDescent="0.2">
      <c r="A366" s="18" t="s">
        <v>2496</v>
      </c>
      <c r="B366" s="19" t="s">
        <v>2497</v>
      </c>
      <c r="C366" s="20" t="s">
        <v>577</v>
      </c>
      <c r="D366" s="41">
        <f>O2_src_l/(DO_target*3600*V_L_m3)</f>
        <v>0.012493118365</v>
      </c>
      <c r="E366" s="51" t="s">
        <v>2453</v>
      </c>
    </row>
    <row r="367" spans="1:5" x14ac:dyDescent="0.2">
      <c r="A367" s="18" t="s">
        <v>2498</v>
      </c>
      <c r="B367" s="19" t="s">
        <v>2499</v>
      </c>
      <c r="C367" s="20" t="s">
        <v>87</v>
      </c>
      <c r="D367" s="41">
        <f>kLa_surf_used/kLa_surf_req_l</f>
        <v>0.611579692847</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IF(DO_peak_l&lt;=O2_ceil_C,"peak "&amp;TEXT(DO_peak_l_mgL,"0.0")&amp;" mg/L under the "&amp;TEXT(O2_ceil_C*M_O2,"0.0")&amp;" mg/L ceiling","PEAK "&amp;TEXT(DO_peak_l_mgL,"0.0")&amp;" mg/L OVER THE "&amp;TEXT(O2_ceil_C*M_O2,"0.0")&amp;" mg/L INHIBITION CEILING")</f>
        <v>peak 6.0 mg/L under the 10.1 mg/L ceiling</v>
      </c>
      <c r="E369" s="51" t="s">
        <v>2461</v>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0.070947105706</v>
      </c>
      <c r="E372" s="52" t="s">
        <v>2508</v>
      </c>
    </row>
    <row r="373" spans="1:5" x14ac:dyDescent="0.2">
      <c r="A373" s="18" t="s">
        <v>2509</v>
      </c>
      <c r="B373" s="19" t="s">
        <v>2510</v>
      </c>
      <c r="C373" s="20" t="s">
        <v>406</v>
      </c>
      <c r="D373" s="41">
        <f>IF(O2_sizing_phase=phase_name_1,DO_peak_g,IF(O2_sizing_phase=phase_name_2,DO_peak_l,NA()))</f>
        <v>0.076476412694</v>
      </c>
      <c r="E373" s="52" t="s">
        <v>2511</v>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2.4 mg/L is under the inhibition ceiling</v>
      </c>
      <c r="E374" s="51" t="s">
        <v>2514</v>
      </c>
    </row>
    <row r="375" spans="1:5" ht="36" x14ac:dyDescent="0.2">
      <c r="A375" s="18" t="s">
        <v>2515</v>
      </c>
      <c r="B375" s="19" t="s">
        <v>2516</v>
      </c>
      <c r="C375" s="20" t="s">
        <v>406</v>
      </c>
      <c r="D375" s="41">
        <f>(C_air_CO2/C_sat_CO2*F_vent_ex-CO2_fix_sched)*t_gap_h/(V_L_CO2+Vg_CO2)</f>
        <v>-0.082423402676</v>
      </c>
      <c r="E375" s="51" t="s">
        <v>2517</v>
      </c>
    </row>
    <row r="376" spans="1:5" x14ac:dyDescent="0.2">
      <c r="A376" s="18" t="s">
        <v>2518</v>
      </c>
      <c r="B376" s="19" t="s">
        <v>2519</v>
      </c>
      <c r="C376" s="20" t="s">
        <v>111</v>
      </c>
      <c r="D376" s="41">
        <f>k_eff_CO2*t_off_CO2</f>
        <v>0.00623745104</v>
      </c>
      <c r="E376" s="51" t="s">
        <v>2520</v>
      </c>
    </row>
    <row r="377" spans="1:5" ht="24" x14ac:dyDescent="0.2">
      <c r="A377" s="18" t="s">
        <v>2521</v>
      </c>
      <c r="B377" s="19" t="s">
        <v>2522</v>
      </c>
      <c r="C377" s="20" t="s">
        <v>111</v>
      </c>
      <c r="D377" s="41">
        <f>IF(pool_x&gt;0,(1-EXP(-pool_x))/pool_x,1)</f>
        <v>0.99688774868</v>
      </c>
      <c r="E377" s="51" t="s">
        <v>2523</v>
      </c>
    </row>
    <row r="378" spans="1:5" x14ac:dyDescent="0.2">
      <c r="A378" s="18" t="s">
        <v>2524</v>
      </c>
      <c r="B378" s="19" t="s">
        <v>2525</v>
      </c>
      <c r="C378" s="20" t="s">
        <v>111</v>
      </c>
      <c r="D378" s="41">
        <f>IF(pool_x&gt;0,(pool_x-1+EXP(-pool_x))/pool_x^2,1/2)</f>
        <v>0.498962043881</v>
      </c>
      <c r="E378" s="51" t="s">
        <v>2526</v>
      </c>
    </row>
    <row r="379" spans="1:5" x14ac:dyDescent="0.2">
      <c r="A379" s="18" t="s">
        <v>2527</v>
      </c>
      <c r="B379" s="19" t="s">
        <v>2528</v>
      </c>
      <c r="C379" s="20" t="s">
        <v>406</v>
      </c>
      <c r="D379" s="41">
        <f>pool_D_raw*pool_phi</f>
        <v>-0.082166880332</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IF(F_vent_ex+CO2_supply+O2_src_sched+H2_src_sched-CO2_fix_sched&gt;0,(CO2_supply-CO2_fix_sched+pCO2_air/P_dry*F_vent_ex)/(F_vent_ex+CO2_supply+O2_src_sched+H2_src_sched-CO2_fix_sched),NA())</f>
        <v>0.940238937993</v>
      </c>
      <c r="E381" s="51" t="s">
        <v>2535</v>
      </c>
    </row>
    <row r="382" spans="1:5" x14ac:dyDescent="0.2">
      <c r="A382" s="18" t="s">
        <v>2536</v>
      </c>
      <c r="B382" s="19" t="s">
        <v>2537</v>
      </c>
      <c r="C382" s="20" t="s">
        <v>406</v>
      </c>
      <c r="D382" s="41">
        <f>y_CO2_mf*C_sat_CO2</f>
        <v>26.379070375426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s">
        <v>2548</v>
      </c>
    </row>
    <row r="387" spans="1:5" x14ac:dyDescent="0.2">
      <c r="A387" s="21" t="s">
        <v>2180</v>
      </c>
      <c r="B387" s="21" t="s">
        <v>2549</v>
      </c>
      <c r="C387" s="21" t="s">
        <v>307</v>
      </c>
      <c r="D387" s="112">
        <f>Electrochemistry!$D$149</f>
        <v>0.0</v>
      </c>
      <c r="E387" s="140" t="s">
        <v>2550</v>
      </c>
    </row>
    <row r="388" spans="1:5" ht="36" x14ac:dyDescent="0.2">
      <c r="A388" s="18" t="s">
        <v>2551</v>
      </c>
      <c r="B388" s="19" t="s">
        <v>2552</v>
      </c>
      <c r="C388" s="20" t="s">
        <v>111</v>
      </c>
      <c r="D388" s="41">
        <f>H2_src_l*t_gap_h/n_hs_gas*phi_hs_l/(1-flush_ret*EXP(-x_hs_l))</f>
        <v>0.146149332991</v>
      </c>
      <c r="E388" s="52" t="s">
        <v>2553</v>
      </c>
    </row>
    <row r="389" spans="1:5" ht="48" x14ac:dyDescent="0.2">
      <c r="A389" s="18" t="s">
        <v>2554</v>
      </c>
      <c r="B389" s="19" t="s">
        <v>2555</v>
      </c>
      <c r="C389" s="20" t="s">
        <v>111</v>
      </c>
      <c r="D389" s="41">
        <f>(pool_a*(C_cycle_peak-C_cycle_start)*(V_L_CO2+Vg_CO2)+MAX(0,CO2_fix_sched-O2_src_sched-H2_src_sched)*t_gap_h)/n_hs_gas</f>
        <v>0.050856361228</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IF(F_vent_ex&gt;0,"UNVERIFIED pressure closure: air ingress is assumed; measure vent make-up flow",IF(hs_sag&gt;hs_sag_max,"HEADSPACE SAGS "&amp;TEXT(hs_sag,"0%")&amp;" below 1 atm each cycle – a real cap will draw air back: use Open vent or Air exchange","OK – sag "&amp;TEXT(hs_sag,"0%")&amp;"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Summary!$G$13</f>
        <v>0.0</v>
      </c>
      <c r="E392" s="140" t="s">
        <v>2564</v>
      </c>
    </row>
    <row r="393" spans="1:5" x14ac:dyDescent="0.2">
      <c r="A393" s="21" t="s">
        <v>2565</v>
      </c>
      <c r="B393" s="21" t="s">
        <v>2566</v>
      </c>
      <c r="C393" s="21" t="s">
        <v>61</v>
      </c>
      <c r="D393" s="112">
        <f>Summary!$G$15</f>
        <v>0.0</v>
      </c>
      <c r="E393" s="140" t="s">
        <v>2567</v>
      </c>
    </row>
    <row r="394" spans="1:5" x14ac:dyDescent="0.2">
      <c r="A394" s="21" t="s">
        <v>2568</v>
      </c>
      <c r="B394" s="21" t="s">
        <v>2569</v>
      </c>
      <c r="C394" s="21" t="s">
        <v>307</v>
      </c>
      <c r="D394" s="112">
        <f>Electrochemistry!$D$132</f>
        <v>4.800606064204e-05</v>
      </c>
      <c r="E394" s="140" t="s">
        <v>2570</v>
      </c>
    </row>
    <row r="395" spans="1:5" x14ac:dyDescent="0.2">
      <c r="A395" s="21" t="s">
        <v>2571</v>
      </c>
      <c r="B395" s="21" t="s">
        <v>2572</v>
      </c>
      <c r="C395" s="21" t="s">
        <v>307</v>
      </c>
      <c r="D395" s="112">
        <f>Electrochemistry!$D$133</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 flows'!$A$4:$A$201=Reactor)*('CO2 flows'!$F$4:$F$201&gt;0)*('CO2 flows'!$N$4:$N$201&lt;&gt;1)*1)</f>
        <v>34.0</v>
      </c>
      <c r="E401" s="102" t="s">
        <v>2580</v>
      </c>
    </row>
    <row r="402" spans="1:5" x14ac:dyDescent="0.2">
      <c r="A402" s="18" t="s">
        <v>2581</v>
      </c>
      <c r="B402" s="19" t="s">
        <v>2582</v>
      </c>
      <c r="C402" s="20" t="s">
        <v>12</v>
      </c>
      <c r="D402" s="25">
        <f>SUMPRODUCT(('CO2 flows'!$A$4:$A$201=Reactor)*('CO2 flows'!$F$4:$F$201&gt;0)*('CO2 flows'!$N$4:$N$201&lt;&gt;1)*'CO2 flows'!$F$4:$F$201)</f>
        <v>49.85</v>
      </c>
      <c r="E402" s="102" t="s">
        <v>2583</v>
      </c>
    </row>
    <row r="403" spans="1:5" x14ac:dyDescent="0.2">
      <c r="A403" s="18" t="s">
        <v>2584</v>
      </c>
      <c r="B403" s="19" t="s">
        <v>2585</v>
      </c>
      <c r="C403" s="20" t="s">
        <v>52</v>
      </c>
      <c r="D403" s="25">
        <f>SUMPRODUCT(('CO2 flows'!$A$4:$A$201=Reactor)*('CO2 flows'!$F$4:$F$201&gt;0)*('CO2 flows'!$N$4:$N$201&lt;&gt;1)*'CO2 flows'!$E$4:$E$201)</f>
        <v>178.2</v>
      </c>
      <c r="E403" s="102" t="s">
        <v>1589</v>
      </c>
    </row>
    <row r="404" spans="1:5" x14ac:dyDescent="0.2">
      <c r="A404" s="18" t="s">
        <v>2586</v>
      </c>
      <c r="B404" s="19" t="s">
        <v>2587</v>
      </c>
      <c r="C404" s="20" t="s">
        <v>2588</v>
      </c>
      <c r="D404" s="25">
        <f>SUMPRODUCT(('CO2 flows'!$A$4:$A$201=Reactor)*('CO2 flows'!$F$4:$F$201&gt;0)*('CO2 flows'!$N$4:$N$201&lt;&gt;1)*'CO2 flows'!$F$4:$F$201^2)</f>
        <v>304.7325</v>
      </c>
      <c r="E404" s="102" t="s">
        <v>1589</v>
      </c>
    </row>
    <row r="405" spans="1:5" x14ac:dyDescent="0.2">
      <c r="A405" s="18" t="s">
        <v>2589</v>
      </c>
      <c r="B405" s="19" t="s">
        <v>2590</v>
      </c>
      <c r="C405" s="20" t="s">
        <v>2591</v>
      </c>
      <c r="D405" s="25">
        <f>SUMPRODUCT(('CO2 flows'!$A$4:$A$201=Reactor)*('CO2 flows'!$F$4:$F$201&gt;0)*('CO2 flows'!$N$4:$N$201&lt;&gt;1)*'CO2 flows'!$F$4:$F$201*'CO2 flows'!$E$4:$E$201)</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 flows'!$A$4:$A$201=Reactor)*('CO2 flows'!$M$4:$M$201&gt;0)*1)</f>
        <v>0.0</v>
      </c>
      <c r="E412" s="102" t="s">
        <v>2612</v>
      </c>
    </row>
    <row r="413" spans="1:5" ht="36" x14ac:dyDescent="0.2">
      <c r="A413" s="18" t="s">
        <v>2613</v>
      </c>
      <c r="B413" s="19" t="s">
        <v>2614</v>
      </c>
      <c r="C413" s="20" t="s">
        <v>1286</v>
      </c>
      <c r="D413" s="25" t="str">
        <f>IF(carry_n&gt;0,SUMPRODUCT(MIN(('CO2 flows'!$A$4:$A$201=Reactor)*('CO2 flows'!$M$4:$M$201&gt;0)*'CO2 flows'!$M$4:$M$201+(1-('CO2 flows'!$A$4:$A$201=Reactor)*('CO2 flows'!$M$4:$M$201&gt;0))*MAX('CO2 flows'!$M$4:$M$201))),"not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Chemistry!$D$296</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2.501832900863</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7.17</v>
      </c>
      <c r="E420" s="57" t="inlineStr">
        <is>
          <t xml:space="preserve">Ideal duty converted to the pulse actually commanded, rounded down. Reject a non-positive gap. Re-evaluate DO and pH at this schedule.</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63"/>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s">
        <v>1262</v>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s">
        <v>1287</v>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s">
        <v>1291</v>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s">
        <v>1293</v>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s">
        <v>1294</v>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 t="shared" ref="E81:E88" si="11">IFERROR(IF((bp_const/D81)&gt;por_break_1,0,IF((bp_const/D81)&gt;por_break_2,1,IF((bp_const/D81)&gt;por_break_3,2,IF((bp_const/D81)&gt;por_break_4,3,IF((bp_const/D81)&gt;por_break_5,4,5))))),"")</f>
        <v/>
      </c>
      <c r="F81" s="100" t="str">
        <f t="shared" ref="F81:F88" si="12">IFERROR(INDEX(ReactorTypeList,MATCH(C81,ReactorList,0)),"")</f>
        <v/>
      </c>
      <c r="G81" s="93"/>
      <c r="H81" s="93"/>
      <c r="I81" s="72"/>
      <c r="J81" s="72"/>
      <c r="K81" s="72"/>
      <c r="L81" s="72"/>
      <c r="M81" s="72"/>
    </row>
    <row r="82" spans="1:13" x14ac:dyDescent="0.2">
      <c r="A82" s="93"/>
      <c r="B82" s="94"/>
      <c r="C82" s="93"/>
      <c r="D82" s="94"/>
      <c r="E82" s="100" t="str">
        <f t="shared" si="11"/>
        <v/>
      </c>
      <c r="F82" s="169" t="str">
        <f t="shared" si="12"/>
        <v/>
      </c>
      <c r="G82" s="93"/>
      <c r="H82" s="93"/>
      <c r="I82" s="72"/>
      <c r="J82" s="72"/>
      <c r="K82" s="72"/>
      <c r="L82" s="72"/>
      <c r="M82" s="72"/>
    </row>
    <row r="83" spans="1:13" x14ac:dyDescent="0.2">
      <c r="A83" s="93"/>
      <c r="B83" s="94"/>
      <c r="C83" s="93"/>
      <c r="D83" s="94"/>
      <c r="E83" s="100" t="str">
        <f t="shared" si="11"/>
        <v/>
      </c>
      <c r="F83" s="169" t="str">
        <f t="shared" si="12"/>
        <v/>
      </c>
      <c r="G83" s="93"/>
      <c r="H83" s="93"/>
      <c r="I83" s="72"/>
      <c r="J83" s="72"/>
      <c r="K83" s="72"/>
      <c r="L83" s="72"/>
      <c r="M83" s="72"/>
    </row>
    <row r="84" spans="1:13" x14ac:dyDescent="0.2">
      <c r="A84" s="93"/>
      <c r="B84" s="94"/>
      <c r="C84" s="93"/>
      <c r="D84" s="94"/>
      <c r="E84" s="100" t="str">
        <f t="shared" si="11"/>
        <v/>
      </c>
      <c r="F84" s="169" t="str">
        <f t="shared" si="12"/>
        <v/>
      </c>
      <c r="G84" s="93"/>
      <c r="H84" s="93"/>
      <c r="I84" s="72"/>
      <c r="J84" s="72"/>
      <c r="K84" s="72"/>
      <c r="L84" s="72"/>
      <c r="M84" s="72"/>
    </row>
    <row r="85" spans="1:13" x14ac:dyDescent="0.2">
      <c r="A85" s="93"/>
      <c r="B85" s="94"/>
      <c r="C85" s="93"/>
      <c r="D85" s="94"/>
      <c r="E85" s="100" t="str">
        <f t="shared" si="11"/>
        <v/>
      </c>
      <c r="F85" s="169" t="str">
        <f t="shared" si="12"/>
        <v/>
      </c>
      <c r="G85" s="93"/>
      <c r="H85" s="93"/>
      <c r="I85" s="72"/>
      <c r="J85" s="72"/>
      <c r="K85" s="72"/>
      <c r="L85" s="72"/>
      <c r="M85" s="72"/>
    </row>
    <row r="86" spans="1:13" x14ac:dyDescent="0.2">
      <c r="A86" s="93"/>
      <c r="B86" s="94"/>
      <c r="C86" s="93"/>
      <c r="D86" s="94"/>
      <c r="E86" s="100" t="str">
        <f t="shared" si="11"/>
        <v/>
      </c>
      <c r="F86" s="100" t="str">
        <f t="shared" si="12"/>
        <v/>
      </c>
      <c r="G86" s="93"/>
      <c r="H86" s="93"/>
      <c r="I86" s="72"/>
      <c r="J86" s="72"/>
      <c r="K86" s="72"/>
      <c r="L86" s="72"/>
      <c r="M86" s="72"/>
    </row>
    <row r="87" spans="1:13" x14ac:dyDescent="0.2">
      <c r="A87" s="93"/>
      <c r="B87" s="94"/>
      <c r="C87" s="93"/>
      <c r="D87" s="94"/>
      <c r="E87" s="100" t="str">
        <f t="shared" si="11"/>
        <v/>
      </c>
      <c r="F87" s="100" t="str">
        <f t="shared" si="12"/>
        <v/>
      </c>
      <c r="G87" s="93"/>
      <c r="H87" s="93"/>
      <c r="I87" s="72"/>
      <c r="J87" s="72"/>
      <c r="K87" s="72"/>
      <c r="L87" s="72"/>
      <c r="M87" s="72"/>
    </row>
    <row r="88" spans="1:13" x14ac:dyDescent="0.2">
      <c r="A88" s="93"/>
      <c r="B88" s="94"/>
      <c r="C88" s="93"/>
      <c r="D88" s="94"/>
      <c r="E88" s="100" t="str">
        <f t="shared" si="11"/>
        <v/>
      </c>
      <c r="F88" s="100" t="str">
        <f t="shared" si="12"/>
        <v/>
      </c>
      <c r="G88" s="93"/>
      <c r="H88" s="93"/>
      <c r="I88" s="72"/>
      <c r="J88" s="72"/>
      <c r="K88" s="72"/>
      <c r="L88" s="72"/>
      <c r="M88" s="72"/>
    </row>
    <row r="89" spans="1:13" x14ac:dyDescent="0.2">
      <c r="A89" s="96" t="s">
        <v>1297</v>
      </c>
      <c r="B89" s="72"/>
      <c r="C89" s="97" t="s">
        <v>491</v>
      </c>
      <c r="D89" s="95" t="str">
        <f>IFERROR(AVERAGEIFS(E81:E88,C81:C88,Reactor_sel,G81:G88,"y",B81:B88,SUMPRODUCT(MAX((C81:C88=Reactor_sel)*(G81:G88="y")*B81:B88))),"no included runs — model uses its default")</f>
        <v>no included runs — model uses its default</v>
      </c>
      <c r="E89" s="72"/>
      <c r="F89" s="72"/>
      <c r="G89" s="72"/>
      <c r="H89" s="72"/>
      <c r="I89" s="72"/>
      <c r="J89" s="72"/>
      <c r="K89" s="72"/>
      <c r="L89" s="72"/>
      <c r="M89" s="72"/>
    </row>
    <row r="90" spans="1:13" x14ac:dyDescent="0.2">
      <c r="A90" s="72"/>
      <c r="B90" s="72"/>
      <c r="C90" s="72"/>
      <c r="D90" s="72"/>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s">
        <v>1307</v>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72"/>
      <c r="J111" s="72"/>
      <c r="K111" s="72"/>
      <c r="L111" s="72"/>
      <c r="M111" s="72"/>
    </row>
    <row r="112" spans="1:13" x14ac:dyDescent="0.2">
      <c r="A112" s="93"/>
      <c r="B112" s="94"/>
      <c r="C112" s="93"/>
      <c r="D112" s="94"/>
      <c r="E112" s="94"/>
      <c r="F112" s="94"/>
      <c r="G112" s="93"/>
      <c r="H112" s="93"/>
      <c r="I112" s="72"/>
      <c r="J112" s="72"/>
      <c r="K112" s="72"/>
      <c r="L112" s="72"/>
      <c r="M112" s="72"/>
    </row>
    <row r="113" spans="1:13" x14ac:dyDescent="0.2">
      <c r="A113" s="93"/>
      <c r="B113" s="94"/>
      <c r="C113" s="93"/>
      <c r="D113" s="94"/>
      <c r="E113" s="94"/>
      <c r="F113" s="94"/>
      <c r="G113" s="93"/>
      <c r="H113" s="93"/>
      <c r="I113" s="72"/>
      <c r="J113" s="72"/>
      <c r="K113" s="72"/>
      <c r="L113" s="72"/>
      <c r="M113" s="72"/>
    </row>
    <row r="114" spans="1:13" x14ac:dyDescent="0.2">
      <c r="A114" s="93"/>
      <c r="B114" s="94"/>
      <c r="C114" s="93"/>
      <c r="D114" s="94"/>
      <c r="E114" s="94"/>
      <c r="F114" s="94"/>
      <c r="G114" s="93"/>
      <c r="H114" s="93"/>
      <c r="I114" s="72"/>
      <c r="J114" s="72"/>
      <c r="K114" s="72"/>
      <c r="L114" s="72"/>
      <c r="M114" s="72"/>
    </row>
    <row r="115" spans="1:13" x14ac:dyDescent="0.2">
      <c r="A115" s="93"/>
      <c r="B115" s="94"/>
      <c r="C115" s="93"/>
      <c r="D115" s="94"/>
      <c r="E115" s="94"/>
      <c r="F115" s="94"/>
      <c r="G115" s="93"/>
      <c r="H115" s="93"/>
      <c r="I115" s="72"/>
      <c r="J115" s="72"/>
      <c r="K115" s="72"/>
      <c r="L115" s="72"/>
      <c r="M115" s="72"/>
    </row>
    <row r="116" spans="1:13" x14ac:dyDescent="0.2">
      <c r="A116" s="93"/>
      <c r="B116" s="94"/>
      <c r="C116" s="93"/>
      <c r="D116" s="94"/>
      <c r="E116" s="94"/>
      <c r="F116" s="94"/>
      <c r="G116" s="93"/>
      <c r="H116" s="93"/>
      <c r="I116" s="72"/>
      <c r="J116" s="72"/>
      <c r="K116" s="72"/>
      <c r="L116" s="72"/>
      <c r="M116" s="72"/>
    </row>
    <row r="117" spans="1:13" x14ac:dyDescent="0.2">
      <c r="A117" s="93"/>
      <c r="B117" s="94"/>
      <c r="C117" s="93"/>
      <c r="D117" s="94"/>
      <c r="E117" s="94"/>
      <c r="F117" s="94"/>
      <c r="G117" s="93"/>
      <c r="H117" s="93"/>
      <c r="I117" s="72"/>
      <c r="J117" s="72"/>
      <c r="K117" s="72"/>
      <c r="L117" s="72"/>
      <c r="M117" s="72"/>
    </row>
    <row r="118" spans="1:13" x14ac:dyDescent="0.2">
      <c r="A118" s="93"/>
      <c r="B118" s="94"/>
      <c r="C118" s="93"/>
      <c r="D118" s="94"/>
      <c r="E118" s="94"/>
      <c r="F118" s="94"/>
      <c r="G118" s="93"/>
      <c r="H118" s="93"/>
      <c r="I118" s="72"/>
      <c r="J118" s="72"/>
      <c r="K118" s="72"/>
      <c r="L118" s="72"/>
      <c r="M118" s="72"/>
    </row>
    <row r="119" spans="1:13" x14ac:dyDescent="0.2">
      <c r="A119" s="93"/>
      <c r="B119" s="94"/>
      <c r="C119" s="93"/>
      <c r="D119" s="94"/>
      <c r="E119" s="94"/>
      <c r="F119" s="94"/>
      <c r="G119" s="93"/>
      <c r="H119" s="93"/>
      <c r="I119" s="72"/>
      <c r="J119" s="72"/>
      <c r="K119" s="72"/>
      <c r="L119" s="72"/>
      <c r="M119" s="72"/>
    </row>
    <row r="120" spans="1:13" x14ac:dyDescent="0.2">
      <c r="A120" s="96" t="s">
        <v>1311</v>
      </c>
      <c r="B120" s="72"/>
      <c r="C120" s="97" t="s">
        <v>1312</v>
      </c>
      <c r="D120" s="95" t="str">
        <f>IFERROR(AVERAGEIFS(D112:D119,C112:C119,organism_sel,G112:G119,"y"),"no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IFERROR(AVERAGEIFS(E112:E119,C112:C119,organism_sel,G112:G119,"y"),"no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IFERROR(AVERAGEIFS(F112:F119,C112:C119,organism_sel,G112:G119,"y"),"no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spans="1:13" ht="16" x14ac:dyDescent="0.2">
      <c r="A139" s="5" t="s">
        <v>2645</v>
      </c>
      <c r="B139" s="72"/>
      <c r="C139" s="72"/>
      <c r="D139" s="72"/>
      <c r="E139" s="72"/>
      <c r="F139" s="72"/>
      <c r="G139" s="72"/>
      <c r="H139" s="72"/>
      <c r="I139" s="72"/>
      <c r="J139" s="72"/>
      <c r="K139" s="72"/>
      <c r="L139" s="72"/>
      <c r="M139" s="72"/>
    </row>
    <row r="140" spans="1:13" x14ac:dyDescent="0.2">
      <c r="A140" s="18" t="s">
        <v>2646</v>
      </c>
      <c r="B140" s="72" t="s">
        <v>2647</v>
      </c>
      <c r="C140" s="20" t="s">
        <v>2648</v>
      </c>
      <c r="D140" s="132">
        <v>291.2</v>
      </c>
      <c r="E140" s="72" t="s">
        <v>2649</v>
      </c>
    </row>
    <row r="141" spans="1:13" x14ac:dyDescent="0.2">
      <c r="A141" s="18" t="s">
        <v>2650</v>
      </c>
      <c r="B141" s="72" t="s">
        <v>2651</v>
      </c>
      <c r="C141" s="20" t="s">
        <v>518</v>
      </c>
      <c r="D141" s="132">
        <v>160</v>
      </c>
      <c r="E141" s="72" t="s">
        <v>2652</v>
      </c>
    </row>
    <row r="142" spans="1:13" x14ac:dyDescent="0.2">
      <c r="A142" s="18" t="s">
        <v>2653</v>
      </c>
      <c r="B142" s="72" t="s">
        <v>2654</v>
      </c>
      <c r="C142" s="20" t="s">
        <v>518</v>
      </c>
      <c r="D142" s="132">
        <v>100</v>
      </c>
      <c r="E142" s="72" t="s">
        <v>2655</v>
      </c>
    </row>
    <row r="143" spans="1:13" x14ac:dyDescent="0.2">
      <c r="A143" s="18" t="s">
        <v>2656</v>
      </c>
      <c r="B143" s="72" t="s">
        <v>2657</v>
      </c>
      <c r="C143" s="20" t="s">
        <v>518</v>
      </c>
      <c r="D143" s="132">
        <v>40</v>
      </c>
      <c r="E143" s="72" t="s">
        <v>2658</v>
      </c>
    </row>
    <row r="144" spans="1:13" x14ac:dyDescent="0.2">
      <c r="A144" s="18" t="s">
        <v>2659</v>
      </c>
      <c r="B144" s="72" t="s">
        <v>2660</v>
      </c>
      <c r="C144" s="20" t="s">
        <v>518</v>
      </c>
      <c r="D144" s="132">
        <v>16</v>
      </c>
      <c r="E144" s="72" t="s">
        <v>2661</v>
      </c>
    </row>
    <row r="145" spans="1:5" x14ac:dyDescent="0.2">
      <c r="A145" s="18" t="s">
        <v>2662</v>
      </c>
      <c r="B145" s="72" t="s">
        <v>2663</v>
      </c>
      <c r="C145" s="20" t="s">
        <v>518</v>
      </c>
      <c r="D145" s="132">
        <v>10</v>
      </c>
      <c r="E145" s="72" t="s">
        <v>2664</v>
      </c>
    </row>
    <row r="146" spans="1:5" x14ac:dyDescent="0.2">
      <c r="A146" s="18" t="s">
        <v>2665</v>
      </c>
      <c r="B146" s="72" t="s">
        <v>291</v>
      </c>
      <c r="C146" s="20" t="s">
        <v>111</v>
      </c>
      <c r="D146" s="133">
        <f>Electrochemistry!$D$16</f>
        <v>2.0</v>
      </c>
      <c r="E146" s="134" t="s">
        <v>2666</v>
      </c>
    </row>
    <row r="147" spans="1:5" x14ac:dyDescent="0.2">
      <c r="A147" s="18" t="s">
        <v>2667</v>
      </c>
      <c r="B147" s="72" t="s">
        <v>294</v>
      </c>
      <c r="C147" s="20" t="s">
        <v>111</v>
      </c>
      <c r="D147" s="133">
        <f>Electrochemistry!$D$17</f>
        <v>4.0</v>
      </c>
      <c r="E147" s="134" t="s">
        <v>2668</v>
      </c>
    </row>
    <row r="148" spans="1:5" x14ac:dyDescent="0.2">
      <c r="A148" s="18" t="s">
        <v>2288</v>
      </c>
      <c r="B148" s="72" t="s">
        <v>2122</v>
      </c>
      <c r="C148" s="20" t="s">
        <v>262</v>
      </c>
      <c r="D148" s="133">
        <f>Biology!$D$66</f>
        <v>273.15</v>
      </c>
      <c r="E148" s="134" t="s">
        <v>2289</v>
      </c>
    </row>
    <row r="149" spans="1:5" x14ac:dyDescent="0.2">
      <c r="A149" s="18" t="s">
        <v>2669</v>
      </c>
      <c r="B149" s="72" t="s">
        <v>1698</v>
      </c>
      <c r="C149" s="20" t="s">
        <v>57</v>
      </c>
      <c r="D149" s="133">
        <f>'Mass Transfer'!$D$203</f>
        <v>610.94</v>
      </c>
      <c r="E149" s="134" t="s">
        <v>2670</v>
      </c>
    </row>
    <row r="150" spans="1:5" x14ac:dyDescent="0.2">
      <c r="A150" s="18" t="s">
        <v>2671</v>
      </c>
      <c r="B150" s="72" t="s">
        <v>1701</v>
      </c>
      <c r="C150" s="20" t="s">
        <v>111</v>
      </c>
      <c r="D150" s="133">
        <f>'Mass Transfer'!$D$204</f>
        <v>17.625</v>
      </c>
      <c r="E150" s="134" t="s">
        <v>2672</v>
      </c>
    </row>
    <row r="151" spans="1:5" x14ac:dyDescent="0.2">
      <c r="A151" s="18" t="s">
        <v>2673</v>
      </c>
      <c r="B151" s="72" t="s">
        <v>1703</v>
      </c>
      <c r="C151" s="20" t="s">
        <v>48</v>
      </c>
      <c r="D151" s="133">
        <f>'Mass Transfer'!$D$205</f>
        <v>243.04</v>
      </c>
      <c r="E151" s="134" t="s">
        <v>2674</v>
      </c>
    </row>
    <row r="155" spans="1:5" x14ac:dyDescent="0.2">
      <c r="A155" s="18" t="s">
        <v>2675</v>
      </c>
      <c r="B155" s="72" t="s">
        <v>2676</v>
      </c>
      <c r="C155" s="20" t="s">
        <v>508</v>
      </c>
      <c r="D155" s="133">
        <f>'Mass Transfer'!$D$169</f>
        <v>1003.33</v>
      </c>
      <c r="E155" s="134" t="s">
        <v>2677</v>
      </c>
    </row>
    <row r="156" spans="1:5" x14ac:dyDescent="0.2">
      <c r="A156" s="18" t="s">
        <v>2678</v>
      </c>
      <c r="B156" s="72" t="s">
        <v>2679</v>
      </c>
      <c r="C156" s="20" t="s">
        <v>1595</v>
      </c>
      <c r="D156" s="133">
        <f>'Mass Transfer'!$D$170</f>
        <v>-0.2556</v>
      </c>
      <c r="E156" s="134" t="s">
        <v>2680</v>
      </c>
    </row>
    <row r="157" spans="1:5" x14ac:dyDescent="0.2">
      <c r="A157" s="18" t="s">
        <v>2681</v>
      </c>
      <c r="B157" s="72" t="s">
        <v>26</v>
      </c>
      <c r="C157" s="20" t="s">
        <v>111</v>
      </c>
      <c r="D157" s="133" t="str">
        <f>Summary!$D$2</f>
        <v>ed04</v>
      </c>
      <c r="E157" s="134" t="s">
        <v>2682</v>
      </c>
    </row>
    <row r="158" spans="1:5" x14ac:dyDescent="0.2">
      <c r="A158" s="18" t="s">
        <v>2683</v>
      </c>
      <c r="B158" s="72" t="s">
        <v>33</v>
      </c>
      <c r="C158" s="20" t="s">
        <v>111</v>
      </c>
      <c r="D158" s="133" t="str">
        <f>Summary!$D$4</f>
        <v>Xanthobacter tagetidis</v>
      </c>
      <c r="E158" s="134" t="s">
        <v>2684</v>
      </c>
    </row>
    <row r="159" spans="1:5" x14ac:dyDescent="0.2">
      <c r="A159" s="18" t="s">
        <v>2685</v>
      </c>
      <c r="B159" s="72" t="s">
        <v>212</v>
      </c>
      <c r="C159" s="20" t="s">
        <v>111</v>
      </c>
      <c r="D159" s="133" t="str">
        <f>Geometry!$D$51</f>
        <v>MEP0.3</v>
      </c>
      <c r="E159" s="134" t="s">
        <v>2686</v>
      </c>
    </row>
    <row r="160" spans="1:5" x14ac:dyDescent="0.2">
      <c r="A160" s="18" t="s">
        <v>486</v>
      </c>
      <c r="B160" s="72" t="s">
        <v>126</v>
      </c>
      <c r="C160" s="20" t="s">
        <v>127</v>
      </c>
      <c r="D160" s="133">
        <f>Geometry!$D$21</f>
        <v>501.93100162698</v>
      </c>
      <c r="E160" s="134" t="s">
        <v>2687</v>
      </c>
    </row>
    <row r="161" spans="1:5" x14ac:dyDescent="0.2">
      <c r="A161" s="18" t="s">
        <v>2688</v>
      </c>
      <c r="B161" s="72" t="s">
        <v>266</v>
      </c>
      <c r="C161" s="20" t="s">
        <v>267</v>
      </c>
      <c r="D161" s="133">
        <f>'Mass Transfer'!$D$101</f>
        <v>8.314462618</v>
      </c>
      <c r="E161" s="134" t="s">
        <v>2689</v>
      </c>
    </row>
    <row r="162" spans="1:5" x14ac:dyDescent="0.2">
      <c r="A162" s="18" t="s">
        <v>767</v>
      </c>
      <c r="B162" s="72" t="s">
        <v>287</v>
      </c>
      <c r="C162" s="20" t="s">
        <v>288</v>
      </c>
      <c r="D162" s="133">
        <f>Electrochemistry!$D$15</f>
        <v>96485.33212</v>
      </c>
      <c r="E162" s="134" t="s">
        <v>2690</v>
      </c>
    </row>
    <row r="163" spans="1:5" x14ac:dyDescent="0.2">
      <c r="A163" s="18"/>
      <c r="B163" s="72"/>
      <c r="C163" s="20"/>
      <c r="D163" s="133"/>
      <c r="E163" s="134"/>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I62"/>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