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 name="x_series" localSheetId="5">'Mass Transfer'!$D$584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<sst xmlns="http://schemas.openxmlformats.org/spreadsheetml/2006/main" count="3953" uniqueCount="2838">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</sst>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95">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11" fillId="0" borderId="4" xfId="0" applyFont="1" applyBorder="1" applyAlignment="1">
      <alignment vertical="top" wrapText="1"/>
    </xf>
    <xf numFmtId="0" fontId="17" fillId="0" borderId="3" xfId="0" applyFont="1" applyBorder="1" applyAlignment="1">
      <alignment vertical="top" wrapText="1"/>
    </xf>
    <xf numFmtId="0" fontId="50" fillId="0" borderId="3" xfId="0" applyFont="1" applyBorder="1" applyAlignment="1">
      <alignment vertical="top" wrapText="1"/>
    </xf>
    <xf numFmtId="0" fontId="17" fillId="0" borderId="3" xfId="0" applyFont="1" applyBorder="1" applyAlignment="1">
      <alignment vertical="top" wrapText="1"/>
    </xf>
    <xf numFmtId="0" fontId="4" fillId="4" borderId="3" xfId="0" applyFont="1" applyFill="1" applyBorder="1" applyAlignment="1">
      <alignment vertical="top" wrapText="1"/>
    </xf>
    <xf numFmtId="0" fontId="11" fillId="0" borderId="4" xfId="0" applyFont="1" applyBorder="1" applyAlignment="1">
      <alignment vertical="top" wrapText="1"/>
    </xf>
    <xf numFmtId="0" fontId="17" fillId="0" borderId="3" xfId="0" applyFont="1" applyBorder="1" applyAlignment="1">
      <alignment vertical="top" wrapText="1"/>
    </xf>
    <xf numFmtId="0" fontId="50"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9" fillId="0" borderId="3" xfId="0" applyFont="1" applyBorder="1" applyAlignment="1">
      <alignment vertical="top" wrapText="1"/>
    </xf>
    <xf numFmtId="0" fontId="0" fillId="0" borderId="0" xfId="0" applyBorder="1" applyAlignment="1">
      <alignment vertical="top" wrapText="1"/>
    </xf>
    <xf numFmtId="0" fontId="8" fillId="16" borderId="3" xfId="0" applyFont="1" applyFill="1" applyBorder="1" applyAlignment="1">
      <alignment vertical="top" wrapText="1"/>
    </xf>
    <xf numFmtId="0" fontId="0" fillId="8" borderId="3" xfId="0" applyFill="1" applyBorder="1" applyAlignment="1">
      <alignment vertical="top" wrapText="1"/>
    </xf>
    <xf numFmtId="0" fontId="28" fillId="0" borderId="3"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ht="47" customHeight="1">
      <c r="A6" s="21" t="s">
        <v>1142</v>
      </c>
      <c r="B6" s="19" t="s">
        <v>39</v>
      </c>
      <c r="C6" s="21" t="s">
        <v>40</v>
      </c>
      <c r="D6" s="130">
        <v>3</v>
      </c>
      <c r="E6" s="21" t="s">
        <v>41</v>
      </c>
      <c r="F6" s="183"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ht="92" customHeight="1">
      <c r="A11" s="18" t="inlineStr">
        <is>
          <t xml:space="preserve">Vent model</t>
        </is>
      </c>
      <c r="B11" s="19" t="s">
        <v>1792</v>
      </c>
      <c r="C11" s="20" t="s">
        <v>111</v>
      </c>
      <c r="D11" s="130" t="s">
        <v>1793</v>
      </c>
      <c r="E11" s="21" t="s">
        <v>27</v>
      </c>
      <c r="F11" s="183"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ht="77" customHeight="1">
      <c r="A12" s="18" t="s">
        <v>1795</v>
      </c>
      <c r="B12" s="19" t="s">
        <v>1796</v>
      </c>
      <c r="C12" s="20" t="s">
        <v>111</v>
      </c>
      <c r="D12" s="130" t="s">
        <v>1797</v>
      </c>
      <c r="E12" s="21" t="s">
        <v>27</v>
      </c>
      <c r="F12" s="183"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ht="62" customHeight="1">
      <c r="A13" s="189" t="inlineStr">
        <is>
          <t xml:space="preserve">Added NaHCO₃ (on top of the recipe)</t>
        </is>
      </c>
      <c r="B13" s="19" t="inlineStr">
        <is>
          <t xml:space="preserve">NaHCO3_add_gL</t>
        </is>
      </c>
      <c r="C13" s="21" t="inlineStr">
        <is>
          <t xml:space="preserve">g/L</t>
        </is>
      </c>
      <c r="D13" s="135"/>
      <c r="E13" s="21" t="inlineStr">
        <is>
          <t xml:space="preserve">input/blank</t>
        </is>
      </c>
      <c r="F13" s="183"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ht="62" customHeight="1">
      <c r="A14" s="189" t="inlineStr">
        <is>
          <t xml:space="preserve">N₂ dose (mean flow of timed pulses)</t>
        </is>
      </c>
      <c r="B14" s="19" t="inlineStr">
        <is>
          <t xml:space="preserve">N2_sweep_set</t>
        </is>
      </c>
      <c r="C14" s="21" t="inlineStr">
        <is>
          <t xml:space="preserve">mL/min</t>
        </is>
      </c>
      <c r="D14" s="130"/>
      <c r="E14" s="21" t="inlineStr">
        <is>
          <t xml:space="preserve">input/blank</t>
        </is>
      </c>
      <c r="F14" s="183"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ht="47" customHeight="1">
      <c r="A15" s="21" t="inlineStr">
        <is>
          <t xml:space="preserve">Solenoid command resolution</t>
        </is>
      </c>
      <c r="B15" s="19" t="inlineStr">
        <is>
          <t xml:space="preserve">pulse_res_set</t>
        </is>
      </c>
      <c r="C15" s="21" t="inlineStr">
        <is>
          <t xml:space="preserve">s</t>
        </is>
      </c>
      <c r="D15" s="130">
        <v>0.05</v>
      </c>
      <c r="E15" s="21" t="inlineStr">
        <is>
          <t xml:space="preserve">input</t>
        </is>
      </c>
      <c r="F15" s="183"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thickBot="1" x14ac:dyDescent="0.25" ht="32" customHeight="1">
      <c r="A19" s="25" t="s">
        <v>1710</v>
      </c>
      <c r="B19" s="19" t="s">
        <v>1711</v>
      </c>
      <c r="C19" s="21" t="s">
        <v>12</v>
      </c>
      <c r="D19" s="111">
        <f>IF(NOT(ISNUMBER(res_spg_dur)),res_spg_dur,'Mass Transfer'!spg_dur)</f>
        <v>0.65</v>
      </c>
      <c r="E19" s="24" t="str">
        <f>HYPERLINK("#'Mass Transfer'!D121","→ Mass Transfer")</f>
        <v>→ Mass Transfer</v>
      </c>
      <c r="F19" s="184" t="inlineStr">
        <is>
          <t xml:space="preserve">Pulse actually evaluated by every operating check below. Summary override wins, then Manual mode, otherwise the optimum rounded to the pulse resolution.</t>
        </is>
      </c>
    </row>
    <row r="20" spans="1:7" thickBot="1" x14ac:dyDescent="0.25" ht="47" customHeight="1">
      <c r="A20" s="190"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183"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ht="47" customHeight="1">
      <c r="A21" s="25" t="s">
        <v>1715</v>
      </c>
      <c r="B21" s="19" t="s">
        <v>1716</v>
      </c>
      <c r="C21" s="21" t="s">
        <v>61</v>
      </c>
      <c r="D21" s="111">
        <f>IF(NOT(ISNUMBER(res_spg_int)),res_spg_int,'Mass Transfer'!spg_int)</f>
        <v>7.07</v>
      </c>
      <c r="E21" s="24" t="str">
        <f>HYPERLINK("#'Mass Transfer'!D122","→ Mass Transfer")</f>
        <v>→ Mass Transfer</v>
      </c>
      <c r="F21" s="183" t="inlineStr">
        <is>
          <t xml:space="preserve">Interval actually evaluated below, in decimal minutes. Default converts the commanded pulse to the ideal delivery duty and rounds down to 0.01 min; overrides and Manual mode are evaluated directly.</t>
        </is>
      </c>
    </row>
    <row r="22" ht="47" customHeight="1">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183" t="inlineStr">
        <is>
          <t xml:space="preserve">Which upper bound sets row 20: carbon supply, headspace-O₂ dilution, the pH ceiling (rows 28–30) or, when sized on Lag, the H₂ flammability screen; an invalid selector or an unreachable target is named here instead.</t>
        </is>
      </c>
    </row>
    <row r="23" spans="1:6" thickBot="1" x14ac:dyDescent="0.25" ht="62" customHeight="1">
      <c r="A23" s="190" t="s">
        <v>1744</v>
      </c>
      <c r="B23" s="19" t="s">
        <v>1745</v>
      </c>
      <c r="C23" s="21"/>
      <c r="D23" s="92">
        <f>Chemistry!pH_meas</f>
        <v>6.487161438894</v>
      </c>
      <c r="E23" s="24" t="str">
        <f>HYPERLINK("#Chemistry!D220","→ Chemistry")</f>
        <v>→ Chemistry</v>
      </c>
      <c r="F23" s="183"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ht="32" customHeight="1">
      <c r="A24" s="190" t="s">
        <v>1749</v>
      </c>
      <c r="B24" s="19" t="s">
        <v>1750</v>
      </c>
      <c r="C24" s="21" t="s">
        <v>83</v>
      </c>
      <c r="D24" s="65">
        <f>'Mass Transfer'!DO_ss</f>
        <v>2.275287892306</v>
      </c>
      <c r="E24" s="24" t="str">
        <f>HYPERLINK("#'Mass Transfer'!D108","→ Mass")</f>
        <v>→ Mass</v>
      </c>
      <c r="F24" s="183" t="inlineStr">
        <is>
          <t xml:space="preserve">Time-mean dissolved O₂ of the sawtooth model at the schedule in use, on the sizing phase; near the target by construction when O₂ dilution binds. Both phases, mean and peak: rows 59–62.</t>
        </is>
      </c>
    </row>
    <row r="25" spans="1:6" thickBot="1" x14ac:dyDescent="0.25" ht="32" customHeight="1">
      <c r="A25" s="64" t="s">
        <v>1029</v>
      </c>
      <c r="B25" s="19" t="s">
        <v>1747</v>
      </c>
      <c r="C25" s="21" t="s">
        <v>83</v>
      </c>
      <c r="D25" s="92">
        <f>Chemistry!C_eff_Cl2</f>
        <v>0.0</v>
      </c>
      <c r="E25" s="24" t="str">
        <f>HYPERLINK("#Chemistry!D226","→ Chemistry")</f>
        <v>→ Chemistry</v>
      </c>
      <c r="F25" s="185"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ht="32" customHeight="1">
      <c r="A28" s="64" t="s">
        <v>1752</v>
      </c>
      <c r="B28" s="19" t="s">
        <v>1753</v>
      </c>
      <c r="C28" s="21" t="s">
        <v>61</v>
      </c>
      <c r="D28" s="65">
        <f>'Mass Transfer'!spg_int_carbon</f>
        <v>184.723136314261</v>
      </c>
      <c r="E28" s="24" t="str">
        <f>HYPERLINK("#'Mass Transfer'!D112","→ Mass")</f>
        <v>→ Mass</v>
      </c>
      <c r="F28" s="183" t="s">
        <v>1754</v>
      </c>
    </row>
    <row r="29" ht="32" customHeight="1">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183" t="inlineStr">
        <is>
          <t xml:space="preserve">Longest interval that still dilutes headspace O₂ enough to hold the DO target on the sizing phase (row 12). #N/A = the target is unreachable at this surface kLa.</t>
        </is>
      </c>
    </row>
    <row r="30" ht="62" customHeight="1">
      <c r="A30" s="190"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183"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ht="92" customHeight="1">
      <c r="A31" s="190"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183"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ht="47" customHeight="1">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183"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190"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183"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47" customHeight="1">
      <c r="A35" s="64" t="s">
        <v>63</v>
      </c>
      <c r="B35" s="19" t="s">
        <v>1717</v>
      </c>
      <c r="C35" s="21"/>
      <c r="D35" s="176" t="str">
        <f>Geometry!geom_check</f>
        <v>VIAL GEOMETRY INCONSISTENT - measure the true headspace (protocols/vial-geometry.md)</v>
      </c>
      <c r="E35" s="24" t="str">
        <f>HYPERLINK("#Geometry!D90","→ Geometry")</f>
        <v>→ Geometry</v>
      </c>
      <c r="F35" s="183"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ht="47" customHeight="1">
      <c r="A36" s="64" t="s">
        <v>64</v>
      </c>
      <c r="B36" s="19" t="s">
        <v>1719</v>
      </c>
      <c r="C36" s="21"/>
      <c r="D36" s="65" t="str">
        <f>'Mass Transfer'!cal_warning</f>
        <v>calibrated: ed04 (flow from CO2 flows)</v>
      </c>
      <c r="E36" s="24" t="str">
        <f>HYPERLINK("#'Mass Transfer'!D120","→ Mass")</f>
        <v>→ Mass</v>
      </c>
      <c r="F36" s="186" t="s">
        <v>1720</v>
      </c>
    </row>
    <row r="37" spans="1:6" x14ac:dyDescent="0.2" ht="77" customHeight="1">
      <c r="A37" s="190" t="s">
        <v>1721</v>
      </c>
      <c r="B37" s="19" t="s">
        <v>1722</v>
      </c>
      <c r="C37" s="21"/>
      <c r="D37" s="175" t="str">
        <f>'Mass Transfer'!DO_peak_band</f>
        <v>organism band unknown – peak 2.5 mg/L is under the inhibition ceiling</v>
      </c>
      <c r="E37" s="24" t="str">
        <f>HYPERLINK("#'Mass Transfer'!D374","→ Mass Transfer")</f>
        <v>→ Mass Transfer</v>
      </c>
      <c r="F37" s="186"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190"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186"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183" t="inlineStr">
        <is>
          <t xml:space="preserve">Nominal lag-phase hazard screen, not safety certification. Predictions depend on unmeasured vent/transfer behaviour; validate mixture-specific limits, sampling and gas clearance before operation.</t>
        </is>
      </c>
    </row>
    <row r="41" spans="1:6" x14ac:dyDescent="0.2" ht="32" customHeight="1">
      <c r="A41" s="64" t="s">
        <v>67</v>
      </c>
      <c r="B41" s="19" t="s">
        <v>1731</v>
      </c>
      <c r="C41" s="21"/>
      <c r="D41" s="65" t="str">
        <f>'Mass Transfer'!bubble_regime</f>
        <v>Dynamic</v>
      </c>
      <c r="E41" s="24" t="str">
        <f>HYPERLINK("#'Mass Transfer'!D64","→ Mass")</f>
        <v>→ Mass</v>
      </c>
      <c r="F41" s="186"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183" t="inlineStr">
        <is>
          <t xml:space="preserve">Ratio of CO₂ delivered to carbon demand (should be ≥ 1), with the absorbed ratio beside it (row 77): delivered counts gas the pulse expels unabsorbed, absorbed does not.</t>
        </is>
      </c>
    </row>
    <row r="43" spans="1:6" x14ac:dyDescent="0.2" ht="32" customHeight="1">
      <c r="A43" s="64" t="s">
        <v>70</v>
      </c>
      <c r="B43" s="19" t="s">
        <v>1734</v>
      </c>
      <c r="C43" s="21"/>
      <c r="D43" s="65" t="str">
        <f>IFERROR('Mass Transfer'!dur_ok,"calibrate this reactor first (CO₂ flow section of the Calibrations tab, or a CO2 flows row)")</f>
        <v>OK</v>
      </c>
      <c r="E43" s="24" t="str">
        <f>HYPERLINK("#'Mass Transfer'!D130","→ Mass")</f>
        <v>→ Mass</v>
      </c>
      <c r="F43" s="186"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47" customHeight="1">
      <c r="A45" s="64" t="s">
        <v>73</v>
      </c>
      <c r="B45" s="19" t="s">
        <v>1737</v>
      </c>
      <c r="C45" s="21"/>
      <c r="D45" s="175" t="str">
        <f>'Mass Transfer'!carry_flag</f>
        <v>not measured – record the max flow without carryover for ed04 in CO2 flows column M</v>
      </c>
      <c r="E45" s="24" t="str">
        <f>HYPERLINK("#'Mass Transfer'!D59","→ Mass")</f>
        <v>→ Mass</v>
      </c>
      <c r="F45" s="183"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186" t="s">
        <v>898</v>
      </c>
    </row>
    <row r="51" spans="1:6" x14ac:dyDescent="0.2" ht="32" customHeight="1">
      <c r="A51" s="190" t="s">
        <v>1836</v>
      </c>
      <c r="B51" s="19" t="s">
        <v>1837</v>
      </c>
      <c r="D51" s="175" t="str">
        <f>'Mass Transfer'!carry_flag_usg</f>
        <v>OK – 6.6 mm/s against the 50 mm/s rule of thumb</v>
      </c>
      <c r="E51" s="24" t="str">
        <f>HYPERLINK("#'Mass Transfer'!D414","→ Mass Transfer")</f>
        <v>→ Mass Transfer</v>
      </c>
      <c r="F51" s="183" t="inlineStr">
        <is>
          <t xml:space="preserve">Secondary to row 45: gas velocity against the provisional 50 mm/s entrainment rule of thumb. It cannot fail at bench flows; row 45 tests the measured limit.</t>
        </is>
      </c>
    </row>
    <row r="52" x14ac:dyDescent="0.2" ht="92" customHeight="1">
      <c r="A52" s="190"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183"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ht="32" customHeight="1">
      <c r="A53" s="190" t="s">
        <v>1829</v>
      </c>
      <c r="B53" s="19" t="inlineStr">
        <is>
          <t xml:space="preserve">chk_hs_sag</t>
        </is>
      </c>
      <c r="C53" s="21" t="s">
        <v>111</v>
      </c>
      <c r="D53" s="65">
        <f>'Mass Transfer'!hs_sag</f>
        <v>0.05000728325</v>
      </c>
      <c r="E53" s="24" t="str">
        <f>HYPERLINK("#'Mass Transfer'!D389","→ Mass Transfer")</f>
        <v>→ Mass Transfer</v>
      </c>
      <c r="F53" s="186" t="s">
        <v>1830</v>
      </c>
    </row>
    <row r="54" x14ac:dyDescent="0.2" ht="62" customHeight="1">
      <c r="A54" s="190"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183"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ht="32" customHeight="1">
      <c r="A55" s="190"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183"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ht="47" customHeight="1">
      <c r="A58" s="64" t="s">
        <v>1799</v>
      </c>
      <c r="C58" s="21" t="s">
        <v>314</v>
      </c>
      <c r="D58" s="65">
        <f>'Mass Transfer'!Q_vent_used</f>
        <v>0.015</v>
      </c>
      <c r="E58" s="24" t="str">
        <f>HYPERLINK("#'Mass Transfer'!D386","→ Mass Transfer")</f>
        <v>→ Mass Transfer</v>
      </c>
      <c r="F58" s="183"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ht="32" customHeight="1">
      <c r="A61" s="64" t="s">
        <v>1805</v>
      </c>
      <c r="C61" s="21" t="s">
        <v>83</v>
      </c>
      <c r="D61" s="65">
        <f>'Mass Transfer'!DO_avg_l_mgL</f>
        <v>5.614717330178</v>
      </c>
      <c r="E61" s="24" t="str">
        <f>HYPERLINK("#'Mass Transfer'!D364","→ Mass Transfer")</f>
        <v>→ Mass Transfer</v>
      </c>
      <c r="F61" s="186"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ht="32" customHeight="1">
      <c r="A63" s="64" t="s">
        <v>1809</v>
      </c>
      <c r="D63" s="65" t="str">
        <f>'Mass Transfer'!DO_peak_chk_g</f>
        <v>peak 2.5 mg/L under the 10.1 mg/L ceiling</v>
      </c>
      <c r="E63" s="24" t="str">
        <f>HYPERLINK("#'Mass Transfer'!D348","→ Mass Transfer")</f>
        <v>→ Mass Transfer</v>
      </c>
      <c r="F63" s="183" t="inlineStr">
        <is>
          <t xml:space="preserve">Red = the growth-phase sawtooth peaks above the organism’s inhibition limit: its toxic DO when known, otherwise the 0.30 atm ceiling (Mass Transfer D565).</t>
        </is>
      </c>
    </row>
    <row r="64" spans="1:6" x14ac:dyDescent="0.2" ht="32" customHeight="1">
      <c r="A64" s="64" t="s">
        <v>1811</v>
      </c>
      <c r="D64" s="65" t="str">
        <f>'Mass Transfer'!DO_peak_chk_l</f>
        <v>peak 6.0 mg/L under the 10.1 mg/L ceiling</v>
      </c>
      <c r="E64" s="24" t="str">
        <f>HYPERLINK("#'Mass Transfer'!D369","→ Mass Transfer")</f>
        <v>→ Mass Transfer</v>
      </c>
      <c r="F64" s="183"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87"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ht="32" customHeight="1">
      <c r="A67" s="64" t="s">
        <v>1816</v>
      </c>
      <c r="C67" s="21" t="s">
        <v>449</v>
      </c>
      <c r="D67" s="65">
        <f>'Mass Transfer'!kLa_surf_req_g*3600</f>
        <v>15.978886341621</v>
      </c>
      <c r="E67" s="24" t="str">
        <f>HYPERLINK("#'Mass Transfer'!D345","→ Mass Transfer")</f>
        <v>→ Mass Transfer</v>
      </c>
      <c r="F67" s="186" t="s">
        <v>1817</v>
      </c>
    </row>
    <row r="68" spans="1:6" x14ac:dyDescent="0.2" ht="32" customHeight="1">
      <c r="A68" s="64" t="s">
        <v>1818</v>
      </c>
      <c r="C68" s="21" t="s">
        <v>449</v>
      </c>
      <c r="D68" s="65">
        <f>'Mass Transfer'!kLa_surf_req_l*3600</f>
        <v>45.331424583836</v>
      </c>
      <c r="E68" s="24" t="str">
        <f>HYPERLINK("#'Mass Transfer'!D366","→ Mass Transfer")</f>
        <v>→ Mass Transfer</v>
      </c>
      <c r="F68" s="186"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ht="47" customHeight="1">
      <c r="A72" s="64" t="s">
        <v>1825</v>
      </c>
      <c r="C72" s="21" t="s">
        <v>111</v>
      </c>
      <c r="D72" s="65">
        <f>'Mass Transfer'!y_CO2_mf</f>
        <v>0.940877306879</v>
      </c>
      <c r="E72" s="24" t="str">
        <f>HYPERLINK("#'Mass Transfer'!D381","→ Mass Transfer")</f>
        <v>→ Mass Transfer</v>
      </c>
      <c r="F72" s="186"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ht="47" customHeight="1">
      <c r="A76" s="64" t="s">
        <v>1756</v>
      </c>
      <c r="B76" s="19" t="s">
        <v>1757</v>
      </c>
      <c r="C76" s="21" t="s">
        <v>87</v>
      </c>
      <c r="D76" s="70">
        <f>Biology!CO2_margin_trough</f>
        <v>509.521897908088</v>
      </c>
      <c r="E76" s="24" t="str">
        <f>HYPERLINK("#Biology!D98","→ Biology")</f>
        <v>→ Biology</v>
      </c>
      <c r="F76" s="183" t="inlineStr">
        <is>
          <t xml:space="preserve">Dissolved CO₂ at the lowest point of the dosing cycle vs RuBisCO Km (was the in-sparge saturation peak, which a sub-second pulse never reaches); large = ample carbon. Complements the supply:demand ratio (D42).</t>
        </is>
      </c>
    </row>
    <row r="77" spans="1:6" x14ac:dyDescent="0.2" ht="47" customHeight="1">
      <c r="A77" s="190" t="s">
        <v>1833</v>
      </c>
      <c r="B77" s="19" t="s">
        <v>1834</v>
      </c>
      <c r="C77" s="21" t="s">
        <v>87</v>
      </c>
      <c r="D77" s="65">
        <f>'Mass Transfer'!CO2_uptake_ratio</f>
        <v>2.503892293977</v>
      </c>
      <c r="E77" s="24" t="str">
        <f>HYPERLINK("#'Mass Transfer'!D417","→ Mass Transfer")</f>
        <v>→ Mass Transfer</v>
      </c>
      <c r="F77" s="183"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ht="47" customHeight="1">
      <c r="A80" s="64" t="inlineStr">
        <is>
          <t xml:space="preserve">NaHCO₃ still needed to lift pH to the target (first-order)</t>
        </is>
      </c>
      <c r="C80" s="21" t="s">
        <v>2692</v>
      </c>
      <c r="D80" s="65">
        <f>Chemistry!alk_NaHCO3_gL</f>
        <v>0.129751405739</v>
      </c>
      <c r="E80" s="24" t="str">
        <f>HYPERLINK("#Chemistry!D306","→ Chemistry")</f>
        <v>→ Chemistry</v>
      </c>
      <c r="F80" s="183"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ht="32" customHeight="1">
      <c r="A81" s="64" t="s">
        <v>2694</v>
      </c>
      <c r="C81" s="21" t="s">
        <v>2695</v>
      </c>
      <c r="D81" s="65">
        <f>Chemistry!alk_needed*1000</f>
        <v>1.544530881222</v>
      </c>
      <c r="E81" s="24" t="str">
        <f>HYPERLINK("#Chemistry!D306","→ Chemistry")</f>
        <v>→ Chemistry</v>
      </c>
      <c r="F81" s="186" t="s">
        <v>2696</v>
      </c>
    </row>
    <row r="82" ht="47" customHeight="1">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183" t="inlineStr">
        <is>
          <t xml:space="preserve">Sizing phase (row 12): the N₂ that removes the DO bound on the CO₂ schedule. With it in row 14 the pH ceiling (row 30) then usually sets the interval. #N/A = the DO target is unreachable at this surface kLa, which no N₂ fixes.</t>
        </is>
      </c>
    </row>
    <row r="83" ht="32" customHeight="1">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183"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ht="32" customHeight="1">
      <c r="A88" s="64" t="s">
        <v>1150</v>
      </c>
      <c r="B88" s="19" t="s">
        <v>1761</v>
      </c>
      <c r="D88" s="65" t="str">
        <f>Electrochemistry!j_flag</f>
        <v>watch - above optimum current density</v>
      </c>
      <c r="E88" s="24" t="str">
        <f>HYPERLINK("#Electrochemistry!D62","→ Electrochemistry")</f>
        <v>→ Electrochemistry</v>
      </c>
      <c r="F88" s="186"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ht="32" customHeight="1">
      <c r="A92" s="190"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ht="32" customHeight="1">
      <c r="A95" t="s" s="191">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s="188">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ht="32" customHeight="1">
      <c r="A100" t="s" s="191">
        <v>1779</v>
      </c>
      <c r="B100" s="19" t="s">
        <v>1780</v>
      </c>
      <c r="C100" s="20" t="s">
        <v>1445</v>
      </c>
      <c r="D100" s="23" t="e">
        <f>Chemistry!E_Cl_margin</f>
        <v>#N/A</v>
      </c>
      <c r="E100" s="24" t="str">
        <f>HYPERLINK("#Chemistry!D209","→ Chemistry")</f>
        <v>→ Chemistry</v>
      </c>
      <c r="F100" t="s" s="188">
        <v>1781</v>
      </c>
    </row>
    <row r="101" spans="1:6" x14ac:dyDescent="0.2" ht="32" customHeight="1">
      <c r="A101" t="s" s="191">
        <v>1449</v>
      </c>
      <c r="B101" s="19" t="s">
        <v>1782</v>
      </c>
      <c r="C101" s="20" t="s">
        <v>1445</v>
      </c>
      <c r="D101" s="23">
        <f>Chemistry!E_Cu_margin</f>
        <v>1.248916601067</v>
      </c>
      <c r="E101" s="24" t="str">
        <f>HYPERLINK("#Chemistry!D211","→ Chemistry")</f>
        <v>→ Chemistry</v>
      </c>
      <c r="F101" t="s" s="188">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ht="47" customHeight="1">
      <c r="A103" t="s" s="191">
        <v>1668</v>
      </c>
      <c r="B103" s="19" t="s">
        <v>1785</v>
      </c>
      <c r="C103" s="20" t="s">
        <v>449</v>
      </c>
      <c r="D103" s="23">
        <f>'Mass Transfer'!kLa_surf_req*3600</f>
        <v>15.978886341621</v>
      </c>
      <c r="E103" s="24" t="str">
        <f>HYPERLINK("#'Mass Transfer'!D186","→ Mass Transfer")</f>
        <v>→ Mass Transfer</v>
      </c>
      <c r="F103" t="inlineStr" s="188">
        <is>
          <t xml:space="preserve">Below this, no sparge interval holds the target dissolved O₂ on the sizing phase. Per hour, the unit you measure in and the Calibrations tab takes (Calibrations D46). Both phases and their margins: rows 65–68.</t>
        </is>
      </c>
    </row>
    <row r="105" spans="1:6" x14ac:dyDescent="0.2" ht="47" customHeight="1">
      <c r="A105" s="192" t="inlineStr">
        <is>
          <t xml:space="preserve">EXPERIMENTS TO IMPROVE ACCURACY (bench measurements; each replaces an estimate or a data gap)</t>
        </is>
      </c>
      <c r="B105" s="32" t="s">
        <v>102</v>
      </c>
      <c r="C105" s="32" t="s">
        <v>103</v>
      </c>
      <c r="D105" s="32" t="s">
        <v>104</v>
      </c>
      <c r="E105" s="32"/>
      <c r="F105" s="32" t="s">
        <v>105</v>
      </c>
    </row>
    <row r="106" spans="1:6" x14ac:dyDescent="0.2" ht="47" customHeight="1">
      <c r="A106" s="21" t="s">
        <v>921</v>
      </c>
      <c r="B106" s="21" t="s">
        <v>922</v>
      </c>
      <c r="C106" s="21" t="s">
        <v>923</v>
      </c>
      <c r="D106" s="33" t="str">
        <f>HYPERLINK("https://github.com/amy-bo/electroPioreactor/blob/AEP02/Media/protocols/surface-kla.md","surface-kla.md →")</f>
        <v>surface-kla.md →</v>
      </c>
      <c r="E106" s="77"/>
      <c r="F106" s="186" t="s">
        <v>1766</v>
      </c>
    </row>
    <row r="107" spans="1:6" x14ac:dyDescent="0.2" ht="47" customHeight="1">
      <c r="A107" s="189" t="s">
        <v>924</v>
      </c>
      <c r="B107" s="21" t="s">
        <v>925</v>
      </c>
      <c r="C107" s="21" t="s">
        <v>926</v>
      </c>
      <c r="D107" s="33" t="str">
        <f>HYPERLINK("https://github.com/amy-bo/electroPioreactor/blob/AEP02/Media/protocols/vial-geometry.md","vial-geometry.md →")</f>
        <v>vial-geometry.md →</v>
      </c>
      <c r="E107" s="77"/>
      <c r="F107" s="186" t="s">
        <v>1767</v>
      </c>
    </row>
    <row r="108" spans="1:6" x14ac:dyDescent="0.2" ht="32" customHeight="1">
      <c r="A108" s="189" t="s">
        <v>927</v>
      </c>
      <c r="B108" s="21" t="s">
        <v>928</v>
      </c>
      <c r="C108" s="21" t="s">
        <v>929</v>
      </c>
      <c r="D108" s="33" t="str">
        <f>HYPERLINK("https://github.com/amy-bo/electroPioreactor/blob/AEP02/Media/protocols/faradaic-efficiency.md","faradaic-efficiency.md →")</f>
        <v>faradaic-efficiency.md →</v>
      </c>
      <c r="E108" s="77"/>
      <c r="F108" s="186" t="s">
        <v>1768</v>
      </c>
    </row>
    <row r="109" spans="1:6" x14ac:dyDescent="0.2" ht="32" customHeight="1">
      <c r="A109" s="189" t="s">
        <v>930</v>
      </c>
      <c r="B109" s="21" t="s">
        <v>931</v>
      </c>
      <c r="C109" s="21" t="s">
        <v>932</v>
      </c>
      <c r="D109" s="33" t="str">
        <f>HYPERLINK("https://github.com/amy-bo/electroPioreactor/blob/AEP02/Media/protocols/knallgas-stoichiometry.md","knallgas-stoichiometry.md →")</f>
        <v>knallgas-stoichiometry.md →</v>
      </c>
      <c r="E109" s="77"/>
      <c r="F109" s="187"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ht="62" customHeight="1">
      <c r="A110" s="189" t="s">
        <v>933</v>
      </c>
      <c r="B110" s="21" t="s">
        <v>934</v>
      </c>
      <c r="C110" s="21" t="s">
        <v>935</v>
      </c>
      <c r="D110" s="33" t="str">
        <f>HYPERLINK("https://github.com/amy-bo/electroPioreactor/blob/AEP02/Media/protocols/faradaic-efficiency.md","faradaic-efficiency.md →")</f>
        <v>faradaic-efficiency.md →</v>
      </c>
      <c r="E110" s="77"/>
      <c r="F110" s="183"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ht="32" customHeight="1">
      <c r="A111" s="21" t="s">
        <v>936</v>
      </c>
      <c r="B111" s="21" t="s">
        <v>937</v>
      </c>
      <c r="C111" s="21" t="s">
        <v>938</v>
      </c>
      <c r="D111" s="33" t="str">
        <f>HYPERLINK("https://github.com/amy-bo/electroPioreactor/blob/AEP02/Media/protocols/vial-geometry.md","vial-geometry.md →")</f>
        <v>vial-geometry.md →</v>
      </c>
      <c r="E111" s="77"/>
      <c r="F111" s="183" t="inlineStr">
        <is>
          <t xml:space="preserve">Calipers on the vial body; drives the headspace and displacement budget alongside the total volume (row 107).</t>
        </is>
      </c>
    </row>
    <row r="112" spans="1:6" x14ac:dyDescent="0.2" ht="47" customHeight="1">
      <c r="A112" s="189" t="s">
        <v>940</v>
      </c>
      <c r="B112" s="21" t="s">
        <v>941</v>
      </c>
      <c r="C112" s="21" t="s">
        <v>942</v>
      </c>
      <c r="D112" s="33" t="str">
        <f>HYPERLINK("https://github.com/amy-bo/electroPioreactor/blob/AEP02/Media/protocols/flow-calibration.md","flow-calibration.md →")</f>
        <v>flow-calibration.md →</v>
      </c>
      <c r="E112" s="77"/>
      <c r="F112" s="187"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ht="47" customHeight="1">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183"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ht="32" customHeight="1">
      <c r="A114" s="21" t="s">
        <v>947</v>
      </c>
      <c r="B114" s="21" t="s">
        <v>948</v>
      </c>
      <c r="C114" s="21" t="s">
        <v>949</v>
      </c>
      <c r="D114" s="33" t="str">
        <f>HYPERLINK("https://github.com/amy-bo/electroPioreactor/blob/AEP02/Media/protocols/flow-calibration.md","flow-calibration.md →")</f>
        <v>flow-calibration.md →</v>
      </c>
      <c r="E114" s="77"/>
      <c r="F114" s="183" t="inlineStr">
        <is>
          <t xml:space="preserve">Each reactor needs its own CO₂ flow calibration; only ed04 has one (row 128 for the reactor actually in use).</t>
        </is>
      </c>
    </row>
    <row r="115" spans="1:6" x14ac:dyDescent="0.2" ht="32" customHeight="1">
      <c r="A115" s="21" t="s">
        <v>951</v>
      </c>
      <c r="B115" s="21" t="s">
        <v>952</v>
      </c>
      <c r="C115" s="21" t="s">
        <v>953</v>
      </c>
      <c r="D115" s="33" t="str">
        <f>HYPERLINK("https://github.com/amy-bo/electroPioreactor/blob/AEP02/Media/protocols/sinter-porosity.md","sinter-porosity.md →")</f>
        <v>sinter-porosity.md →</v>
      </c>
      <c r="E115" s="77"/>
      <c r="F115" s="183" t="inlineStr">
        <is>
          <t xml:space="preserve">Sets bubble size, and only matters when the sparger is a sintered frit; grade 0 (Gerrit’s disc) is assumed today.</t>
        </is>
      </c>
    </row>
    <row r="116" spans="1:6" x14ac:dyDescent="0.2" ht="47" customHeight="1">
      <c r="A116" s="21" t="s">
        <v>955</v>
      </c>
      <c r="B116" s="21" t="s">
        <v>956</v>
      </c>
      <c r="C116" s="21" t="s">
        <v>957</v>
      </c>
      <c r="D116" s="33" t="str">
        <f>HYPERLINK("https://github.com/amy-bo/electroPioreactor/blob/AEP02/Media/protocols/README.md","README.md →")</f>
        <v>README.md →</v>
      </c>
      <c r="E116" s="77"/>
      <c r="F116" s="183"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ht="62" customHeight="1">
      <c r="A117" t="s" s="191">
        <v>1690</v>
      </c>
      <c r="B117" t="s">
        <v>928</v>
      </c>
      <c r="C117" t="s">
        <v>957</v>
      </c>
      <c r="D117" s="24" t="str">
        <f>HYPERLINK("https://github.com/amy-bo/electroPioreactor/blob/AEP02/Media/protocols/electrode-mass-transfer.md","electrode-mass-transfer.md →")</f>
        <v>electrode-mass-transfer.md →</v>
      </c>
      <c r="E117" s="21"/>
      <c r="F117" t="inlineStr" s="188">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ht="32" customHeight="1">
      <c r="A118" t="s" s="191">
        <v>1692</v>
      </c>
      <c r="B118" t="s">
        <v>948</v>
      </c>
      <c r="C118" t="s">
        <v>957</v>
      </c>
      <c r="D118" s="24" t="str">
        <f>HYPERLINK("https://github.com/amy-bo/electroPioreactor/blob/AEP02/Media/protocols/vial-geometry.md","vial-geometry.md →")</f>
        <v>vial-geometry.md →</v>
      </c>
      <c r="E118" s="21"/>
      <c r="F118" t="s" s="188">
        <v>1693</v>
      </c>
    </row>
    <row r="119" spans="1:6" x14ac:dyDescent="0.2" ht="47" customHeight="1">
      <c r="A119" t="s" s="191">
        <v>1694</v>
      </c>
      <c r="B119" t="s">
        <v>928</v>
      </c>
      <c r="C119" t="s">
        <v>957</v>
      </c>
      <c r="D119" s="24" t="str">
        <f>HYPERLINK("https://github.com/amy-bo/electroPioreactor/blob/AEP02/Media/protocols/gerrit-current.md","gerrit-current.md →")</f>
        <v>gerrit-current.md →</v>
      </c>
      <c r="E119" s="21"/>
      <c r="F119" s="188"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ht="47" customHeight="1">
      <c r="A120" t="s" s="191">
        <v>1695</v>
      </c>
      <c r="B120" t="s">
        <v>928</v>
      </c>
      <c r="C120" t="s">
        <v>935</v>
      </c>
      <c r="D120" s="24" t="str">
        <f>HYPERLINK("https://github.com/amy-bo/electroPioreactor/blob/AEP02/Media/protocols/README.md","README.md →")</f>
        <v>README.md →</v>
      </c>
      <c r="F120" t="inlineStr" s="188">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ht="47" customHeight="1">
      <c r="A121" s="21" t="inlineStr">
        <is>
          <t xml:space="preserve">Characterise the headspace vent</t>
        </is>
      </c>
      <c r="B121" s="21" t="s">
        <v>922</v>
      </c>
      <c r="C121" s="21" t="s">
        <v>923</v>
      </c>
      <c r="D121" s="33" t="str">
        <f>HYPERLINK("https://github.com/amy-bo/electroPioreactor/blob/AEP02/Media/protocols/headspace-vent.md","headspace-vent.md →")</f>
        <v>headspace-vent.md →</v>
      </c>
      <c r="F121" s="183"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ht="32" customHeight="1">
      <c r="A122" s="189" t="inlineStr">
        <is>
          <t xml:space="preserve">Abiotic DO trace under the schedule</t>
        </is>
      </c>
      <c r="B122" s="21" t="s">
        <v>922</v>
      </c>
      <c r="C122" s="21" t="s">
        <v>923</v>
      </c>
      <c r="D122" s="33" t="str">
        <f>HYPERLINK("https://github.com/amy-bo/electroPioreactor/blob/AEP02/Media/protocols/abiotic-do-trace.md","abiotic-do-trace.md →")</f>
        <v>abiotic-do-trace.md →</v>
      </c>
      <c r="F122" s="183" t="inlineStr">
        <is>
          <t xml:space="preserve">One run with no cells at 3 % logging DO with an optical spot: tests the whole headspace balance against the lag-phase predictions (rows 61–62).</t>
        </is>
      </c>
    </row>
    <row r="123" spans="1:6" x14ac:dyDescent="0.2" ht="32" customHeight="1">
      <c r="A123" s="189"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183" t="inlineStr">
        <is>
          <t xml:space="preserve">Safety. The model puts the lag-phase headspace at about 9 % H₂ (D40), above the 4 % lower flammable limit, until the cells take up H₂.</t>
        </is>
      </c>
    </row>
    <row r="124" spans="1:6" x14ac:dyDescent="0.2" ht="47" customHeight="1">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183"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ht="62" customHeight="1">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183" t="inlineStr">
        <is>
          <t xml:space="preserve">Settles the monochloramine lifetime (Chemistry D142, entered in the Calibrations monochloramine section): over 1 min to 5 h it moves the UdG interval from 9.4 to 7.6 min against 8.1 min at the 1 h default (about +15 %/−7 %). Also confirm the CaCl₂ hydrate state (−24 % on every chlorine figure).</t>
        </is>
      </c>
    </row>
    <row r="126" spans="1:6" x14ac:dyDescent="0.2" ht="32" customHeight="1">
      <c r="A126" s="21" t="inlineStr">
        <is>
          <t xml:space="preserve">Sparger-attached flow check</t>
        </is>
      </c>
      <c r="B126" s="21" t="s">
        <v>941</v>
      </c>
      <c r="C126" s="21" t="s">
        <v>926</v>
      </c>
      <c r="D126" s="33" t="str">
        <f>HYPERLINK("https://github.com/amy-bo/electroPioreactor/blob/AEP02/Media/protocols/flow-calibration.md","flow-calibration.md →")</f>
        <v>flow-calibration.md →</v>
      </c>
      <c r="F126" s="183" t="s">
        <v>2710</v>
      </c>
    </row>
    <row r="127" spans="1:6" x14ac:dyDescent="0.2" ht="32" customHeight="1">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183" t="inlineStr">
        <is>
          <t xml:space="preserve">Record the highest flow without liquid carryover for each reactor in CO2 flows column M; D45 reads "not measured" until then.</t>
        </is>
      </c>
    </row>
    <row r="128" spans="1:6" x14ac:dyDescent="0.2" ht="32" customHeight="1">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183" t="inlineStr">
        <is>
          <t xml:space="preserve">D2 is ed04, the only reactor with a flow calibration, and its MEP0.3 geometry (20 mL vial, 16 mL max). For an AEP0.2 build (ed06–ed08), calibrate that reactor and select it in D2.</t>
        </is>
      </c>
    </row>
    <row r="129" ht="47" customHeight="1">
      <c r="A129" s="189"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183" t="inlineStr">
        <is>
          <t xml:space="preserve">The ohmic term uses a Kohlrausch sum × a finite-strength factor (0.78) anchored near I ≈ 0.1 M; AMYBO03 is about 0.2 M. A conductivity-meter reading at 30 °C replaces both (Chemistry D178–D180).</t>
        </is>
      </c>
    </row>
    <row r="130" ht="32" customHeight="1">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183" t="inlineStr">
        <is>
          <t xml:space="preserve">Gerrit’s Law is fitted and validated for 3–10 %; below that the model refuses to run. Needed before a start-up current ramp can be modelled (row 138).</t>
        </is>
      </c>
    </row>
    <row r="131" ht="32" customHeight="1">
      <c r="A131" s="189"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183"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ht="62" customHeight="1">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183"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ht="32" customHeight="1">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183" t="inlineStr">
        <is>
          <t xml:space="preserve">Ammonium uptake releases acid as the culture grows, which the model does not see: it holds NH₄⁺ at its recipe value. Part of fixing the medium (T7).</t>
        </is>
      </c>
    </row>
    <row r="137" x14ac:dyDescent="0.2" ht="32" customHeight="1">
      <c r="A137" s="189"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183" t="inlineStr">
        <is>
          <t xml:space="preserve">Pulse length (row 18) is a rule of thumb: about one headspace volume per pulse. A twin trial at a 0.25 s floor held pH and growth DO on about 7 % less CO₂ but raised lag-phase DO.</t>
        </is>
      </c>
    </row>
    <row r="138" x14ac:dyDescent="0.2" ht="32" customHeight="1">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183" t="inlineStr">
        <is>
          <t xml:space="preserve">Lag DO stays unreachable at the estimated surface kLa at any interval (row 66), so the remaining lever is less current until uptake starts; the current fit is not valid below 3 %.</t>
        </is>
      </c>
    </row>
    <row r="139" x14ac:dyDescent="0.2" ht="32" customHeight="1">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183"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ht="32" customHeight="1">
      <c r="A145" s="193"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ht="32" customHeight="1">
      <c r="A151" s="194"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inlineStr">
        <is>
          <t xml:space="preserve">Monochloramine-formation chlorine per N</t>
        </is>
      </c>
      <c r="B224" s="19" t="s">
        <v>1680</v>
      </c>
      <c r="C224" s="20" t="s">
        <v>1681</v>
      </c>
      <c r="D224" s="116">
        <v>5.0599999999999996</v>
      </c>
      <c r="E224" s="51" t="inlineStr">
        <is>
          <t xml:space="preserve">1:1 NH₂Cl formation, 70.906/14.007 = 5.06 mg Cl₂ per mg ammonium-N: the stoichiometric cap on chlorine bound as monochloramine. Not breakpoint demand, which (oxidation to N₂) needs about 7.6. On a Cl₂ basis; multiply by M_HOCl/M_Cl2 for the HOCl-equivalent basis.</t>
        </is>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IF(x_hs_g&gt;x_series,(1-EXP(-x_hs_g))/x_hs_g,1-x_hs_g/2+x_hs_g^2/6-x_hs_g^3/24)</f>
        <v>0.979144642091</v>
      </c>
      <c r="E333" s="51" t="s">
        <v>2418</v>
      </c>
    </row>
    <row r="334" spans="1:5" x14ac:dyDescent="0.2">
      <c r="A334" s="18" t="s">
        <v>2419</v>
      </c>
      <c r="B334" s="19" t="s">
        <v>2420</v>
      </c>
      <c r="C334" s="20" t="s">
        <v>111</v>
      </c>
      <c r="D334" s="41">
        <f>IF(x_hs_g&gt;x_series,(x_hs_g-1+EXP(-x_hs_g))/x_hs_g^2,1/2-x_hs_g/6+x_hs_g^2/24-x_hs_g^3/120)</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IF(x_hs_l&gt;x_series,(1-EXP(-x_hs_l))/x_hs_l,1-x_hs_l/2+x_hs_l^2/6-x_hs_l^3/24)</f>
        <v>0.901102060357</v>
      </c>
      <c r="E355" s="51" t="s">
        <v>2418</v>
      </c>
    </row>
    <row r="356" spans="1:5" x14ac:dyDescent="0.2">
      <c r="A356" s="18" t="s">
        <v>2476</v>
      </c>
      <c r="B356" s="19" t="s">
        <v>2477</v>
      </c>
      <c r="C356" s="20" t="s">
        <v>111</v>
      </c>
      <c r="D356" s="41">
        <f>IF(x_hs_l&gt;x_series,(x_hs_l-1+EXP(-x_hs_l))/x_hs_l^2,1/2-x_hs_l/6+x_hs_l^2/24-x_hs_l^3/120)</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IF(pool_x&gt;x_series,(1-EXP(-pool_x))/pool_x,1-pool_x/2+pool_x^2/6-pool_x^3/24)</f>
        <v>0.996931131905</v>
      </c>
      <c r="E377" s="51" t="s">
        <v>2523</v>
      </c>
    </row>
    <row r="378" spans="1:5" x14ac:dyDescent="0.2">
      <c r="A378" s="18" t="s">
        <v>2524</v>
      </c>
      <c r="B378" s="19" t="s">
        <v>2525</v>
      </c>
      <c r="C378" s="20" t="s">
        <v>111</v>
      </c>
      <c r="D378" s="41">
        <f>IF(pool_x&gt;x_series,(pool_x-1+EXP(-pool_x))/pool_x^2,1/2-pool_x/6+pool_x^2/24-pool_x^3/120)</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IF(C440&gt;x_series,(1-EXP(-C440))/C440,1-C440/2+C440^2/6-C440^3/24)</f>
        <v>0.999996006764</v>
      </c>
      <c r="F440" s="41">
        <f>IF(C440&gt;x_series,(C440-1+EXP(-C440))/C440^2,1/2-C440/6+C440^2/24-C440^3/120)</f>
        <v>0.49999866892</v>
      </c>
      <c r="G440" s="41">
        <f>(C_air_CO2/C_sat_CO2*F_vent_ex-CO2_fix_sched)*(B440/3600)/(V_L_CO2+Vg_CO2)</f>
        <v>-0.0001055357268577</v>
      </c>
      <c r="H440" s="41">
        <f>(G440*E440+pool_b*D440)/(1-pool_ret*D440)</f>
        <v>28.052147539797</v>
      </c>
      <c r="I440" s="41">
        <f>MIN(C_sat_CO2,MAX(C_air_CO2,(pool_ret*H440+pool_b)*E440+G440*F440))</f>
        <v>28.052312327239</v>
      </c>
      <c r="J440" s="41">
        <f>IF(AND(I440&gt;=CO2_pH_hi_mt,I441&lt;CO2_pH_hi_mt),EXP(LN(A440)+(LN(A441)-LN(A440))*(I440-CO2_pH_hi_mt)/(I440-I441)),0)</f>
        <v>0.0</v>
      </c>
      <c r="L440" s="41">
        <f>k_eff_CO2_l*B440</f>
        <v>4.313472514964e-05</v>
      </c>
      <c r="M440" s="41">
        <f>EXP(-L440)</f>
        <v>0.999956866205</v>
      </c>
      <c r="N440" s="41">
        <f>IF(L440&gt;x_series,(1-EXP(-L440))/L440,1-L440/2+L440^2/6-L440^3/24)</f>
        <v>0.999978432948</v>
      </c>
      <c r="O440" s="41">
        <f>IF(L440&gt;x_series,(L440-1+EXP(-L440))/L440^2,1/2-L440/6+L440^2/24-L440^3/120)</f>
        <v>0.499992810957</v>
      </c>
      <c r="P440" s="41">
        <f>(C_air_CO2/C_sat_CO2*F_vent_ex-CO2_fix_l)*(B440/3600)/(V_L_CO2+Vg_CO2)</f>
        <v>9.231456803077e-08</v>
      </c>
      <c r="Q440" s="41">
        <f>(P440*N440+pool_b*M440)/(1-pool_ret*M440)</f>
        <v>28.042637432812</v>
      </c>
      <c r="R440" s="41">
        <f>MIN(C_sat_CO2,MAX(C_air_CO2,(pool_ret*Q440+pool_b)*N440+P440*O440))</f>
        <v>28.043242201079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IF(C441&gt;x_series,(1-EXP(-C441))/C441,1-C441/2+C441^2/6-C441^3/24)</f>
        <v>0.999994960704</v>
      </c>
      <c r="F441" s="41">
        <f>IF(C441&gt;x_series,(C441-1+EXP(-C441))/C441^2,1/2-C441/6+C441^2/24-C441^3/120)</f>
        <v>0.499998320233</v>
      </c>
      <c r="G441" s="41">
        <f>(C_air_CO2/C_sat_CO2*F_vent_ex-CO2_fix_sched)*(B441/3600)/(V_L_CO2+Vg_CO2)</f>
        <v>-0.0001331817569148</v>
      </c>
      <c r="H441" s="41">
        <f>(G441*E441+pool_b*D441)/(1-pool_ret*D441)</f>
        <v>28.051214585379</v>
      </c>
      <c r="I441" s="41">
        <f>MIN(C_sat_CO2,MAX(C_air_CO2,(pool_ret*H441+pool_b)*E441+G441*F441))</f>
        <v>28.051422535813</v>
      </c>
      <c r="J441" s="41">
        <f>IF(AND(I441&gt;=CO2_pH_hi_mt,I442&lt;CO2_pH_hi_mt),EXP(LN(A441)+(LN(A442)-LN(A441))*(I441-CO2_pH_hi_mt)/(I441-I442)),0)</f>
        <v>0.0</v>
      </c>
      <c r="L441" s="41">
        <f>k_eff_CO2_l*B441</f>
        <v>5.44342532194e-05</v>
      </c>
      <c r="M441" s="41">
        <f>EXP(-L441)</f>
        <v>0.999945567228</v>
      </c>
      <c r="N441" s="41">
        <f>IF(L441&gt;x_series,(1-EXP(-L441))/L441,1-L441/2+L441^2/6-L441^3/24)</f>
        <v>0.999972783367</v>
      </c>
      <c r="O441" s="41">
        <f>IF(L441&gt;x_series,(L441-1+EXP(-L441))/L441^2,1/2-L441/6+L441^2/24-L441^3/120)</f>
        <v>0.499990927748</v>
      </c>
      <c r="P441" s="41">
        <f>(C_air_CO2/C_sat_CO2*F_vent_ex-CO2_fix_l)*(B441/3600)/(V_L_CO2+Vg_CO2)</f>
        <v>1.164971969705e-07</v>
      </c>
      <c r="Q441" s="41">
        <f>(P441*N441+pool_b*M441)/(1-pool_ret*M441)</f>
        <v>28.039215043872</v>
      </c>
      <c r="R441" s="41">
        <f>MIN(C_sat_CO2,MAX(C_air_CO2,(pool_ret*Q441+pool_b)*N441+P441*O441))</f>
        <v>28.039978146336</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IF(C442&gt;x_series,(1-EXP(-C442))/C442,1-C442/2+C442^2/6-C442^3/24)</f>
        <v>0.99999378905</v>
      </c>
      <c r="F442" s="41">
        <f>IF(C442&gt;x_series,(C442-1+EXP(-C442))/C442^2,1/2-C442/6+C442^2/24-C442^3/120)</f>
        <v>0.499997929681</v>
      </c>
      <c r="G442" s="41">
        <f>(C_air_CO2/C_sat_CO2*F_vent_ex-CO2_fix_sched)*(B442/3600)/(V_L_CO2+Vg_CO2)</f>
        <v>-0.0001641470944896</v>
      </c>
      <c r="H442" s="41">
        <f>(G442*E442+pool_b*D442)/(1-pool_ret*D442)</f>
        <v>28.050169663999</v>
      </c>
      <c r="I442" s="41">
        <f>MIN(C_sat_CO2,MAX(C_air_CO2,(pool_ret*H442+pool_b)*E442+G442*F442))</f>
        <v>28.050425957523</v>
      </c>
      <c r="J442" s="41">
        <f>IF(AND(I442&gt;=CO2_pH_hi_mt,I443&lt;CO2_pH_hi_mt),EXP(LN(A442)+(LN(A443)-LN(A442))*(I442-CO2_pH_hi_mt)/(I442-I443)),0)</f>
        <v>0.0</v>
      </c>
      <c r="L442" s="41">
        <f>k_eff_CO2_l*B442</f>
        <v>6.709045378032e-05</v>
      </c>
      <c r="M442" s="41">
        <f>EXP(-L442)</f>
        <v>0.999932911797</v>
      </c>
      <c r="N442" s="41">
        <f>IF(L442&gt;x_series,(1-EXP(-L442))/L442,1-L442/2+L442^2/6-L442^3/24)</f>
        <v>0.999966455523</v>
      </c>
      <c r="O442" s="41">
        <f>IF(L442&gt;x_series,(L442-1+EXP(-L442))/L442^2,1/2-L442/6+L442^2/24-L442^3/120)</f>
        <v>0.499988818445</v>
      </c>
      <c r="P442" s="41">
        <f>(C_air_CO2/C_sat_CO2*F_vent_ex-CO2_fix_l)*(B442/3600)/(V_L_CO2+Vg_CO2)</f>
        <v>1.435833018116e-07</v>
      </c>
      <c r="Q442" s="41">
        <f>(P442*N442+pool_b*M442)/(1-pool_ret*M442)</f>
        <v>28.035382693285</v>
      </c>
      <c r="R442" s="41">
        <f>MIN(C_sat_CO2,MAX(C_air_CO2,(pool_ret*Q442+pool_b)*N442+P442*O442))</f>
        <v>28.036323095797</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IF(C443&gt;x_series,(1-EXP(-C443))/C443,1-C443/2+C443^2/6-C443^3/24)</f>
        <v>0.999992476725</v>
      </c>
      <c r="F443" s="41">
        <f>IF(C443&gt;x_series,(C443-1+EXP(-C443))/C443^2,1/2-C443/6+C443^2/24-C443^3/120)</f>
        <v>0.499997492239</v>
      </c>
      <c r="G443" s="41">
        <f>(C_air_CO2/C_sat_CO2*F_vent_ex-CO2_fix_sched)*(B443/3600)/(V_L_CO2+Vg_CO2)</f>
        <v>-0.0001988302706686</v>
      </c>
      <c r="H443" s="41">
        <f>(G443*E443+pool_b*D443)/(1-pool_ret*D443)</f>
        <v>28.04899934455</v>
      </c>
      <c r="I443" s="41">
        <f>MIN(C_sat_CO2,MAX(C_air_CO2,(pool_ret*H443+pool_b)*E443+G443*F443))</f>
        <v>28.049309782637</v>
      </c>
      <c r="J443" s="41">
        <f>IF(AND(I443&gt;=CO2_pH_hi_mt,I444&lt;CO2_pH_hi_mt),EXP(LN(A443)+(LN(A444)-LN(A443))*(I443-CO2_pH_hi_mt)/(I443-I444)),0)</f>
        <v>0.0</v>
      </c>
      <c r="L443" s="41">
        <f>k_eff_CO2_l*B443</f>
        <v>8.126621507314e-05</v>
      </c>
      <c r="M443" s="41">
        <f>EXP(-L443)</f>
        <v>0.999918737087</v>
      </c>
      <c r="N443" s="41">
        <f>IF(L443&gt;x_series,(1-EXP(-L443))/L443,1-L443/2+L443^2/6-L443^3/24)</f>
        <v>0.999959367993</v>
      </c>
      <c r="O443" s="41">
        <f>IF(L443&gt;x_series,(L443-1+EXP(-L443))/L443^2,1/2-L443/6+L443^2/24-L443^3/120)</f>
        <v>0.499986455906</v>
      </c>
      <c r="P443" s="41">
        <f>(C_air_CO2/C_sat_CO2*F_vent_ex-CO2_fix_l)*(B443/3600)/(V_L_CO2+Vg_CO2)</f>
        <v>1.739214870142e-07</v>
      </c>
      <c r="Q443" s="41">
        <f>(P443*N443+pool_b*M443)/(1-pool_ret*M443)</f>
        <v>28.031091399497</v>
      </c>
      <c r="R443" s="41">
        <f>MIN(C_sat_CO2,MAX(C_air_CO2,(pool_ret*Q443+pool_b)*N443+P443*O443))</f>
        <v>28.03223033374</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IF(C444&gt;x_series,(1-EXP(-C444))/C444,1-C444/2+C444^2/6-C444^3/24)</f>
        <v>0.999991006839</v>
      </c>
      <c r="F444" s="41">
        <f>IF(C444&gt;x_series,(C444-1+EXP(-C444))/C444^2,1/2-C444/6+C444^2/24-C444^3/120)</f>
        <v>0.499997002275</v>
      </c>
      <c r="G444" s="41">
        <f>(C_air_CO2/C_sat_CO2*F_vent_ex-CO2_fix_sched)*(B444/3600)/(V_L_CO2+Vg_CO2)</f>
        <v>-0.0002376776659848</v>
      </c>
      <c r="H444" s="41">
        <f>(G444*E444+pool_b*D444)/(1-pool_ret*D444)</f>
        <v>28.047688586418</v>
      </c>
      <c r="I444" s="41">
        <f>MIN(C_sat_CO2,MAX(C_air_CO2,(pool_ret*H444+pool_b)*E444+G444*F444))</f>
        <v>28.048059666376</v>
      </c>
      <c r="J444" s="41">
        <f>IF(AND(I444&gt;=CO2_pH_hi_mt,I445&lt;CO2_pH_hi_mt),EXP(LN(A444)+(LN(A445)-LN(A444))*(I444-CO2_pH_hi_mt)/(I444-I445)),0)</f>
        <v>0.0</v>
      </c>
      <c r="L444" s="41">
        <f>k_eff_CO2_l*B444</f>
        <v>9.714398243813e-05</v>
      </c>
      <c r="M444" s="41">
        <f>EXP(-L444)</f>
        <v>0.999902860736</v>
      </c>
      <c r="N444" s="41">
        <f>IF(L444&gt;x_series,(1-EXP(-L444))/L444,1-L444/2+L444^2/6-L444^3/24)</f>
        <v>0.999951429582</v>
      </c>
      <c r="O444" s="41">
        <f>IF(L444&gt;x_series,(L444-1+EXP(-L444))/L444^2,1/2-L444/6+L444^2/24-L444^3/120)</f>
        <v>0.499983809729</v>
      </c>
      <c r="P444" s="41">
        <f>(C_air_CO2/C_sat_CO2*F_vent_ex-CO2_fix_l)*(B444/3600)/(V_L_CO2+Vg_CO2)</f>
        <v>2.079022120682e-07</v>
      </c>
      <c r="Q444" s="41">
        <f>(P444*N444+pool_b*M444)/(1-pool_ret*M444)</f>
        <v>28.026286360987</v>
      </c>
      <c r="R444" s="41">
        <f>MIN(C_sat_CO2,MAX(C_air_CO2,(pool_ret*Q444+pool_b)*N444+P444*O444))</f>
        <v>28.027647593649</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IF(C445&gt;x_series,(1-EXP(-C445))/C445,1-C445/2+C445^2/6-C445^3/24)</f>
        <v>0.999989360475</v>
      </c>
      <c r="F445" s="41">
        <f>IF(C445&gt;x_series,(C445-1+EXP(-C445))/C445^2,1/2-C445/6+C445^2/24-C445^3/120)</f>
        <v>0.499996453485</v>
      </c>
      <c r="G445" s="41">
        <f>(C_air_CO2/C_sat_CO2*F_vent_ex-CO2_fix_sched)*(B445/3600)/(V_L_CO2+Vg_CO2)</f>
        <v>-0.0002811892554384</v>
      </c>
      <c r="H445" s="41">
        <f>(G445*E445+pool_b*D445)/(1-pool_ret*D445)</f>
        <v>28.046220547025</v>
      </c>
      <c r="I445" s="41">
        <f>MIN(C_sat_CO2,MAX(C_air_CO2,(pool_ret*H445+pool_b)*E445+G445*F445))</f>
        <v>28.046659545359</v>
      </c>
      <c r="J445" s="41">
        <f>IF(AND(I445&gt;=CO2_pH_hi_mt,I446&lt;CO2_pH_hi_mt),EXP(LN(A445)+(LN(A446)-LN(A445))*(I445-CO2_pH_hi_mt)/(I445-I446)),0)</f>
        <v>0.0</v>
      </c>
      <c r="L445" s="41">
        <f>k_eff_CO2_l*B445</f>
        <v>0.000114928106429</v>
      </c>
      <c r="M445" s="41">
        <f>EXP(-L445)</f>
        <v>0.999885078498</v>
      </c>
      <c r="N445" s="41">
        <f>IF(L445&gt;x_series,(1-EXP(-L445))/L445,1-L445/2+L445^2/6-L445^3/24)</f>
        <v>0.999942538148</v>
      </c>
      <c r="O445" s="41">
        <f>IF(L445&gt;x_series,(L445-1+EXP(-L445))/L445^2,1/2-L445/6+L445^2/24-L445^3/120)</f>
        <v>0.499980845866</v>
      </c>
      <c r="P445" s="41">
        <f>(C_air_CO2/C_sat_CO2*F_vent_ex-CO2_fix_l)*(B445/3600)/(V_L_CO2+Vg_CO2)</f>
        <v>2.459628167974e-07</v>
      </c>
      <c r="Q445" s="41">
        <f>(P445*N445+pool_b*M445)/(1-pool_ret*M445)</f>
        <v>28.020906272939</v>
      </c>
      <c r="R445" s="41">
        <f>MIN(C_sat_CO2,MAX(C_air_CO2,(pool_ret*Q445+pool_b)*N445+P445*O445))</f>
        <v>28.022516406489</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IF(C446&gt;x_series,(1-EXP(-C446))/C446,1-C446/2+C446^2/6-C446^3/24)</f>
        <v>0.999987516445</v>
      </c>
      <c r="F446" s="41">
        <f>IF(C446&gt;x_series,(C446-1+EXP(-C446))/C446^2,1/2-C446/6+C446^2/24-C446^3/120)</f>
        <v>0.499995838806</v>
      </c>
      <c r="G446" s="41">
        <f>(C_air_CO2/C_sat_CO2*F_vent_ex-CO2_fix_sched)*(B446/3600)/(V_L_CO2+Vg_CO2)</f>
        <v>-0.0003299250432917</v>
      </c>
      <c r="H446" s="41">
        <f>(G446*E446+pool_b*D446)/(1-pool_ret*D446)</f>
        <v>28.044576366461</v>
      </c>
      <c r="I446" s="41">
        <f>MIN(C_sat_CO2,MAX(C_air_CO2,(pool_ret*H446+pool_b)*E446+G446*F446))</f>
        <v>28.045091432197</v>
      </c>
      <c r="J446" s="41">
        <f>IF(AND(I446&gt;=CO2_pH_hi_mt,I447&lt;CO2_pH_hi_mt),EXP(LN(A446)+(LN(A447)-LN(A446))*(I446-CO2_pH_hi_mt)/(I446-I447)),0)</f>
        <v>0.0</v>
      </c>
      <c r="L446" s="41">
        <f>k_eff_CO2_l*B446</f>
        <v>0.0001348474728521</v>
      </c>
      <c r="M446" s="41">
        <f>EXP(-L446)</f>
        <v>0.999865161619</v>
      </c>
      <c r="N446" s="41">
        <f>IF(L446&gt;x_series,(1-EXP(-L446))/L446,1-L446/2+L446^2/6-L446^3/24)</f>
        <v>0.999932579294</v>
      </c>
      <c r="O446" s="41">
        <f>IF(L446&gt;x_series,(L446-1+EXP(-L446))/L446^2,1/2-L446/6+L446^2/24-L446^3/120)</f>
        <v>0.499977526179</v>
      </c>
      <c r="P446" s="41">
        <f>(C_air_CO2/C_sat_CO2*F_vent_ex-CO2_fix_l)*(B446/3600)/(V_L_CO2+Vg_CO2)</f>
        <v>2.885931500246e-07</v>
      </c>
      <c r="Q446" s="41">
        <f>(P446*N446+pool_b*M446)/(1-pool_ret*M446)</f>
        <v>28.014882565771</v>
      </c>
      <c r="R446" s="41">
        <f>MIN(C_sat_CO2,MAX(C_air_CO2,(pool_ret*Q446+pool_b)*N446+P446*O446))</f>
        <v>28.016771374432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IF(C447&gt;x_series,(1-EXP(-C447))/C447,1-C447/2+C447^2/6-C447^3/24)</f>
        <v>0.999985451018</v>
      </c>
      <c r="F447" s="41">
        <f>IF(C447&gt;x_series,(C447-1+EXP(-C447))/C447^2,1/2-C447/6+C447^2/24-C447^3/120)</f>
        <v>0.499995150328</v>
      </c>
      <c r="G447" s="41">
        <f>(C_air_CO2/C_sat_CO2*F_vent_ex-CO2_fix_sched)*(B447/3600)/(V_L_CO2+Vg_CO2)</f>
        <v>-0.0003845122704535</v>
      </c>
      <c r="H447" s="41">
        <f>(G447*E447+pool_b*D447)/(1-pool_ret*D447)</f>
        <v>28.042734926511</v>
      </c>
      <c r="I447" s="41">
        <f>MIN(C_sat_CO2,MAX(C_air_CO2,(pool_ret*H447+pool_b)*E447+G447*F447))</f>
        <v>28.04333518567</v>
      </c>
      <c r="J447" s="41">
        <f>IF(AND(I447&gt;=CO2_pH_hi_mt,I448&lt;CO2_pH_hi_mt),EXP(LN(A447)+(LN(A448)-LN(A447))*(I447-CO2_pH_hi_mt)/(I447-I448)),0)</f>
        <v>0.0</v>
      </c>
      <c r="L447" s="41">
        <f>k_eff_CO2_l*B447</f>
        <v>0.0001571584485796</v>
      </c>
      <c r="M447" s="41">
        <f>EXP(-L447)</f>
        <v>0.9998428539</v>
      </c>
      <c r="N447" s="41">
        <f>IF(L447&gt;x_series,(1-EXP(-L447))/L447,1-L447/2+L447^2/6-L447^3/24)</f>
        <v>0.999921424892</v>
      </c>
      <c r="O447" s="41">
        <f>IF(L447&gt;x_series,(L447-1+EXP(-L447))/L447^2,1/2-L447/6+L447^2/24-L447^3/120)</f>
        <v>0.499973807954</v>
      </c>
      <c r="P447" s="41">
        <f>(C_air_CO2/C_sat_CO2*F_vent_ex-CO2_fix_l)*(B447/3600)/(V_L_CO2+Vg_CO2)</f>
        <v>3.363418740395e-07</v>
      </c>
      <c r="Q447" s="41">
        <f>(P447*N447+pool_b*M447)/(1-pool_ret*M447)</f>
        <v>28.00813855713</v>
      </c>
      <c r="R447" s="41">
        <f>MIN(C_sat_CO2,MAX(C_air_CO2,(pool_ret*Q447+pool_b)*N447+P447*O447))</f>
        <v>28.010339362051</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IF(C448&gt;x_series,(1-EXP(-C448))/C448,1-C448/2+C448^2/6-C448^3/24)</f>
        <v>0.999983137613</v>
      </c>
      <c r="F448" s="41">
        <f>IF(C448&gt;x_series,(C448-1+EXP(-C448))/C448^2,1/2-C448/6+C448^2/24-C448^3/120)</f>
        <v>0.499994379189</v>
      </c>
      <c r="G448" s="41">
        <f>(C_air_CO2/C_sat_CO2*F_vent_ex-CO2_fix_sched)*(B448/3600)/(V_L_CO2+Vg_CO2)</f>
        <v>-0.0004456534872159</v>
      </c>
      <c r="H448" s="41">
        <f>(G448*E448+pool_b*D448)/(1-pool_ret*D448)</f>
        <v>28.040672581064</v>
      </c>
      <c r="I448" s="41">
        <f>MIN(C_sat_CO2,MAX(C_air_CO2,(pool_ret*H448+pool_b)*E448+G448*F448))</f>
        <v>28.041368253604</v>
      </c>
      <c r="J448" s="41">
        <f>IF(AND(I448&gt;=CO2_pH_hi_mt,I449&lt;CO2_pH_hi_mt),EXP(LN(A448)+(LN(A449)-LN(A448))*(I448-CO2_pH_hi_mt)/(I448-I449)),0)</f>
        <v>0.0</v>
      </c>
      <c r="L448" s="41">
        <f>k_eff_CO2_l*B448</f>
        <v>0.000182148181051</v>
      </c>
      <c r="M448" s="41">
        <f>EXP(-L448)</f>
        <v>0.999817868407</v>
      </c>
      <c r="N448" s="41">
        <f>IF(L448&gt;x_series,(1-EXP(-L448))/L448,1-L448/2+L448^2/6-L448^3/24)</f>
        <v>0.999908931439</v>
      </c>
      <c r="O448" s="41">
        <f>IF(L448&gt;x_series,(L448-1+EXP(-L448))/L448^2,1/2-L448/6+L448^2/24-L448^3/120)</f>
        <v>0.499969643352</v>
      </c>
      <c r="P448" s="41">
        <f>(C_air_CO2/C_sat_CO2*F_vent_ex-CO2_fix_l)*(B448/3600)/(V_L_CO2+Vg_CO2)</f>
        <v>3.898235260103e-07</v>
      </c>
      <c r="Q448" s="41">
        <f>(P448*N448+pool_b*M448)/(1-pool_ret*M448)</f>
        <v>28.00058850816</v>
      </c>
      <c r="R448" s="41">
        <f>MIN(C_sat_CO2,MAX(C_air_CO2,(pool_ret*Q448+pool_b)*N448+P448*O448))</f>
        <v>28.00313859621</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IF(C449&gt;x_series,(1-EXP(-C449))/C449,1-C449/2+C449^2/6-C449^3/24)</f>
        <v>0.999980546459</v>
      </c>
      <c r="F449" s="41">
        <f>IF(C449&gt;x_series,(C449-1+EXP(-C449))/C449^2,1/2-C449/6+C449^2/24-C449^3/120)</f>
        <v>0.499993515465</v>
      </c>
      <c r="G449" s="41">
        <f>(C_air_CO2/C_sat_CO2*F_vent_ex-CO2_fix_sched)*(B449/3600)/(V_L_CO2+Vg_CO2)</f>
        <v>-0.000514135595239</v>
      </c>
      <c r="H449" s="41">
        <f>(G449*E449+pool_b*D449)/(1-pool_ret*D449)</f>
        <v>28.038362854548</v>
      </c>
      <c r="I449" s="41">
        <f>MIN(C_sat_CO2,MAX(C_air_CO2,(pool_ret*H449+pool_b)*E449+G449*F449))</f>
        <v>28.039165385257</v>
      </c>
      <c r="J449" s="41">
        <f>IF(AND(I449&gt;=CO2_pH_hi_mt,I450&lt;CO2_pH_hi_mt),EXP(LN(A449)+(LN(A450)-LN(A449))*(I449-CO2_pH_hi_mt)/(I449-I450)),0)</f>
        <v>0.0</v>
      </c>
      <c r="L449" s="41">
        <f>k_eff_CO2_l*B449</f>
        <v>0.0002101382939275</v>
      </c>
      <c r="M449" s="41">
        <f>EXP(-L449)</f>
        <v>0.999789883784</v>
      </c>
      <c r="N449" s="41">
        <f>IF(L449&gt;x_series,(1-EXP(-L449))/L449,1-L449/2+L449^2/6-L449^3/24)</f>
        <v>0.999894938212</v>
      </c>
      <c r="O449" s="41">
        <f>IF(L449&gt;x_series,(L449-1+EXP(-L449))/L449^2,1/2-L449/6+L449^2/24-L449^3/120)</f>
        <v>0.499964978791</v>
      </c>
      <c r="P449" s="41">
        <f>(C_air_CO2/C_sat_CO2*F_vent_ex-CO2_fix_l)*(B449/3600)/(V_L_CO2+Vg_CO2)</f>
        <v>4.497264272194e-07</v>
      </c>
      <c r="Q449" s="41">
        <f>(P449*N449+pool_b*M449)/(1-pool_ret*M449)</f>
        <v>27.992136574119</v>
      </c>
      <c r="R449" s="41">
        <f>MIN(C_sat_CO2,MAX(C_air_CO2,(pool_ret*Q449+pool_b)*N449+P449*O449))</f>
        <v>27.995077665176</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IF(C450&gt;x_series,(1-EXP(-C450))/C450,1-C450/2+C450^2/6-C450^3/24)</f>
        <v>0.99997764421</v>
      </c>
      <c r="F450" s="41">
        <f>IF(C450&gt;x_series,(C450-1+EXP(-C450))/C450^2,1/2-C450/6+C450^2/24-C450^3/120)</f>
        <v>0.499992548042</v>
      </c>
      <c r="G450" s="41">
        <f>(C_air_CO2/C_sat_CO2*F_vent_ex-CO2_fix_sched)*(B450/3600)/(V_L_CO2+Vg_CO2)</f>
        <v>-0.0005908399751586</v>
      </c>
      <c r="H450" s="41">
        <f>(G450*E450+pool_b*D450)/(1-pool_ret*D450)</f>
        <v>28.035776104652</v>
      </c>
      <c r="I450" s="41">
        <f>MIN(C_sat_CO2,MAX(C_air_CO2,(pool_ret*H450+pool_b)*E450+G450*F450))</f>
        <v>28.036698309637</v>
      </c>
      <c r="J450" s="41">
        <f>IF(AND(I450&gt;=CO2_pH_hi_mt,I451&lt;CO2_pH_hi_mt),EXP(LN(A450)+(LN(A451)-LN(A450))*(I450-CO2_pH_hi_mt)/(I450-I451)),0)</f>
        <v>0.0</v>
      </c>
      <c r="L450" s="41">
        <f>k_eff_CO2_l*B450</f>
        <v>0.0002414890264625</v>
      </c>
      <c r="M450" s="41">
        <f>EXP(-L450)</f>
        <v>0.99975854013</v>
      </c>
      <c r="N450" s="41">
        <f>IF(L450&gt;x_series,(1-EXP(-L450))/L450,1-L450/2+L450^2/6-L450^3/24)</f>
        <v>0.999879265206</v>
      </c>
      <c r="O450" s="41">
        <f>IF(L450&gt;x_series,(L450-1+EXP(-L450))/L450^2,1/2-L450/6+L450^2/24-L450^3/120)</f>
        <v>0.499959754259</v>
      </c>
      <c r="P450" s="41">
        <f>(C_air_CO2/C_sat_CO2*F_vent_ex-CO2_fix_l)*(B450/3600)/(V_L_CO2+Vg_CO2)</f>
        <v>5.168215419183e-07</v>
      </c>
      <c r="Q450" s="41">
        <f>(P450*N450+pool_b*M450)/(1-pool_ret*M450)</f>
        <v>27.982675638531</v>
      </c>
      <c r="R450" s="41">
        <f>MIN(C_sat_CO2,MAX(C_air_CO2,(pool_ret*Q450+pool_b)*N450+P450*O450))</f>
        <v>27.986054406642</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IF(C451&gt;x_series,(1-EXP(-C451))/C451,1-C451/2+C451^2/6-C451^3/24)</f>
        <v>0.999974393518</v>
      </c>
      <c r="F451" s="41">
        <f>IF(C451&gt;x_series,(C451-1+EXP(-C451))/C451^2,1/2-C451/6+C451^2/24-C451^3/120)</f>
        <v>0.499991464469</v>
      </c>
      <c r="G451" s="41">
        <f>(C_air_CO2/C_sat_CO2*F_vent_ex-CO2_fix_sched)*(B451/3600)/(V_L_CO2+Vg_CO2)</f>
        <v>-0.0006767538301596</v>
      </c>
      <c r="H451" s="41">
        <f>(G451*E451+pool_b*D451)/(1-pool_ret*D451)</f>
        <v>28.03287914517</v>
      </c>
      <c r="I451" s="41">
        <f>MIN(C_sat_CO2,MAX(C_air_CO2,(pool_ret*H451+pool_b)*E451+G451*F451))</f>
        <v>28.033935375798</v>
      </c>
      <c r="J451" s="41">
        <f>IF(AND(I451&gt;=CO2_pH_hi_mt,I452&lt;CO2_pH_hi_mt),EXP(LN(A451)+(LN(A452)-LN(A451))*(I451-CO2_pH_hi_mt)/(I451-I452)),0)</f>
        <v>0.0</v>
      </c>
      <c r="L451" s="41">
        <f>k_eff_CO2_l*B451</f>
        <v>0.0002766038698654</v>
      </c>
      <c r="M451" s="41">
        <f>EXP(-L451)</f>
        <v>0.999723434381</v>
      </c>
      <c r="N451" s="41">
        <f>IF(L451&gt;x_series,(1-EXP(-L451))/L451,1-L451/2+L451^2/6-L451^3/24)</f>
        <v>0.999861710816</v>
      </c>
      <c r="O451" s="41">
        <f>IF(L451&gt;x_series,(L451-1+EXP(-L451))/L451^2,1/2-L451/6+L451^2/24-L451^3/120)</f>
        <v>0.499953902543</v>
      </c>
      <c r="P451" s="41">
        <f>(C_air_CO2/C_sat_CO2*F_vent_ex-CO2_fix_l)*(B451/3600)/(V_L_CO2+Vg_CO2)</f>
        <v>5.919723998166e-07</v>
      </c>
      <c r="Q451" s="41">
        <f>(P451*N451+pool_b*M451)/(1-pool_ret*M451)</f>
        <v>27.972086019301</v>
      </c>
      <c r="R451" s="41">
        <f>MIN(C_sat_CO2,MAX(C_air_CO2,(pool_ret*Q451+pool_b)*N451+P451*O451))</f>
        <v>27.975954673622</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IF(C452&gt;x_series,(1-EXP(-C452))/C452,1-C452/2+C452^2/6-C452^3/24)</f>
        <v>0.999970752549</v>
      </c>
      <c r="F452" s="41">
        <f>IF(C452&gt;x_series,(C452-1+EXP(-C452))/C452^2,1/2-C452/6+C452^2/24-C452^3/120)</f>
        <v>0.499990250802</v>
      </c>
      <c r="G452" s="41">
        <f>(C_air_CO2/C_sat_CO2*F_vent_ex-CO2_fix_sched)*(B452/3600)/(V_L_CO2+Vg_CO2)</f>
        <v>-0.00077298289151</v>
      </c>
      <c r="H452" s="41">
        <f>(G452*E452+pool_b*D452)/(1-pool_ret*D452)</f>
        <v>28.029634824341</v>
      </c>
      <c r="I452" s="41">
        <f>MIN(C_sat_CO2,MAX(C_air_CO2,(pool_ret*H452+pool_b)*E452+G452*F452))</f>
        <v>28.030841150676</v>
      </c>
      <c r="J452" s="41">
        <f>IF(AND(I452&gt;=CO2_pH_hi_mt,I453&lt;CO2_pH_hi_mt),EXP(LN(A452)+(LN(A453)-LN(A452))*(I452-CO2_pH_hi_mt)/(I452-I453)),0)</f>
        <v>0.0</v>
      </c>
      <c r="L452" s="41">
        <f>k_eff_CO2_l*B452</f>
        <v>0.0003159347603263</v>
      </c>
      <c r="M452" s="41">
        <f>EXP(-L452)</f>
        <v>0.999684115142</v>
      </c>
      <c r="N452" s="41">
        <f>IF(L452&gt;x_series,(1-EXP(-L452))/L452,1-L452/2+L452^2/6-L452^3/24)</f>
        <v>0.999842049254</v>
      </c>
      <c r="O452" s="41">
        <f>IF(L452&gt;x_series,(L452-1+EXP(-L452))/L452^2,1/2-L452/6+L452^2/24-L452^3/120)</f>
        <v>0.499947348365</v>
      </c>
      <c r="P452" s="41">
        <f>(C_air_CO2/C_sat_CO2*F_vent_ex-CO2_fix_l)*(B452/3600)/(V_L_CO2+Vg_CO2)</f>
        <v>6.761462099097e-07</v>
      </c>
      <c r="Q452" s="41">
        <f>(P452*N452+pool_b*M452)/(1-pool_ret*M452)</f>
        <v>27.960234034374</v>
      </c>
      <c r="R452" s="41">
        <f>MIN(C_sat_CO2,MAX(C_air_CO2,(pool_ret*Q452+pool_b)*N452+P452*O452))</f>
        <v>27.964650966362</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IF(C453&gt;x_series,(1-EXP(-C453))/C453,1-C453/2+C453^2/6-C453^3/24)</f>
        <v>0.999966674449</v>
      </c>
      <c r="F453" s="41">
        <f>IF(C453&gt;x_series,(C453-1+EXP(-C453))/C453^2,1/2-C453/6+C453^2/24-C453^3/120)</f>
        <v>0.499988891421</v>
      </c>
      <c r="G453" s="41">
        <f>(C_air_CO2/C_sat_CO2*F_vent_ex-CO2_fix_sched)*(B453/3600)/(V_L_CO2+Vg_CO2)</f>
        <v>-0.0008807656495793</v>
      </c>
      <c r="H453" s="41">
        <f>(G453*E453+pool_b*D453)/(1-pool_ret*D453)</f>
        <v>28.02600155353</v>
      </c>
      <c r="I453" s="41">
        <f>MIN(C_sat_CO2,MAX(C_air_CO2,(pool_ret*H453+pool_b)*E453+G453*F453))</f>
        <v>28.027375969577</v>
      </c>
      <c r="J453" s="41">
        <f>IF(AND(I453&gt;=CO2_pH_hi_mt,I454&lt;CO2_pH_hi_mt),EXP(LN(A453)+(LN(A454)-LN(A453))*(I453-CO2_pH_hi_mt)/(I453-I454)),0)</f>
        <v>0.0</v>
      </c>
      <c r="L453" s="41">
        <f>k_eff_CO2_l*B453</f>
        <v>0.0003599878955405</v>
      </c>
      <c r="M453" s="41">
        <f>EXP(-L453)</f>
        <v>0.999640076892</v>
      </c>
      <c r="N453" s="41">
        <f>IF(L453&gt;x_series,(1-EXP(-L453))/L453,1-L453/2+L453^2/6-L453^3/24)</f>
        <v>0.999820027649</v>
      </c>
      <c r="O453" s="41">
        <f>IF(L453&gt;x_series,(L453-1+EXP(-L453))/L453^2,1/2-L453/6+L453^2/24-L453^3/120)</f>
        <v>0.499940007417</v>
      </c>
      <c r="P453" s="41">
        <f>(C_air_CO2/C_sat_CO2*F_vent_ex-CO2_fix_l)*(B453/3600)/(V_L_CO2+Vg_CO2)</f>
        <v>7.704263086837e-07</v>
      </c>
      <c r="Q453" s="41">
        <f>(P453*N453+pool_b*M453)/(1-pool_ret*M453)</f>
        <v>27.946970413781</v>
      </c>
      <c r="R453" s="41">
        <f>MIN(C_sat_CO2,MAX(C_air_CO2,(pool_ret*Q453+pool_b)*N453+P453*O453))</f>
        <v>27.952000917722</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IF(C454&gt;x_series,(1-EXP(-C454))/C454,1-C454/2+C454^2/6-C454^3/24)</f>
        <v>0.999962106741</v>
      </c>
      <c r="F454" s="41">
        <f>IF(C454&gt;x_series,(C454-1+EXP(-C454))/C454^2,1/2-C454/6+C454^2/24-C454^3/120)</f>
        <v>0.499987368834</v>
      </c>
      <c r="G454" s="41">
        <f>(C_air_CO2/C_sat_CO2*F_vent_ex-CO2_fix_sched)*(B454/3600)/(V_L_CO2+Vg_CO2)</f>
        <v>-0.001001489293</v>
      </c>
      <c r="H454" s="41">
        <f>(G454*E454+pool_b*D454)/(1-pool_ret*D454)</f>
        <v>28.021932780554</v>
      </c>
      <c r="I454" s="41">
        <f>MIN(C_sat_CO2,MAX(C_air_CO2,(pool_ret*H454+pool_b)*E454+G454*F454))</f>
        <v>28.023495433848</v>
      </c>
      <c r="J454" s="41">
        <f>IF(AND(I454&gt;=CO2_pH_hi_mt,I455&lt;CO2_pH_hi_mt),EXP(LN(A454)+(LN(A455)-LN(A454))*(I454-CO2_pH_hi_mt)/(I454-I455)),0)</f>
        <v>0.0</v>
      </c>
      <c r="L454" s="41">
        <f>k_eff_CO2_l*B454</f>
        <v>0.0004093302495898</v>
      </c>
      <c r="M454" s="41">
        <f>EXP(-L454)</f>
        <v>0.999590753515</v>
      </c>
      <c r="N454" s="41">
        <f>IF(L454&gt;x_series,(1-EXP(-L454))/L454,1-L454/2+L454^2/6-L454^3/24)</f>
        <v>0.999795362798</v>
      </c>
      <c r="O454" s="41">
        <f>IF(L454&gt;x_series,(L454-1+EXP(-L454))/L454^2,1/2-L454/6+L454^2/24-L454^3/120)</f>
        <v>0.499931785272</v>
      </c>
      <c r="P454" s="41">
        <f>(C_air_CO2/C_sat_CO2*F_vent_ex-CO2_fix_l)*(B454/3600)/(V_L_CO2+Vg_CO2)</f>
        <v>8.760261029071e-07</v>
      </c>
      <c r="Q454" s="41">
        <f>(P454*N454+pool_b*M454)/(1-pool_ret*M454)</f>
        <v>27.932128544224</v>
      </c>
      <c r="R454" s="41">
        <f>MIN(C_sat_CO2,MAX(C_air_CO2,(pool_ret*Q454+pool_b)*N454+P454*O454))</f>
        <v>27.937845618816</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IF(C455&gt;x_series,(1-EXP(-C455))/C455,1-C455/2+C455^2/6-C455^3/24)</f>
        <v>0.999956990647</v>
      </c>
      <c r="F455" s="41">
        <f>IF(C455&gt;x_series,(C455-1+EXP(-C455))/C455^2,1/2-C455/6+C455^2/24-C455^3/120)</f>
        <v>0.499985663446</v>
      </c>
      <c r="G455" s="41">
        <f>(C_air_CO2/C_sat_CO2*F_vent_ex-CO2_fix_sched)*(B455/3600)/(V_L_CO2+Vg_CO2)</f>
        <v>-0.001136707565</v>
      </c>
      <c r="H455" s="41">
        <f>(G455*E455+pool_b*D455)/(1-pool_ret*D455)</f>
        <v>28.017376401279</v>
      </c>
      <c r="I455" s="41">
        <f>MIN(C_sat_CO2,MAX(C_air_CO2,(pool_ret*H455+pool_b)*E455+G455*F455))</f>
        <v>28.019149849703</v>
      </c>
      <c r="J455" s="41">
        <f>IF(AND(I455&gt;=CO2_pH_hi_mt,I456&lt;CO2_pH_hi_mt),EXP(LN(A455)+(LN(A456)-LN(A455))*(I455-CO2_pH_hi_mt)/(I455-I456)),0)</f>
        <v>0.0</v>
      </c>
      <c r="L455" s="41">
        <f>k_eff_CO2_l*B455</f>
        <v>0.000464596870031</v>
      </c>
      <c r="M455" s="41">
        <f>EXP(-L455)</f>
        <v>0.999535511038</v>
      </c>
      <c r="N455" s="41">
        <f>IF(L455&gt;x_series,(1-EXP(-L455))/L455,1-L455/2+L455^2/6-L455^3/24)</f>
        <v>0.999767737536</v>
      </c>
      <c r="O455" s="41">
        <f>IF(L455&gt;x_series,(L455-1+EXP(-L455))/L455^2,1/2-L455/6+L455^2/24-L455^3/120)</f>
        <v>0.499922576181</v>
      </c>
      <c r="P455" s="41">
        <f>(C_air_CO2/C_sat_CO2*F_vent_ex-CO2_fix_l)*(B455/3600)/(V_L_CO2+Vg_CO2)</f>
        <v>9.943046864579e-07</v>
      </c>
      <c r="Q455" s="41">
        <f>(P455*N455+pool_b*M455)/(1-pool_ret*M455)</f>
        <v>27.915522531825</v>
      </c>
      <c r="R455" s="41">
        <f>MIN(C_sat_CO2,MAX(C_air_CO2,(pool_ret*Q455+pool_b)*N455+P455*O455))</f>
        <v>27.922007771172</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IF(C456&gt;x_series,(1-EXP(-C456))/C456,1-C456/2+C456^2/6-C456^3/24)</f>
        <v>0.999951260332</v>
      </c>
      <c r="F456" s="41">
        <f>IF(C456&gt;x_series,(C456-1+EXP(-C456))/C456^2,1/2-C456/6+C456^2/24-C456^3/120)</f>
        <v>0.499983753312</v>
      </c>
      <c r="G456" s="41">
        <f>(C_air_CO2/C_sat_CO2*F_vent_ex-CO2_fix_sched)*(B456/3600)/(V_L_CO2+Vg_CO2)</f>
        <v>-0.001288160753</v>
      </c>
      <c r="H456" s="41">
        <f>(G456*E456+pool_b*D456)/(1-pool_ret*D456)</f>
        <v>28.012274102506</v>
      </c>
      <c r="I456" s="41">
        <f>MIN(C_sat_CO2,MAX(C_air_CO2,(pool_ret*H456+pool_b)*E456+G456*F456))</f>
        <v>28.014283601482</v>
      </c>
      <c r="J456" s="41">
        <f>IF(AND(I456&gt;=CO2_pH_hi_mt,I457&lt;CO2_pH_hi_mt),EXP(LN(A456)+(LN(A457)-LN(A456))*(I456-CO2_pH_hi_mt)/(I456-I457)),0)</f>
        <v>0.0</v>
      </c>
      <c r="L456" s="41">
        <f>k_eff_CO2_l*B456</f>
        <v>0.0005264990511054</v>
      </c>
      <c r="M456" s="41">
        <f>EXP(-L456)</f>
        <v>0.999473639525</v>
      </c>
      <c r="N456" s="41">
        <f>IF(L456&gt;x_series,(1-EXP(-L456))/L456,1-L456/2+L456^2/6-L456^3/24)</f>
        <v>0.999736796669</v>
      </c>
      <c r="O456" s="41">
        <f>IF(L456&gt;x_series,(L456-1+EXP(-L456))/L456^2,1/2-L456/6+L456^2/24-L456^3/120)</f>
        <v>0.499912261707</v>
      </c>
      <c r="P456" s="41">
        <f>(C_air_CO2/C_sat_CO2*F_vent_ex-CO2_fix_l)*(B456/3600)/(V_L_CO2+Vg_CO2)</f>
        <v>1.126784332178e-06</v>
      </c>
      <c r="Q456" s="41">
        <f>(P456*N456+pool_b*M456)/(1-pool_ret*M456)</f>
        <v>27.896945068309</v>
      </c>
      <c r="R456" s="41">
        <f>MIN(C_sat_CO2,MAX(C_air_CO2,(pool_ret*Q456+pool_b)*N456+P456*O456))</f>
        <v>27.904289651386</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IF(C457&gt;x_series,(1-EXP(-C457))/C457,1-C457/2+C457^2/6-C457^3/24)</f>
        <v>0.999944842062</v>
      </c>
      <c r="F457" s="41">
        <f>IF(C457&gt;x_series,(C457-1+EXP(-C457))/C457^2,1/2-C457/6+C457^2/24-C457^3/120)</f>
        <v>0.499981613852</v>
      </c>
      <c r="G457" s="41">
        <f>(C_air_CO2/C_sat_CO2*F_vent_ex-CO2_fix_sched)*(B457/3600)/(V_L_CO2+Vg_CO2)</f>
        <v>-0.001457798098</v>
      </c>
      <c r="H457" s="41">
        <f>(G457*E457+pool_b*D457)/(1-pool_ret*D457)</f>
        <v>28.006560628348</v>
      </c>
      <c r="I457" s="41">
        <f>MIN(C_sat_CO2,MAX(C_air_CO2,(pool_ret*H457+pool_b)*E457+G457*F457))</f>
        <v>28.008834451959</v>
      </c>
      <c r="J457" s="41">
        <f>IF(AND(I457&gt;=CO2_pH_hi_mt,I458&lt;CO2_pH_hi_mt),EXP(LN(A457)+(LN(A458)-LN(A457))*(I457-CO2_pH_hi_mt)/(I457-I458)),0)</f>
        <v>0.0</v>
      </c>
      <c r="L457" s="41">
        <f>k_eff_CO2_l*B457</f>
        <v>0.0005958334882605</v>
      </c>
      <c r="M457" s="41">
        <f>EXP(-L457)</f>
        <v>0.999404343985</v>
      </c>
      <c r="N457" s="41">
        <f>IF(L457&gt;x_series,(1-EXP(-L457))/L457,1-L457/2+L457^2/6-L457^3/24)</f>
        <v>0.999702142417</v>
      </c>
      <c r="O457" s="41">
        <f>IF(L457&gt;x_series,(L457-1+EXP(-L457))/L457^2,1/2-L457/6+L457^2/24-L457^3/120)</f>
        <v>0.499900709209</v>
      </c>
      <c r="P457" s="41">
        <f>(C_air_CO2/C_sat_CO2*F_vent_ex-CO2_fix_l)*(B457/3600)/(V_L_CO2+Vg_CO2)</f>
        <v>1.275170083876e-06</v>
      </c>
      <c r="Q457" s="41">
        <f>(P457*N457+pool_b*M457)/(1-pool_ret*M457)</f>
        <v>27.876165085827</v>
      </c>
      <c r="R457" s="41">
        <f>MIN(C_sat_CO2,MAX(C_air_CO2,(pool_ret*Q457+pool_b)*N457+P457*O457))</f>
        <v>27.884470874123</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IF(C458&gt;x_series,(1-EXP(-C458))/C458,1-C458/2+C458^2/6-C458^3/24)</f>
        <v>0.99993765325</v>
      </c>
      <c r="F458" s="41">
        <f>IF(C458&gt;x_series,(C458-1+EXP(-C458))/C458^2,1/2-C458/6+C458^2/24-C458^3/120)</f>
        <v>0.499979217534</v>
      </c>
      <c r="G458" s="41">
        <f>(C_air_CO2/C_sat_CO2*F_vent_ex-CO2_fix_sched)*(B458/3600)/(V_L_CO2+Vg_CO2)</f>
        <v>-0.00164780287</v>
      </c>
      <c r="H458" s="41">
        <f>(G458*E458+pool_b*D458)/(1-pool_ret*D458)</f>
        <v>28.000162961532</v>
      </c>
      <c r="I458" s="41">
        <f>MIN(C_sat_CO2,MAX(C_air_CO2,(pool_ret*H458+pool_b)*E458+G458*F458))</f>
        <v>28.002732761498</v>
      </c>
      <c r="J458" s="41">
        <f>IF(AND(I458&gt;=CO2_pH_hi_mt,I459&lt;CO2_pH_hi_mt),EXP(LN(A458)+(LN(A459)-LN(A458))*(I458-CO2_pH_hi_mt)/(I458-I459)),0)</f>
        <v>0.0</v>
      </c>
      <c r="L458" s="41">
        <f>k_eff_CO2_l*B458</f>
        <v>0.0006734925318062</v>
      </c>
      <c r="M458" s="41">
        <f>EXP(-L458)</f>
        <v>0.999326734213</v>
      </c>
      <c r="N458" s="41">
        <f>IF(L458&gt;x_series,(1-EXP(-L458))/L458,1-L458/2+L458^2/6-L458^3/24)</f>
        <v>0.99966332932</v>
      </c>
      <c r="O458" s="41">
        <f>IF(L458&gt;x_series,(L458-1+EXP(-L458))/L458^2,1/2-L458/6+L458^2/24-L458^3/120)</f>
        <v>0.499887770142</v>
      </c>
      <c r="P458" s="41">
        <f>(C_air_CO2/C_sat_CO2*F_vent_ex-CO2_fix_l)*(B458/3600)/(V_L_CO2+Vg_CO2)</f>
        <v>1.441371700642e-06</v>
      </c>
      <c r="Q458" s="41">
        <f>(P458*N458+pool_b*M458)/(1-pool_ret*M458)</f>
        <v>27.85292518598</v>
      </c>
      <c r="R458" s="41">
        <f>MIN(C_sat_CO2,MAX(C_air_CO2,(pool_ret*Q458+pool_b)*N458+P458*O458))</f>
        <v>27.862305939683</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IF(C459&gt;x_series,(1-EXP(-C459))/C459,1-C459/2+C459^2/6-C459^3/24)</f>
        <v>0.999929601399</v>
      </c>
      <c r="F459" s="41">
        <f>IF(C459&gt;x_series,(C459-1+EXP(-C459))/C459^2,1/2-C459/6+C459^2/24-C459^3/120)</f>
        <v>0.499976533524</v>
      </c>
      <c r="G459" s="41">
        <f>(C_air_CO2/C_sat_CO2*F_vent_ex-CO2_fix_sched)*(B459/3600)/(V_L_CO2+Vg_CO2)</f>
        <v>-0.001860620474</v>
      </c>
      <c r="H459" s="41">
        <f>(G459*E459+pool_b*D459)/(1-pool_ret*D459)</f>
        <v>27.992999410163</v>
      </c>
      <c r="I459" s="41">
        <f>MIN(C_sat_CO2,MAX(C_air_CO2,(pool_ret*H459+pool_b)*E459+G459*F459))</f>
        <v>27.995900617048</v>
      </c>
      <c r="J459" s="41">
        <f>IF(AND(I459&gt;=CO2_pH_hi_mt,I460&lt;CO2_pH_hi_mt),EXP(LN(A459)+(LN(A460)-LN(A459))*(I459-CO2_pH_hi_mt)/(I459-I460)),0)</f>
        <v>0.0</v>
      </c>
      <c r="L459" s="41">
        <f>k_eff_CO2_l*B459</f>
        <v>0.0007604756716698</v>
      </c>
      <c r="M459" s="41">
        <f>EXP(-L459)</f>
        <v>0.999239813417</v>
      </c>
      <c r="N459" s="41">
        <f>IF(L459&gt;x_series,(1-EXP(-L459))/L459,1-L459/2+L459^2/6-L459^3/24)</f>
        <v>0.999619858533</v>
      </c>
      <c r="O459" s="41">
        <f>IF(L459&gt;x_series,(L459-1+EXP(-L459))/L459^2,1/2-L459/6+L459^2/24-L459^3/120)</f>
        <v>0.499873278148</v>
      </c>
      <c r="P459" s="41">
        <f>(C_air_CO2/C_sat_CO2*F_vent_ex-CO2_fix_l)*(B459/3600)/(V_L_CO2+Vg_CO2)</f>
        <v>1.627528235883e-06</v>
      </c>
      <c r="Q459" s="41">
        <f>(P459*N459+pool_b*M459)/(1-pool_ret*M459)</f>
        <v>27.826938829406</v>
      </c>
      <c r="R459" s="41">
        <f>MIN(C_sat_CO2,MAX(C_air_CO2,(pool_ret*Q459+pool_b)*N459+P459*O459))</f>
        <v>27.837521553105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IF(C460&gt;x_series,(1-EXP(-C460))/C460,1-C460/2+C460^2/6-C460^3/24)</f>
        <v>0.999920582909</v>
      </c>
      <c r="F460" s="41">
        <f>IF(C460&gt;x_series,(C460-1+EXP(-C460))/C460^2,1/2-C460/6+C460^2/24-C460^3/120)</f>
        <v>0.499973527286</v>
      </c>
      <c r="G460" s="41">
        <f>(C_air_CO2/C_sat_CO2*F_vent_ex-CO2_fix_sched)*(B460/3600)/(V_L_CO2+Vg_CO2)</f>
        <v>-0.002098989924</v>
      </c>
      <c r="H460" s="41">
        <f>(G460*E460+pool_b*D460)/(1-pool_ret*D460)</f>
        <v>27.984978589556</v>
      </c>
      <c r="I460" s="41">
        <f>MIN(C_sat_CO2,MAX(C_air_CO2,(pool_ret*H460+pool_b)*E460+G460*F460))</f>
        <v>27.988250861037</v>
      </c>
      <c r="J460" s="41">
        <f>IF(AND(I460&gt;=CO2_pH_hi_mt,I461&lt;CO2_pH_hi_mt),EXP(LN(A460)+(LN(A461)-LN(A460))*(I460-CO2_pH_hi_mt)/(I460-I461)),0)</f>
        <v>0.0</v>
      </c>
      <c r="L460" s="41">
        <f>k_eff_CO2_l*B460</f>
        <v>0.0008579024010638</v>
      </c>
      <c r="M460" s="41">
        <f>EXP(-L460)</f>
        <v>0.999142465492</v>
      </c>
      <c r="N460" s="41">
        <f>IF(L460&gt;x_series,(1-EXP(-L460))/L460,1-L460/2+L460^2/6-L460^3/24)</f>
        <v>0.999571171439</v>
      </c>
      <c r="O460" s="41">
        <f>IF(L460&gt;x_series,(L460-1+EXP(-L460))/L460^2,1/2-L460/6+L460^2/24-L460^3/120)</f>
        <v>0.499857046928</v>
      </c>
      <c r="P460" s="41">
        <f>(C_air_CO2/C_sat_CO2*F_vent_ex-CO2_fix_l)*(B460/3600)/(V_L_CO2+Vg_CO2)</f>
        <v>1.836035567446e-06</v>
      </c>
      <c r="Q460" s="41">
        <f>(P460*N460+pool_b*M460)/(1-pool_ret*M460)</f>
        <v>27.797887273865</v>
      </c>
      <c r="R460" s="41">
        <f>MIN(C_sat_CO2,MAX(C_air_CO2,(pool_ret*Q460+pool_b)*N460+P460*O460))</f>
        <v>27.809813703293</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IF(C461&gt;x_series,(1-EXP(-C461))/C461,1-C461/2+C461^2/6-C461^3/24)</f>
        <v>0.999910481747</v>
      </c>
      <c r="F461" s="41">
        <f>IF(C461&gt;x_series,(C461-1+EXP(-C461))/C461^2,1/2-C461/6+C461^2/24-C461^3/120)</f>
        <v>0.499970160137</v>
      </c>
      <c r="G461" s="41">
        <f>(C_air_CO2/C_sat_CO2*F_vent_ex-CO2_fix_sched)*(B461/3600)/(V_L_CO2+Vg_CO2)</f>
        <v>-0.002365979089</v>
      </c>
      <c r="H461" s="41">
        <f>(G461*E461+pool_b*D461)/(1-pool_ret*D461)</f>
        <v>27.975998287715</v>
      </c>
      <c r="I461" s="41">
        <f>MIN(C_sat_CO2,MAX(C_air_CO2,(pool_ret*H461+pool_b)*E461+G461*F461))</f>
        <v>27.979686009305</v>
      </c>
      <c r="J461" s="41">
        <f>IF(AND(I461&gt;=CO2_pH_hi_mt,I462&lt;CO2_pH_hi_mt),EXP(LN(A461)+(LN(A462)-LN(A461))*(I461-CO2_pH_hi_mt)/(I461-I462)),0)</f>
        <v>0.0</v>
      </c>
      <c r="L461" s="41">
        <f>k_eff_CO2_l*B461</f>
        <v>0.0009670266246237</v>
      </c>
      <c r="M461" s="41">
        <f>EXP(-L461)</f>
        <v>0.999033440795</v>
      </c>
      <c r="N461" s="41">
        <f>IF(L461&gt;x_series,(1-EXP(-L461))/L461,1-L461/2+L461^2/6-L461^3/24)</f>
        <v>0.999516642507</v>
      </c>
      <c r="O461" s="41">
        <f>IF(L461&gt;x_series,(L461-1+EXP(-L461))/L461^2,1/2-L461/6+L461^2/24-L461^3/120)</f>
        <v>0.499838867853</v>
      </c>
      <c r="P461" s="41">
        <f>(C_air_CO2/C_sat_CO2*F_vent_ex-CO2_fix_l)*(B461/3600)/(V_L_CO2+Vg_CO2)</f>
        <v>2.069577233116e-06</v>
      </c>
      <c r="Q461" s="41">
        <f>(P461*N461+pool_b*M461)/(1-pool_ret*M461)</f>
        <v>27.765416251135</v>
      </c>
      <c r="R461" s="41">
        <f>MIN(C_sat_CO2,MAX(C_air_CO2,(pool_ret*Q461+pool_b)*N461+P461*O461))</f>
        <v>27.778844492866</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IF(C462&gt;x_series,(1-EXP(-C462))/C462,1-C462/2+C462^2/6-C462^3/24)</f>
        <v>0.999899167955</v>
      </c>
      <c r="F462" s="41">
        <f>IF(C462&gt;x_series,(C462-1+EXP(-C462))/C462^2,1/2-C462/6+C462^2/24-C462^3/120)</f>
        <v>0.499966388754</v>
      </c>
      <c r="G462" s="41">
        <f>(C_air_CO2/C_sat_CO2*F_vent_ex-CO2_fix_sched)*(B462/3600)/(V_L_CO2+Vg_CO2)</f>
        <v>-0.002665024182</v>
      </c>
      <c r="H462" s="41">
        <f>(G462*E462+pool_b*D462)/(1-pool_ret*D462)</f>
        <v>27.965944201967</v>
      </c>
      <c r="I462" s="41">
        <f>MIN(C_sat_CO2,MAX(C_air_CO2,(pool_ret*H462+pool_b)*E462+G462*F462))</f>
        <v>27.970097046135</v>
      </c>
      <c r="J462" s="41">
        <f>IF(AND(I462&gt;=CO2_pH_hi_mt,I463&lt;CO2_pH_hi_mt),EXP(LN(A462)+(LN(A463)-LN(A462))*(I462-CO2_pH_hi_mt)/(I462-I463)),0)</f>
        <v>0.0</v>
      </c>
      <c r="L462" s="41">
        <f>k_eff_CO2_l*B462</f>
        <v>0.001089252796</v>
      </c>
      <c r="M462" s="41">
        <f>EXP(-L462)</f>
        <v>0.998911340224</v>
      </c>
      <c r="N462" s="41">
        <f>IF(L462&gt;x_series,(1-EXP(-L462))/L462,1-L462/2+L462^2/6-L462^3/24)</f>
        <v>0.999455571293</v>
      </c>
      <c r="O462" s="41">
        <f>IF(L462&gt;x_series,(L462-1+EXP(-L462))/L462^2,1/2-L462/6+L462^2/24-L462^3/120)</f>
        <v>0.499818507329</v>
      </c>
      <c r="P462" s="41">
        <f>(C_air_CO2/C_sat_CO2*F_vent_ex-CO2_fix_l)*(B462/3600)/(V_L_CO2+Vg_CO2)</f>
        <v>2.33115896837e-06</v>
      </c>
      <c r="Q462" s="41">
        <f>(P462*N462+pool_b*M462)/(1-pool_ret*M462)</f>
        <v>27.729132376595</v>
      </c>
      <c r="R462" s="41">
        <f>MIN(C_sat_CO2,MAX(C_air_CO2,(pool_ret*Q462+pool_b)*N462+P462*O462))</f>
        <v>27.744238712882</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IF(C463&gt;x_series,(1-EXP(-C463))/C463,1-C463/2+C463^2/6-C463^3/24)</f>
        <v>0.999886495981</v>
      </c>
      <c r="F463" s="41">
        <f>IF(C463&gt;x_series,(C463-1+EXP(-C463))/C463^2,1/2-C463/6+C463^2/24-C463^3/120)</f>
        <v>0.499962164611</v>
      </c>
      <c r="G463" s="41">
        <f>(C_air_CO2/C_sat_CO2*F_vent_ex-CO2_fix_sched)*(B463/3600)/(V_L_CO2+Vg_CO2)</f>
        <v>-0.002999973982</v>
      </c>
      <c r="H463" s="41">
        <f>(G463*E463+pool_b*D463)/(1-pool_ret*D463)</f>
        <v>27.954688533147</v>
      </c>
      <c r="I463" s="41">
        <f>MIN(C_sat_CO2,MAX(C_air_CO2,(pool_ret*H463+pool_b)*E463+G463*F463))</f>
        <v>27.959362083411</v>
      </c>
      <c r="J463" s="41">
        <f>IF(AND(I463&gt;=CO2_pH_hi_mt,I464&lt;CO2_pH_hi_mt),EXP(LN(A463)+(LN(A464)-LN(A463))*(I463-CO2_pH_hi_mt)/(I463-I464)),0)</f>
        <v>0.0</v>
      </c>
      <c r="L463" s="41">
        <f>k_eff_CO2_l*B463</f>
        <v>0.001226153996</v>
      </c>
      <c r="M463" s="41">
        <f>EXP(-L463)</f>
        <v>0.998774597424</v>
      </c>
      <c r="N463" s="41">
        <f>IF(L463&gt;x_series,(1-EXP(-L463))/L463,1-L463/2+L463^2/6-L463^3/24)</f>
        <v>0.999387173501</v>
      </c>
      <c r="O463" s="41">
        <f>IF(L463&gt;x_series,(L463-1+EXP(-L463))/L463^2,1/2-L463/6+L463^2/24-L463^3/120)</f>
        <v>0.499795703592</v>
      </c>
      <c r="P463" s="41">
        <f>(C_air_CO2/C_sat_CO2*F_vent_ex-CO2_fix_l)*(B463/3600)/(V_L_CO2+Vg_CO2)</f>
        <v>2.624147390896e-06</v>
      </c>
      <c r="Q463" s="41">
        <f>(P463*N463+pool_b*M463)/(1-pool_ret*M463)</f>
        <v>27.688599290311</v>
      </c>
      <c r="R463" s="41">
        <f>MIN(C_sat_CO2,MAX(C_air_CO2,(pool_ret*Q463+pool_b)*N463+P463*O463))</f>
        <v>27.705580161244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IF(C464&gt;x_series,(1-EXP(-C464))/C464,1-C464/2+C464^2/6-C464^3/24)</f>
        <v>0.999872302807</v>
      </c>
      <c r="F464" s="41">
        <f>IF(C464&gt;x_series,(C464-1+EXP(-C464))/C464^2,1/2-C464/6+C464^2/24-C464^3/120)</f>
        <v>0.499957433363</v>
      </c>
      <c r="G464" s="41">
        <f>(C_air_CO2/C_sat_CO2*F_vent_ex-CO2_fix_sched)*(B464/3600)/(V_L_CO2+Vg_CO2)</f>
        <v>-0.003375139372</v>
      </c>
      <c r="H464" s="41">
        <f>(G464*E464+pool_b*D464)/(1-pool_ret*D464)</f>
        <v>27.942088422528</v>
      </c>
      <c r="I464" s="41">
        <f>MIN(C_sat_CO2,MAX(C_air_CO2,(pool_ret*H464+pool_b)*E464+G464*F464))</f>
        <v>27.947344869785</v>
      </c>
      <c r="J464" s="41">
        <f>IF(AND(I464&gt;=CO2_pH_hi_mt,I465&lt;CO2_pH_hi_mt),EXP(LN(A464)+(LN(A465)-LN(A464))*(I464-CO2_pH_hi_mt)/(I464-I465)),0)</f>
        <v>0.0</v>
      </c>
      <c r="L464" s="41">
        <f>k_eff_CO2_l*B464</f>
        <v>0.001379492173</v>
      </c>
      <c r="M464" s="41">
        <f>EXP(-L464)</f>
        <v>0.998621458889</v>
      </c>
      <c r="N464" s="41">
        <f>IF(L464&gt;x_series,(1-EXP(-L464))/L464,1-L464/2+L464^2/6-L464^3/24)</f>
        <v>0.999310570971</v>
      </c>
      <c r="O464" s="41">
        <f>IF(L464&gt;x_series,(L464-1+EXP(-L464))/L464^2,1/2-L464/6+L464^2/24-L464^3/120)</f>
        <v>0.499770163909</v>
      </c>
      <c r="P464" s="41">
        <f>(C_air_CO2/C_sat_CO2*F_vent_ex-CO2_fix_l)*(B464/3600)/(V_L_CO2+Vg_CO2)</f>
        <v>2.952313329742e-06</v>
      </c>
      <c r="Q464" s="41">
        <f>(P464*N464+pool_b*M464)/(1-pool_ret*M464)</f>
        <v>27.643333535176</v>
      </c>
      <c r="R464" s="41">
        <f>MIN(C_sat_CO2,MAX(C_air_CO2,(pool_ret*Q464+pool_b)*N464+P464*O464))</f>
        <v>27.662407710022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IF(C465&gt;x_series,(1-EXP(-C465))/C465,1-C465/2+C465^2/6-C465^3/24)</f>
        <v>0.999856405855</v>
      </c>
      <c r="F465" s="41">
        <f>IF(C465&gt;x_series,(C465-1+EXP(-C465))/C465^2,1/2-C465/6+C465^2/24-C465^3/120)</f>
        <v>0.499952134139</v>
      </c>
      <c r="G465" s="41">
        <f>(C_air_CO2/C_sat_CO2*F_vent_ex-CO2_fix_sched)*(B465/3600)/(V_L_CO2+Vg_CO2)</f>
        <v>-0.003795348817</v>
      </c>
      <c r="H465" s="41">
        <f>(G465*E465+pool_b*D465)/(1-pool_ret*D465)</f>
        <v>27.927984215505</v>
      </c>
      <c r="I465" s="41">
        <f>MIN(C_sat_CO2,MAX(C_air_CO2,(pool_ret*H465+pool_b)*E465+G465*F465))</f>
        <v>27.933893134587</v>
      </c>
      <c r="J465" s="41">
        <f>IF(AND(I465&gt;=CO2_pH_hi_mt,I466&lt;CO2_pH_hi_mt),EXP(LN(A465)+(LN(A466)-LN(A465))*(I465-CO2_pH_hi_mt)/(I465-I466)),0)</f>
        <v>0.0</v>
      </c>
      <c r="L465" s="41">
        <f>k_eff_CO2_l*B465</f>
        <v>0.001551240826</v>
      </c>
      <c r="M465" s="41">
        <f>EXP(-L465)</f>
        <v>0.998449961727</v>
      </c>
      <c r="N465" s="41">
        <f>IF(L465&gt;x_series,(1-EXP(-L465))/L465,1-L465/2+L465^2/6-L465^3/24)</f>
        <v>0.99922478049</v>
      </c>
      <c r="O465" s="41">
        <f>IF(L465&gt;x_series,(L465-1+EXP(-L465))/L465^2,1/2-L465/6+L465^2/24-L465^3/120)</f>
        <v>0.499741560087</v>
      </c>
      <c r="P465" s="41">
        <f>(C_air_CO2/C_sat_CO2*F_vent_ex-CO2_fix_l)*(B465/3600)/(V_L_CO2+Vg_CO2)</f>
        <v>3.319880356759e-06</v>
      </c>
      <c r="Q465" s="41">
        <f>(P465*N465+pool_b*M465)/(1-pool_ret*M465)</f>
        <v>27.592800186564</v>
      </c>
      <c r="R465" s="41">
        <f>MIN(C_sat_CO2,MAX(C_air_CO2,(pool_ret*Q465+pool_b)*N465+P465*O465))</f>
        <v>27.614211135441</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IF(C466&gt;x_series,(1-EXP(-C466))/C466,1-C466/2+C466^2/6-C466^3/24)</f>
        <v>0.999838600642</v>
      </c>
      <c r="F466" s="41">
        <f>IF(C466&gt;x_series,(C466-1+EXP(-C466))/C466^2,1/2-C466/6+C466^2/24-C466^3/120)</f>
        <v>0.499946198767</v>
      </c>
      <c r="G466" s="41">
        <f>(C_air_CO2/C_sat_CO2*F_vent_ex-CO2_fix_sched)*(B466/3600)/(V_L_CO2+Vg_CO2)</f>
        <v>-0.004266010509</v>
      </c>
      <c r="H466" s="41">
        <f>(G466*E466+pool_b*D466)/(1-pool_ret*D466)</f>
        <v>27.912197534837</v>
      </c>
      <c r="I466" s="41">
        <f>MIN(C_sat_CO2,MAX(C_air_CO2,(pool_ret*H466+pool_b)*E466+G466*F466))</f>
        <v>27.918836750081</v>
      </c>
      <c r="J466" s="41">
        <f>IF(AND(I466&gt;=CO2_pH_hi_mt,I467&lt;CO2_pH_hi_mt),EXP(LN(A466)+(LN(A467)-LN(A466))*(I466-CO2_pH_hi_mt)/(I466-I467)),0)</f>
        <v>0.0</v>
      </c>
      <c r="L466" s="41">
        <f>k_eff_CO2_l*B466</f>
        <v>0.001743610399</v>
      </c>
      <c r="M466" s="41">
        <f>EXP(-L466)</f>
        <v>0.998257908807</v>
      </c>
      <c r="N466" s="41">
        <f>IF(L466&gt;x_series,(1-EXP(-L466))/L466,1-L466/2+L466^2/6-L466^3/24)</f>
        <v>0.999128701276</v>
      </c>
      <c r="O466" s="41">
        <f>IF(L466&gt;x_series,(L466-1+EXP(-L466))/L466^2,1/2-L466/6+L466^2/24-L466^3/120)</f>
        <v>0.499709524892</v>
      </c>
      <c r="P466" s="41">
        <f>(C_air_CO2/C_sat_CO2*F_vent_ex-CO2_fix_l)*(B466/3600)/(V_L_CO2+Vg_CO2)</f>
        <v>3.731579144956e-06</v>
      </c>
      <c r="Q466" s="41">
        <f>(P466*N466+pool_b*M466)/(1-pool_ret*M466)</f>
        <v>27.536408259493</v>
      </c>
      <c r="R466" s="41">
        <f>MIN(C_sat_CO2,MAX(C_air_CO2,(pool_ret*Q466+pool_b)*N466+P466*O466))</f>
        <v>27.560426735191</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IF(C467&gt;x_series,(1-EXP(-C467))/C467,1-C467/2+C467^2/6-C467^3/24)</f>
        <v>0.999818658158</v>
      </c>
      <c r="F467" s="41">
        <f>IF(C467&gt;x_series,(C467-1+EXP(-C467))/C467^2,1/2-C467/6+C467^2/24-C467^3/120)</f>
        <v>0.499939550892</v>
      </c>
      <c r="G467" s="41">
        <f>(C_air_CO2/C_sat_CO2*F_vent_ex-CO2_fix_sched)*(B467/3600)/(V_L_CO2+Vg_CO2)</f>
        <v>-0.004793181976</v>
      </c>
      <c r="H467" s="41">
        <f>(G467*E467+pool_b*D467)/(1-pool_ret*D467)</f>
        <v>27.894529145055</v>
      </c>
      <c r="I467" s="41">
        <f>MIN(C_sat_CO2,MAX(C_air_CO2,(pool_ret*H467+pool_b)*E467+G467*F467))</f>
        <v>27.901985694517</v>
      </c>
      <c r="J467" s="41">
        <f>IF(AND(I467&gt;=CO2_pH_hi_mt,I468&lt;CO2_pH_hi_mt),EXP(LN(A467)+(LN(A468)-LN(A467))*(I467-CO2_pH_hi_mt)/(I467-I468)),0)</f>
        <v>0.0</v>
      </c>
      <c r="L467" s="41">
        <f>k_eff_CO2_l*B467</f>
        <v>0.001959076734</v>
      </c>
      <c r="M467" s="41">
        <f>EXP(-L467)</f>
        <v>0.998042841004</v>
      </c>
      <c r="N467" s="41">
        <f>IF(L467&gt;x_series,(1-EXP(-L467))/L467,1-L467/2+L467^2/6-L467^3/24)</f>
        <v>0.999021100983</v>
      </c>
      <c r="O467" s="41">
        <f>IF(L467&gt;x_series,(L467-1+EXP(-L467))/L467^2,1/2-L467/6+L467^2/24-L467^3/120)</f>
        <v>0.499673647064</v>
      </c>
      <c r="P467" s="41">
        <f>(C_air_CO2/C_sat_CO2*F_vent_ex-CO2_fix_l)*(B467/3600)/(V_L_CO2+Vg_CO2)</f>
        <v>4.192708353356e-06</v>
      </c>
      <c r="Q467" s="41">
        <f>(P467*N467+pool_b*M467)/(1-pool_ret*M467)</f>
        <v>27.473505934052</v>
      </c>
      <c r="R467" s="41">
        <f>MIN(C_sat_CO2,MAX(C_air_CO2,(pool_ret*Q467+pool_b)*N467+P467*O467))</f>
        <v>27.500432771881</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IF(C468&gt;x_series,(1-EXP(-C468))/C468,1-C468/2+C468^2/6-C468^3/24)</f>
        <v>0.999796321918</v>
      </c>
      <c r="F468" s="41">
        <f>IF(C468&gt;x_series,(C468-1+EXP(-C468))/C468^2,1/2-C468/6+C468^2/24-C468^3/120)</f>
        <v>0.499932105001</v>
      </c>
      <c r="G468" s="41">
        <f>(C_air_CO2/C_sat_CO2*F_vent_ex-CO2_fix_sched)*(B468/3600)/(V_L_CO2+Vg_CO2)</f>
        <v>-0.005383648035</v>
      </c>
      <c r="H468" s="41">
        <f>(G468*E468+pool_b*D468)/(1-pool_ret*D468)</f>
        <v>27.874756588559</v>
      </c>
      <c r="I468" s="41">
        <f>MIN(C_sat_CO2,MAX(C_air_CO2,(pool_ret*H468+pool_b)*E468+G468*F468))</f>
        <v>27.883127797394</v>
      </c>
      <c r="J468" s="41">
        <f>IF(AND(I468&gt;=CO2_pH_hi_mt,I469&lt;CO2_pH_hi_mt),EXP(LN(A468)+(LN(A469)-LN(A468))*(I468-CO2_pH_hi_mt)/(I468-I469)),0)</f>
        <v>0.0</v>
      </c>
      <c r="L468" s="41">
        <f>k_eff_CO2_l*B468</f>
        <v>0.002200412933</v>
      </c>
      <c r="M468" s="41">
        <f>EXP(-L468)</f>
        <v>0.997802006201</v>
      </c>
      <c r="N468" s="41">
        <f>IF(L468&gt;x_series,(1-EXP(-L468))/L468,1-L468/2+L468^2/6-L468^3/24)</f>
        <v>0.998900600059</v>
      </c>
      <c r="O468" s="41">
        <f>IF(L468&gt;x_series,(L468-1+EXP(-L468))/L468^2,1/2-L468/6+L468^2/24-L468^3/120)</f>
        <v>0.499633466174</v>
      </c>
      <c r="P468" s="41">
        <f>(C_air_CO2/C_sat_CO2*F_vent_ex-CO2_fix_l)*(B468/3600)/(V_L_CO2+Vg_CO2)</f>
        <v>4.709202821973e-06</v>
      </c>
      <c r="Q468" s="41">
        <f>(P468*N468+pool_b*M468)/(1-pool_ret*M468)</f>
        <v>27.403375658336</v>
      </c>
      <c r="R468" s="41">
        <f>MIN(C_sat_CO2,MAX(C_air_CO2,(pool_ret*Q468+pool_b)*N468+P468*O468))</f>
        <v>27.433544798968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IF(C469&gt;x_series,(1-EXP(-C469))/C469,1-C469/2+C469^2/6-C469^3/24)</f>
        <v>0.999771304678</v>
      </c>
      <c r="F469" s="41">
        <f>IF(C469&gt;x_series,(C469-1+EXP(-C469))/C469^2,1/2-C469/6+C469^2/24-C469^3/120)</f>
        <v>0.49992376532</v>
      </c>
      <c r="G469" s="41">
        <f>(C_air_CO2/C_sat_CO2*F_vent_ex-CO2_fix_sched)*(B469/3600)/(V_L_CO2+Vg_CO2)</f>
        <v>-0.006045008121</v>
      </c>
      <c r="H469" s="41">
        <f>(G469*E469+pool_b*D469)/(1-pool_ret*D469)</f>
        <v>27.852631572936</v>
      </c>
      <c r="I469" s="41">
        <f>MIN(C_sat_CO2,MAX(C_air_CO2,(pool_ret*H469+pool_b)*E469+G469*F469))</f>
        <v>27.862026247401</v>
      </c>
      <c r="J469" s="41">
        <f>IF(AND(I469&gt;=CO2_pH_hi_mt,I470&lt;CO2_pH_hi_mt),EXP(LN(A469)+(LN(A470)-LN(A469))*(I469-CO2_pH_hi_mt)/(I469-I470)),0)</f>
        <v>0.0</v>
      </c>
      <c r="L469" s="41">
        <f>k_eff_CO2_l*B469</f>
        <v>0.002470725048</v>
      </c>
      <c r="M469" s="41">
        <f>EXP(-L469)</f>
        <v>0.997532324681</v>
      </c>
      <c r="N469" s="41">
        <f>IF(L469&gt;x_series,(1-EXP(-L469))/L469,1-L469/2+L469^2/6-L469^3/24)</f>
        <v>0.998765654261</v>
      </c>
      <c r="O469" s="41">
        <f>IF(L469&gt;x_series,(L469-1+EXP(-L469))/L469^2,1/2-L469/6+L469^2/24-L469^3/120)</f>
        <v>0.499588466728</v>
      </c>
      <c r="P469" s="41">
        <f>(C_air_CO2/C_sat_CO2*F_vent_ex-CO2_fix_l)*(B469/3600)/(V_L_CO2+Vg_CO2)</f>
        <v>5.287709954579e-06</v>
      </c>
      <c r="Q469" s="41">
        <f>(P469*N469+pool_b*M469)/(1-pool_ret*M469)</f>
        <v>27.325229211051</v>
      </c>
      <c r="R469" s="41">
        <f>MIN(C_sat_CO2,MAX(C_air_CO2,(pool_ret*Q469+pool_b)*N469+P469*O469))</f>
        <v>27.359010947392</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IF(C470&gt;x_series,(1-EXP(-C470))/C470,1-C470/2+C470^2/6-C470^3/24)</f>
        <v>0.999743284746</v>
      </c>
      <c r="F470" s="41">
        <f>IF(C470&gt;x_series,(C470-1+EXP(-C470))/C470^2,1/2-C470/6+C470^2/24-C470^3/120)</f>
        <v>0.499914424587</v>
      </c>
      <c r="G470" s="41">
        <f>(C_air_CO2/C_sat_CO2*F_vent_ex-CO2_fix_sched)*(B470/3600)/(V_L_CO2+Vg_CO2)</f>
        <v>-0.006785774094</v>
      </c>
      <c r="H470" s="41">
        <f>(G470*E470+pool_b*D470)/(1-pool_ret*D470)</f>
        <v>27.827877088271</v>
      </c>
      <c r="I470" s="41">
        <f>MIN(C_sat_CO2,MAX(C_air_CO2,(pool_ret*H470+pool_b)*E470+G470*F470))</f>
        <v>27.838416842789</v>
      </c>
      <c r="J470" s="41">
        <f>IF(AND(I470&gt;=CO2_pH_hi_mt,I471&lt;CO2_pH_hi_mt),EXP(LN(A470)+(LN(A471)-LN(A470))*(I470-CO2_pH_hi_mt)/(I470-I471)),0)</f>
        <v>0.0</v>
      </c>
      <c r="L470" s="41">
        <f>k_eff_CO2_l*B470</f>
        <v>0.00277349206</v>
      </c>
      <c r="M470" s="41">
        <f>EXP(-L470)</f>
        <v>0.997230350516</v>
      </c>
      <c r="N470" s="41">
        <f>IF(L470&gt;x_series,(1-EXP(-L470))/L470,1-L470/2+L470^2/6-L470^3/24)</f>
        <v>0.998614535125</v>
      </c>
      <c r="O470" s="41">
        <f>IF(L470&gt;x_series,(L470-1+EXP(-L470))/L470^2,1/2-L470/6+L470^2/24-L470^3/120)</f>
        <v>0.499538071645</v>
      </c>
      <c r="P470" s="41">
        <f>(C_air_CO2/C_sat_CO2*F_vent_ex-CO2_fix_l)*(B470/3600)/(V_L_CO2+Vg_CO2)</f>
        <v>5.935675272332e-06</v>
      </c>
      <c r="Q470" s="41">
        <f>(P470*N470+pool_b*M470)/(1-pool_ret*M470)</f>
        <v>27.238202833924</v>
      </c>
      <c r="R470" s="41">
        <f>MIN(C_sat_CO2,MAX(C_air_CO2,(pool_ret*Q470+pool_b)*N470+P470*O470))</f>
        <v>27.276007277759</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IF(C471&gt;x_series,(1-EXP(-C471))/C471,1-C471/2+C471^2/6-C471^3/24)</f>
        <v>0.999711901857</v>
      </c>
      <c r="F471" s="41">
        <f>IF(C471&gt;x_series,(C471-1+EXP(-C471))/C471^2,1/2-C471/6+C471^2/24-C471^3/120)</f>
        <v>0.499903962674</v>
      </c>
      <c r="G471" s="41">
        <f>(C_air_CO2/C_sat_CO2*F_vent_ex-CO2_fix_sched)*(B471/3600)/(V_L_CO2+Vg_CO2)</f>
        <v>-0.007615479783</v>
      </c>
      <c r="H471" s="41">
        <f>(G471*E471+pool_b*D471)/(1-pool_ret*D471)</f>
        <v>27.800184232766</v>
      </c>
      <c r="I471" s="41">
        <f>MIN(C_sat_CO2,MAX(C_air_CO2,(pool_ret*H471+pool_b)*E471+G471*F471))</f>
        <v>27.812004963451</v>
      </c>
      <c r="J471" s="41">
        <f>IF(AND(I471&gt;=CO2_pH_hi_mt,I472&lt;CO2_pH_hi_mt),EXP(LN(A471)+(LN(A472)-LN(A471))*(I471-CO2_pH_hi_mt)/(I471-I472)),0)</f>
        <v>0.0</v>
      </c>
      <c r="L471" s="41">
        <f>k_eff_CO2_l*B471</f>
        <v>0.003112610649</v>
      </c>
      <c r="M471" s="41">
        <f>EXP(-L471)</f>
        <v>0.996892228501</v>
      </c>
      <c r="N471" s="41">
        <f>IF(L471&gt;x_series,(1-EXP(-L471))/L471,1-L471/2+L471^2/6-L471^3/24)</f>
        <v>0.998445308144</v>
      </c>
      <c r="O471" s="41">
        <f>IF(L471&gt;x_series,(L471-1+EXP(-L471))/L471^2,1/2-L471/6+L471^2/24-L471^3/120)</f>
        <v>0.499481634989</v>
      </c>
      <c r="P471" s="41">
        <f>(C_air_CO2/C_sat_CO2*F_vent_ex-CO2_fix_l)*(B471/3600)/(V_L_CO2+Vg_CO2)</f>
        <v>6.661438239367e-06</v>
      </c>
      <c r="Q471" s="41">
        <f>(P471*N471+pool_b*M471)/(1-pool_ret*M471)</f>
        <v>27.14135257765</v>
      </c>
      <c r="R471" s="41">
        <f>MIN(C_sat_CO2,MAX(C_air_CO2,(pool_ret*Q471+pool_b)*N471+P471*O471))</f>
        <v>27.183633334932</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IF(C472&gt;x_series,(1-EXP(-C472))/C472,1-C472/2+C472^2/6-C472^3/24)</f>
        <v>0.999676752556</v>
      </c>
      <c r="F472" s="41">
        <f>IF(C472&gt;x_series,(C472-1+EXP(-C472))/C472^2,1/2-C472/6+C472^2/24-C472^3/120)</f>
        <v>0.499892245046</v>
      </c>
      <c r="G472" s="41">
        <f>(C_air_CO2/C_sat_CO2*F_vent_ex-CO2_fix_sched)*(B472/3600)/(V_L_CO2+Vg_CO2)</f>
        <v>-0.008544803693</v>
      </c>
      <c r="H472" s="41">
        <f>(G472*E472+pool_b*D472)/(1-pool_ret*D472)</f>
        <v>27.76920872494</v>
      </c>
      <c r="I472" s="41">
        <f>MIN(C_sat_CO2,MAX(C_air_CO2,(pool_ret*H472+pool_b)*E472+G472*F472))</f>
        <v>27.782462244005</v>
      </c>
      <c r="J472" s="41">
        <f>IF(AND(I472&gt;=CO2_pH_hi_mt,I473&lt;CO2_pH_hi_mt),EXP(LN(A472)+(LN(A473)-LN(A472))*(I472-CO2_pH_hi_mt)/(I472-I473)),0)</f>
        <v>0.0</v>
      </c>
      <c r="L472" s="41">
        <f>k_eff_CO2_l*B472</f>
        <v>0.003492445352</v>
      </c>
      <c r="M472" s="41">
        <f>EXP(-L472)</f>
        <v>0.996513646142</v>
      </c>
      <c r="N472" s="41">
        <f>IF(L472&gt;x_series,(1-EXP(-L472))/L472,1-L472/2+L472^2/6-L472^3/24)</f>
        <v>0.998255808413</v>
      </c>
      <c r="O472" s="41">
        <f>IF(L472&gt;x_series,(L472-1+EXP(-L472))/L472^2,1/2-L472/6+L472^2/24-L472^3/120)</f>
        <v>0.499418433639</v>
      </c>
      <c r="P472" s="41">
        <f>(C_air_CO2/C_sat_CO2*F_vent_ex-CO2_fix_l)*(B472/3600)/(V_L_CO2+Vg_CO2)</f>
        <v>7.474339593635e-06</v>
      </c>
      <c r="Q472" s="41">
        <f>(P472*N472+pool_b*M472)/(1-pool_ret*M472)</f>
        <v>27.033650044934</v>
      </c>
      <c r="R472" s="41">
        <f>MIN(C_sat_CO2,MAX(C_air_CO2,(pool_ret*Q472+pool_b)*N472+P472*O472))</f>
        <v>27.080908079842</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IF(C473&gt;x_series,(1-EXP(-C473))/C473,1-C473/2+C473^2/6-C473^3/24)</f>
        <v>0.999637385027</v>
      </c>
      <c r="F473" s="41">
        <f>IF(C473&gt;x_series,(C473-1+EXP(-C473))/C473^2,1/2-C473/6+C473^2/24-C473^3/120)</f>
        <v>0.499879121036</v>
      </c>
      <c r="G473" s="41">
        <f>(C_air_CO2/C_sat_CO2*F_vent_ex-CO2_fix_sched)*(B473/3600)/(V_L_CO2+Vg_CO2)</f>
        <v>-0.009585706438</v>
      </c>
      <c r="H473" s="41">
        <f>(G473*E473+pool_b*D473)/(1-pool_ret*D473)</f>
        <v>27.734567081256</v>
      </c>
      <c r="I473" s="41">
        <f>MIN(C_sat_CO2,MAX(C_air_CO2,(pool_ret*H473+pool_b)*E473+G473*F473))</f>
        <v>27.749422927649</v>
      </c>
      <c r="J473" s="41">
        <f>IF(AND(I473&gt;=CO2_pH_hi_mt,I474&lt;CO2_pH_hi_mt),EXP(LN(A473)+(LN(A474)-LN(A473))*(I473-CO2_pH_hi_mt)/(I473-I474)),0)</f>
        <v>0.0</v>
      </c>
      <c r="L473" s="41">
        <f>k_eff_CO2_l*B473</f>
        <v>0.003917884728</v>
      </c>
      <c r="M473" s="41">
        <f>EXP(-L473)</f>
        <v>0.996089780169</v>
      </c>
      <c r="N473" s="41">
        <f>IF(L473&gt;x_series,(1-EXP(-L473))/L473,1-L473/2+L473^2/6-L473^3/24)</f>
        <v>0.998043613435</v>
      </c>
      <c r="O473" s="41">
        <f>IF(L473&gt;x_series,(L473-1+EXP(-L473))/L473^2,1/2-L473/6+L473^2/24-L473^3/120)</f>
        <v>0.499347658287</v>
      </c>
      <c r="P473" s="41">
        <f>(C_air_CO2/C_sat_CO2*F_vent_ex-CO2_fix_l)*(B473/3600)/(V_L_CO2+Vg_CO2)</f>
        <v>8.384841564368e-06</v>
      </c>
      <c r="Q473" s="41">
        <f>(P473*N473+pool_b*M473)/(1-pool_ret*M473)</f>
        <v>26.913978760523</v>
      </c>
      <c r="R473" s="41">
        <f>MIN(C_sat_CO2,MAX(C_air_CO2,(pool_ret*Q473+pool_b)*N473+P473*O473))</f>
        <v>26.966766417424</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IF(C474&gt;x_series,(1-EXP(-C474))/C474,1-C474/2+C474^2/6-C474^3/24)</f>
        <v>0.99959329331</v>
      </c>
      <c r="F474" s="41">
        <f>IF(C474&gt;x_series,(C474-1+EXP(-C474))/C474^2,1/2-C474/6+C474^2/24-C474^3/120)</f>
        <v>0.499864421912</v>
      </c>
      <c r="G474" s="41">
        <f>(C_air_CO2/C_sat_CO2*F_vent_ex-CO2_fix_sched)*(B474/3600)/(V_L_CO2+Vg_CO2)</f>
        <v>-0.010751584679</v>
      </c>
      <c r="H474" s="41">
        <f>(G474*E474+pool_b*D474)/(1-pool_ret*D474)</f>
        <v>27.695832439381</v>
      </c>
      <c r="I474" s="41">
        <f>MIN(C_sat_CO2,MAX(C_air_CO2,(pool_ret*H474+pool_b)*E474+G474*F474))</f>
        <v>27.712479881893</v>
      </c>
      <c r="J474" s="41">
        <f>IF(AND(I474&gt;=CO2_pH_hi_mt,I475&lt;CO2_pH_hi_mt),EXP(LN(A474)+(LN(A475)-LN(A474))*(I474-CO2_pH_hi_mt)/(I474-I475)),0)</f>
        <v>0.0</v>
      </c>
      <c r="L474" s="41">
        <f>k_eff_CO2_l*B474</f>
        <v>0.004394404282</v>
      </c>
      <c r="M474" s="41">
        <f>EXP(-L474)</f>
        <v>0.995615236984</v>
      </c>
      <c r="N474" s="41">
        <f>IF(L474&gt;x_series,(1-EXP(-L474))/L474,1-L474/2+L474^2/6-L474^3/24)</f>
        <v>0.997806012791</v>
      </c>
      <c r="O474" s="41">
        <f>IF(L474&gt;x_series,(L474-1+EXP(-L474))/L474^2,1/2-L474/6+L474^2/24-L474^3/120)</f>
        <v>0.499268403197</v>
      </c>
      <c r="P474" s="41">
        <f>(C_air_CO2/C_sat_CO2*F_vent_ex-CO2_fix_l)*(B474/3600)/(V_L_CO2+Vg_CO2)</f>
        <v>9.4046625234e-06</v>
      </c>
      <c r="Q474" s="41">
        <f>(P474*N474+pool_b*M474)/(1-pool_ret*M474)</f>
        <v>26.781131450937</v>
      </c>
      <c r="R474" s="41">
        <f>MIN(C_sat_CO2,MAX(C_air_CO2,(pool_ret*Q474+pool_b)*N474+P474*O474))</f>
        <v>26.840056589983</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IF(C475&gt;x_series,(1-EXP(-C475))/C475,1-C475/2+C475^2/6-C475^3/24)</f>
        <v>0.999543910819</v>
      </c>
      <c r="F475" s="41">
        <f>IF(C475&gt;x_series,(C475-1+EXP(-C475))/C475^2,1/2-C475/6+C475^2/24-C475^3/120)</f>
        <v>0.499847958714</v>
      </c>
      <c r="G475" s="41">
        <f>(C_air_CO2/C_sat_CO2*F_vent_ex-CO2_fix_sched)*(B475/3600)/(V_L_CO2+Vg_CO2)</f>
        <v>-0.012057443539</v>
      </c>
      <c r="H475" s="41">
        <f>(G475*E475+pool_b*D475)/(1-pool_ret*D475)</f>
        <v>27.652530009647</v>
      </c>
      <c r="I475" s="41">
        <f>MIN(C_sat_CO2,MAX(C_air_CO2,(pool_ret*H475+pool_b)*E475+G475*F475))</f>
        <v>27.671180259512</v>
      </c>
      <c r="J475" s="41">
        <f>IF(AND(I475&gt;=CO2_pH_hi_mt,I476&lt;CO2_pH_hi_mt),EXP(LN(A475)+(LN(A476)-LN(A475))*(I475-CO2_pH_hi_mt)/(I475-I476)),0)</f>
        <v>0.0</v>
      </c>
      <c r="L475" s="41">
        <f>k_eff_CO2_l*B475</f>
        <v>0.004928136931</v>
      </c>
      <c r="M475" s="41">
        <f>EXP(-L475)</f>
        <v>0.995083986413</v>
      </c>
      <c r="N475" s="41">
        <f>IF(L475&gt;x_series,(1-EXP(-L475))/L475,1-L475/2+L475^2/6-L475^3/24)</f>
        <v>0.997539974308</v>
      </c>
      <c r="O475" s="41">
        <f>IF(L475&gt;x_series,(L475-1+EXP(-L475))/L475^2,1/2-L475/6+L475^2/24-L475^3/120)</f>
        <v>0.499179654787</v>
      </c>
      <c r="P475" s="41">
        <f>(C_air_CO2/C_sat_CO2*F_vent_ex-CO2_fix_l)*(B475/3600)/(V_L_CO2+Vg_CO2)</f>
        <v>1.054692780334e-05</v>
      </c>
      <c r="Q475" s="41">
        <f>(P475*N475+pool_b*M475)/(1-pool_ret*M475)</f>
        <v>26.633808575601</v>
      </c>
      <c r="R475" s="41">
        <f>MIN(C_sat_CO2,MAX(C_air_CO2,(pool_ret*Q475+pool_b)*N475+P475*O475))</f>
        <v>26.69953876139</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IF(C476&gt;x_series,(1-EXP(-C476))/C476,1-C476/2+C476^2/6-C476^3/24)</f>
        <v>0.999488603106</v>
      </c>
      <c r="F476" s="41">
        <f>IF(C476&gt;x_series,(C476-1+EXP(-C476))/C476^2,1/2-C476/6+C476^2/24-C476^3/120)</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0.005525951937</v>
      </c>
      <c r="M476" s="41">
        <f>EXP(-L476)</f>
        <v>0.99448928805</v>
      </c>
      <c r="N476" s="41">
        <f>IF(L476&gt;x_series,(1-EXP(-L476))/L476,1-L476/2+L476^2/6-L476^3/24)</f>
        <v>0.997242106366</v>
      </c>
      <c r="O476" s="41">
        <f>IF(L476&gt;x_series,(L476-1+EXP(-L476))/L476^2,1/2-L476/6+L476^2/24-L476^3/120)</f>
        <v>0.499080278945</v>
      </c>
      <c r="P476" s="41">
        <f>(C_air_CO2/C_sat_CO2*F_vent_ex-CO2_fix_l)*(B476/3600)/(V_L_CO2+Vg_CO2)</f>
        <v>1.182633862363e-05</v>
      </c>
      <c r="Q476" s="41">
        <f>(P476*N476+pool_b*M476)/(1-pool_ret*M476)</f>
        <v>26.470618514811</v>
      </c>
      <c r="R476" s="41">
        <f>MIN(C_sat_CO2,MAX(C_air_CO2,(pool_ret*Q476+pool_b)*N476+P476*O476))</f>
        <v>26.543885178325</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IF(C477&gt;x_series,(1-EXP(-C477))/C477,1-C477/2+C477^2/6-C477^3/24)</f>
        <v>0.999426659743</v>
      </c>
      <c r="F477" s="41">
        <f>IF(C477&gt;x_series,(C477-1+EXP(-C477))/C477^2,1/2-C477/6+C477^2/24-C477^3/120)</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0.00619554332</v>
      </c>
      <c r="M477" s="41">
        <f>EXP(-L477)</f>
        <v>0.993823609484</v>
      </c>
      <c r="N477" s="41">
        <f>IF(L477&gt;x_series,(1-EXP(-L477))/L477,1-L477/2+L477^2/6-L477^3/24)</f>
        <v>0.996908615903</v>
      </c>
      <c r="O477" s="41">
        <f>IF(L477&gt;x_series,(L477-1+EXP(-L477))/L477^2,1/2-L477/6+L477^2/24-L477^3/120)</f>
        <v>0.49896900683</v>
      </c>
      <c r="P477" s="41">
        <f>(C_air_CO2/C_sat_CO2*F_vent_ex-CO2_fix_l)*(B477/3600)/(V_L_CO2+Vg_CO2)</f>
        <v>1.325936129869e-05</v>
      </c>
      <c r="Q477" s="41">
        <f>(P477*N477+pool_b*M477)/(1-pool_ret*M477)</f>
        <v>26.290079886628</v>
      </c>
      <c r="R477" s="41">
        <f>MIN(C_sat_CO2,MAX(C_air_CO2,(pool_ret*Q477+pool_b)*N477+P477*O477))</f>
        <v>26.371682358195</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IF(C478&gt;x_series,(1-EXP(-C478))/C478,1-C478/2+C478^2/6-C478^3/24)</f>
        <v>0.999357285258</v>
      </c>
      <c r="F478" s="41">
        <f>IF(C478&gt;x_series,(C478-1+EXP(-C478))/C478^2,1/2-C478/6+C478^2/24-C478^3/120)</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0.006945528875</v>
      </c>
      <c r="M478" s="41">
        <f>EXP(-L478)</f>
        <v>0.993078535565</v>
      </c>
      <c r="N478" s="41">
        <f>IF(L478&gt;x_series,(1-EXP(-L478))/L478,1-L478/2+L478^2/6-L478^3/24)</f>
        <v>0.996535261683</v>
      </c>
      <c r="O478" s="41">
        <f>IF(L478&gt;x_series,(L478-1+EXP(-L478))/L478^2,1/2-L478/6+L478^2/24-L478^3/120)</f>
        <v>0.498844419081</v>
      </c>
      <c r="P478" s="41">
        <f>(C_air_CO2/C_sat_CO2*F_vent_ex-CO2_fix_l)*(B478/3600)/(V_L_CO2+Vg_CO2)</f>
        <v>1.486443916318e-05</v>
      </c>
      <c r="Q478" s="41">
        <f>(P478*N478+pool_b*M478)/(1-pool_ret*M478)</f>
        <v>26.090626530646</v>
      </c>
      <c r="R478" s="41">
        <f>MIN(C_sat_CO2,MAX(C_air_CO2,(pool_ret*Q478+pool_b)*N478+P478*O478))</f>
        <v>26.181435816152</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IF(C479&gt;x_series,(1-EXP(-C479))/C479,1-C479/2+C479^2/6-C479^3/24)</f>
        <v>0.999279588982</v>
      </c>
      <c r="F479" s="41">
        <f>IF(C479&gt;x_series,(C479-1+EXP(-C479))/C479^2,1/2-C479/6+C479^2/24-C479^3/120)</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0.00778556109</v>
      </c>
      <c r="M479" s="41">
        <f>EXP(-L479)</f>
        <v>0.99224466789</v>
      </c>
      <c r="N479" s="41">
        <f>IF(L479&gt;x_series,(1-EXP(-L479))/L479,1-L479/2+L479^2/6-L479^3/24)</f>
        <v>0.996117302316</v>
      </c>
      <c r="O479" s="41">
        <f>IF(L479&gt;x_series,(L479-1+EXP(-L479))/L479^2,1/2-L479/6+L479^2/24-L479^3/120)</f>
        <v>0.49870492818</v>
      </c>
      <c r="P479" s="41">
        <f>(C_air_CO2/C_sat_CO2*F_vent_ex-CO2_fix_l)*(B479/3600)/(V_L_CO2+Vg_CO2)</f>
        <v>1.6662229942e-05</v>
      </c>
      <c r="Q479" s="41">
        <f>(P479*N479+pool_b*M479)/(1-pool_ret*M479)</f>
        <v>25.870615756925</v>
      </c>
      <c r="R479" s="41">
        <f>MIN(C_sat_CO2,MAX(C_air_CO2,(pool_ret*Q479+pool_b)*N479+P479*O479))</f>
        <v>25.971577901083</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IF(C480&gt;x_series,(1-EXP(-C480))/C480,1-C480/2+C480^2/6-C480^3/24)</f>
        <v>0.999192573703</v>
      </c>
      <c r="F480" s="41">
        <f>IF(C480&gt;x_series,(C480-1+EXP(-C480))/C480^2,1/2-C480/6+C480^2/24-C480^3/120)</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0.008726451376</v>
      </c>
      <c r="M480" s="41">
        <f>EXP(-L480)</f>
        <v>0.991311513587</v>
      </c>
      <c r="N480" s="41">
        <f>IF(L480&gt;x_series,(1-EXP(-L480))/L480,1-L480/2+L480^2/6-L480^3/24)</f>
        <v>0.995649438497</v>
      </c>
      <c r="O480" s="41">
        <f>IF(L480&gt;x_series,(L480-1+EXP(-L480))/L480^2,1/2-L480/6+L480^2/24-L480^3/120)</f>
        <v>0.498548758864</v>
      </c>
      <c r="P480" s="41">
        <f>(C_air_CO2/C_sat_CO2*F_vent_ex-CO2_fix_l)*(B480/3600)/(V_L_CO2+Vg_CO2)</f>
        <v>1.867587162004e-05</v>
      </c>
      <c r="Q480" s="41">
        <f>(P480*N480+pool_b*M480)/(1-pool_ret*M480)</f>
        <v>25.628340506171</v>
      </c>
      <c r="R480" s="41">
        <f>MIN(C_sat_CO2,MAX(C_air_CO2,(pool_ret*Q480+pool_b)*N480+P480*O480))</f>
        <v>25.740479355939</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IF(C481&gt;x_series,(1-EXP(-C481))/C481,1-C481/2+C481^2/6-C481^3/24)</f>
        <v>0.999095122972</v>
      </c>
      <c r="F481" s="41">
        <f>IF(C481&gt;x_series,(C481-1+EXP(-C481))/C481^2,1/2-C481/6+C481^2/24-C481^3/120)</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0.00978030921</v>
      </c>
      <c r="M481" s="41">
        <f>EXP(-L481)</f>
        <v>0.990267362473</v>
      </c>
      <c r="N481" s="41">
        <f>IF(L481&gt;x_series,(1-EXP(-L481))/L481,1-L481/2+L481^2/6-L481^3/24)</f>
        <v>0.995125748899</v>
      </c>
      <c r="O481" s="41">
        <f>IF(L481&gt;x_series,(L481-1+EXP(-L481))/L481^2,1/2-L481/6+L481^2/24-L481^3/120)</f>
        <v>0.498373926284</v>
      </c>
      <c r="P481" s="41">
        <f>(C_air_CO2/C_sat_CO2*F_vent_ex-CO2_fix_l)*(B481/3600)/(V_L_CO2+Vg_CO2)</f>
        <v>2.093128023336e-05</v>
      </c>
      <c r="Q481" s="41">
        <f>(P481*N481+pool_b*M481)/(1-pool_ret*M481)</f>
        <v>25.362046093481</v>
      </c>
      <c r="R481" s="41">
        <f>MIN(C_sat_CO2,MAX(C_air_CO2,(pool_ret*Q481+pool_b)*N481+P481*O481))</f>
        <v>25.486465242778</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IF(C482&gt;x_series,(1-EXP(-C482))/C482,1-C482/2+C482^2/6-C482^3/24)</f>
        <v>0.998985986912</v>
      </c>
      <c r="F482" s="41">
        <f>IF(C482&gt;x_series,(C482-1+EXP(-C482))/C482^2,1/2-C482/6+C482^2/24-C482^3/120)</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0.010960697985</v>
      </c>
      <c r="M482" s="41">
        <f>EXP(-L482)</f>
        <v>0.989099151601</v>
      </c>
      <c r="N482" s="41">
        <f>IF(L482&gt;x_series,(1-EXP(-L482))/L482,1-L482/2+L482^2/6-L482^3/24)</f>
        <v>0.994539619078</v>
      </c>
      <c r="O482" s="41">
        <f>IF(L482&gt;x_series,(L482-1+EXP(-L482))/L482^2,1/2-L482/6+L482^2/24-L482^3/120)</f>
        <v>0.498178211754</v>
      </c>
      <c r="P482" s="41">
        <f>(C_air_CO2/C_sat_CO2*F_vent_ex-CO2_fix_l)*(B482/3600)/(V_L_CO2+Vg_CO2)</f>
        <v>2.345748341466e-05</v>
      </c>
      <c r="Q482" s="41">
        <f>(P482*N482+pool_b*M482)/(1-pool_ret*M482)</f>
        <v>25.069952201467</v>
      </c>
      <c r="R482" s="41">
        <f>MIN(C_sat_CO2,MAX(C_air_CO2,(pool_ret*Q482+pool_b)*N482+P482*O482))</f>
        <v>25.207835866611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IF(C483&gt;x_series,(1-EXP(-C483))/C483,1-C483/2+C483^2/6-C483^3/24)</f>
        <v>0.998863766358</v>
      </c>
      <c r="F483" s="41">
        <f>IF(C483&gt;x_series,(C483-1+EXP(-C483))/C483^2,1/2-C483/6+C483^2/24-C483^3/120)</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0.01228280958</v>
      </c>
      <c r="M483" s="41">
        <f>EXP(-L483)</f>
        <v>0.987792316226</v>
      </c>
      <c r="N483" s="41">
        <f>IF(L483&gt;x_series,(1-EXP(-L483))/L483,1-L483/2+L483^2/6-L483^3/24)</f>
        <v>0.993883662756</v>
      </c>
      <c r="O483" s="41">
        <f>IF(L483&gt;x_series,(L483-1+EXP(-L483))/L483^2,1/2-L483/6+L483^2/24-L483^3/120)</f>
        <v>0.497959135801</v>
      </c>
      <c r="P483" s="41">
        <f>(C_air_CO2/C_sat_CO2*F_vent_ex-CO2_fix_l)*(B483/3600)/(V_L_CO2+Vg_CO2)</f>
        <v>2.628699398563e-05</v>
      </c>
      <c r="Q483" s="41">
        <f>(P483*N483+pool_b*M483)/(1-pool_ret*M483)</f>
        <v>24.750280735971</v>
      </c>
      <c r="R483" s="41">
        <f>MIN(C_sat_CO2,MAX(C_air_CO2,(pool_ret*Q483+pool_b)*N483+P483*O483))</f>
        <v>24.902893282001</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IF(C484&gt;x_series,(1-EXP(-C484))/C484,1-C484/2+C484^2/6-C484^3/24)</f>
        <v>0.998726895127</v>
      </c>
      <c r="F484" s="41">
        <f>IF(C484&gt;x_series,(C484-1+EXP(-C484))/C484^2,1/2-C484/6+C484^2/24-C484^3/120)</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0.013763659878</v>
      </c>
      <c r="M484" s="41">
        <f>EXP(-L484)</f>
        <v>0.986330626219</v>
      </c>
      <c r="N484" s="41">
        <f>IF(L484&gt;x_series,(1-EXP(-L484))/L484,1-L484/2+L484^2/6-L484^3/24)</f>
        <v>0.993149634775</v>
      </c>
      <c r="O484" s="41">
        <f>IF(L484&gt;x_series,(L484-1+EXP(-L484))/L484^2,1/2-L484/6+L484^2/24-L484^3/120)</f>
        <v>0.497713928273</v>
      </c>
      <c r="P484" s="41">
        <f>(C_air_CO2/C_sat_CO2*F_vent_ex-CO2_fix_l)*(B484/3600)/(V_L_CO2+Vg_CO2)</f>
        <v>2.945622840447e-05</v>
      </c>
      <c r="Q484" s="41">
        <f>(P484*N484+pool_b*M484)/(1-pool_ret*M484)</f>
        <v>24.401290044107</v>
      </c>
      <c r="R484" s="41">
        <f>MIN(C_sat_CO2,MAX(C_air_CO2,(pool_ret*Q484+pool_b)*N484+P484*O484))</f>
        <v>24.569973858127</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IF(C485&gt;x_series,(1-EXP(-C485))/C485,1-C485/2+C485^2/6-C485^3/24)</f>
        <v>0.998573620211</v>
      </c>
      <c r="F485" s="41">
        <f>IF(C485&gt;x_series,(C485-1+EXP(-C485))/C485^2,1/2-C485/6+C485^2/24-C485^3/120)</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0.015422307767</v>
      </c>
      <c r="M485" s="41">
        <f>EXP(-L485)</f>
        <v>0.984696007012</v>
      </c>
      <c r="N485" s="41">
        <f>IF(L485&gt;x_series,(1-EXP(-L485))/L485,1-L485/2+L485^2/6-L485^3/24)</f>
        <v>0.99232833501</v>
      </c>
      <c r="O485" s="41">
        <f>IF(L485&gt;x_series,(L485-1+EXP(-L485))/L485^2,1/2-L485/6+L485^2/24-L485^3/120)</f>
        <v>0.497439495198</v>
      </c>
      <c r="P485" s="41">
        <f>(C_air_CO2/C_sat_CO2*F_vent_ex-CO2_fix_l)*(B485/3600)/(V_L_CO2+Vg_CO2)</f>
        <v>3.300597545424e-05</v>
      </c>
      <c r="Q485" s="41">
        <f>(P485*N485+pool_b*M485)/(1-pool_ret*M485)</f>
        <v>24.021315804917</v>
      </c>
      <c r="R485" s="41">
        <f>MIN(C_sat_CO2,MAX(C_air_CO2,(pool_ret*Q485+pool_b)*N485+P485*O485))</f>
        <v>24.207487197477</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IF(C486&gt;x_series,(1-EXP(-C486))/C486,1-C486/2+C486^2/6-C486^3/24)</f>
        <v>0.99840197966</v>
      </c>
      <c r="F486" s="41">
        <f>IF(C486&gt;x_series,(C486-1+EXP(-C486))/C486^2,1/2-C486/6+C486^2/24-C486^3/120)</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0.017280100429</v>
      </c>
      <c r="M486" s="41">
        <f>EXP(-L486)</f>
        <v>0.98286834423</v>
      </c>
      <c r="N486" s="41">
        <f>IF(L486&gt;x_series,(1-EXP(-L486))/L486,1-L486/2+L486^2/6-L486^3/24)</f>
        <v>0.99140950251</v>
      </c>
      <c r="O486" s="41">
        <f>IF(L486&gt;x_series,(L486-1+EXP(-L486))/L486^2,1/2-L486/6+L486^2/24-L486^3/120)</f>
        <v>0.497132382131</v>
      </c>
      <c r="P486" s="41">
        <f>(C_air_CO2/C_sat_CO2*F_vent_ex-CO2_fix_l)*(B486/3600)/(V_L_CO2+Vg_CO2)</f>
        <v>3.698192120394e-05</v>
      </c>
      <c r="Q486" s="41">
        <f>(P486*N486+pool_b*M486)/(1-pool_ret*M486)</f>
        <v>23.608818623814</v>
      </c>
      <c r="R486" s="41">
        <f>MIN(C_sat_CO2,MAX(C_air_CO2,(pool_ret*Q486+pool_b)*N486+P486*O486))</f>
        <v>23.813961437228</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IF(C487&gt;x_series,(1-EXP(-C487))/C487,1-C487/2+C487^2/6-C487^3/24)</f>
        <v>0.998209777881</v>
      </c>
      <c r="F487" s="41">
        <f>IF(C487&gt;x_series,(C487-1+EXP(-C487))/C487^2,1/2-C487/6+C487^2/24-C487^3/120)</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0.019360948088</v>
      </c>
      <c r="M487" s="41">
        <f>EXP(-L487)</f>
        <v>0.980825271336</v>
      </c>
      <c r="N487" s="41">
        <f>IF(L487&gt;x_series,(1-EXP(-L487))/L487,1-L487/2+L487^2/6-L487^3/24)</f>
        <v>0.990381699117</v>
      </c>
      <c r="O487" s="41">
        <f>IF(L487&gt;x_series,(L487-1+EXP(-L487))/L487^2,1/2-L487/6+L487^2/24-L487^3/120)</f>
        <v>0.496788733631</v>
      </c>
      <c r="P487" s="41">
        <f>(C_air_CO2/C_sat_CO2*F_vent_ex-CO2_fix_l)*(B487/3600)/(V_L_CO2+Vg_CO2)</f>
        <v>4.143523699879e-05</v>
      </c>
      <c r="Q487" s="41">
        <f>(P487*N487+pool_b*M487)/(1-pool_ret*M487)</f>
        <v>23.162437983688</v>
      </c>
      <c r="R487" s="41">
        <f>MIN(C_sat_CO2,MAX(C_air_CO2,(pool_ret*Q487+pool_b)*N487+P487*O487))</f>
        <v>23.388094601807</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IF(C488&gt;x_series,(1-EXP(-C488))/C488,1-C488/2+C488^2/6-C488^3/24)</f>
        <v>0.997994558075</v>
      </c>
      <c r="F488" s="41">
        <f>IF(C488&gt;x_series,(C488-1+EXP(-C488))/C488^2,1/2-C488/6+C488^2/24-C488^3/120)</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0.021691631738</v>
      </c>
      <c r="M488" s="41">
        <f>EXP(-L488)</f>
        <v>0.978541939808</v>
      </c>
      <c r="N488" s="41">
        <f>IF(L488&gt;x_series,(1-EXP(-L488))/L488,1-L488/2+L488^2/6-L488^3/24)</f>
        <v>0.989232181847</v>
      </c>
      <c r="O488" s="41">
        <f>IF(L488&gt;x_series,(L488-1+EXP(-L488))/L488^2,1/2-L488/6+L488^2/24-L488^3/120)</f>
        <v>0.496404248583</v>
      </c>
      <c r="P488" s="41">
        <f>(C_air_CO2/C_sat_CO2*F_vent_ex-CO2_fix_l)*(B488/3600)/(V_L_CO2+Vg_CO2)</f>
        <v>4.642323804741e-05</v>
      </c>
      <c r="Q488" s="41">
        <f>(P488*N488+pool_b*M488)/(1-pool_ret*M488)</f>
        <v>22.681051725819</v>
      </c>
      <c r="R488" s="41">
        <f>MIN(C_sat_CO2,MAX(C_air_CO2,(pool_ret*Q488+pool_b)*N488+P488*O488))</f>
        <v>22.928811217877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IF(C489&gt;x_series,(1-EXP(-C489))/C489,1-C489/2+C489^2/6-C489^3/24)</f>
        <v>0.997753571482</v>
      </c>
      <c r="F489" s="41">
        <f>IF(C489&gt;x_series,(C489-1+EXP(-C489))/C489^2,1/2-C489/6+C489^2/24-C489^3/120)</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0.024302147816</v>
      </c>
      <c r="M489" s="41">
        <f>EXP(-L489)</f>
        <v>0.975990771723</v>
      </c>
      <c r="N489" s="41">
        <f>IF(L489&gt;x_series,(1-EXP(-L489))/L489,1-L489/2+L489^2/6-L489^3/24)</f>
        <v>0.987946763355</v>
      </c>
      <c r="O489" s="41">
        <f>IF(L489&gt;x_series,(L489-1+EXP(-L489))/L489^2,1/2-L489/6+L489^2/24-L489^3/120)</f>
        <v>0.495974131007</v>
      </c>
      <c r="P489" s="41">
        <f>(C_air_CO2/C_sat_CO2*F_vent_ex-CO2_fix_l)*(B489/3600)/(V_L_CO2+Vg_CO2)</f>
        <v>5.201012108179e-05</v>
      </c>
      <c r="Q489" s="41">
        <f>(P489*N489+pool_b*M489)/(1-pool_ret*M489)</f>
        <v>22.163839661732</v>
      </c>
      <c r="R489" s="41">
        <f>MIN(C_sat_CO2,MAX(C_air_CO2,(pool_ret*Q489+pool_b)*N489+P489*O489))</f>
        <v>22.435322857749</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IF(C490&gt;x_series,(1-EXP(-C490))/C490,1-C490/2+C490^2/6-C490^3/24)</f>
        <v>0.997483743094</v>
      </c>
      <c r="F490" s="41">
        <f>IF(C490&gt;x_series,(C490-1+EXP(-C490))/C490^2,1/2-C490/6+C490^2/24-C490^3/120)</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0.027226094272</v>
      </c>
      <c r="M490" s="41">
        <f>EXP(-L490)</f>
        <v>0.973141194999</v>
      </c>
      <c r="N490" s="41">
        <f>IF(L490&gt;x_series,(1-EXP(-L490))/L490,1-L490/2+L490^2/6-L490^3/24)</f>
        <v>0.986509659889</v>
      </c>
      <c r="O490" s="41">
        <f>IF(L490&gt;x_series,(L490-1+EXP(-L490))/L490^2,1/2-L490/6+L490^2/24-L490^3/120)</f>
        <v>0.495493036043</v>
      </c>
      <c r="P490" s="41">
        <f>(C_air_CO2/C_sat_CO2*F_vent_ex-CO2_fix_l)*(B490/3600)/(V_L_CO2+Vg_CO2)</f>
        <v>5.826779058419e-05</v>
      </c>
      <c r="Q490" s="41">
        <f>(P490*N490+pool_b*M490)/(1-pool_ret*M490)</f>
        <v>21.610349276976</v>
      </c>
      <c r="R490" s="41">
        <f>MIN(C_sat_CO2,MAX(C_air_CO2,(pool_ret*Q490+pool_b)*N490+P490*O490))</f>
        <v>21.907190667109</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IF(C491&gt;x_series,(1-EXP(-C491))/C491,1-C491/2+C491^2/6-C491^3/24)</f>
        <v>0.997181633443</v>
      </c>
      <c r="F491" s="41">
        <f>IF(C491&gt;x_series,(C491-1+EXP(-C491))/C491^2,1/2-C491/6+C491^2/24-C491^3/120)</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0.030501102977</v>
      </c>
      <c r="M491" s="41">
        <f>EXP(-L491)</f>
        <v>0.969959362224</v>
      </c>
      <c r="N491" s="41">
        <f>IF(L491&gt;x_series,(1-EXP(-L491))/L491,1-L491/2+L491^2/6-L491^3/24)</f>
        <v>0.984903326247</v>
      </c>
      <c r="O491" s="41">
        <f>IF(L491&gt;x_series,(L491-1+EXP(-L491))/L491^2,1/2-L491/6+L491^2/24-L491^3/120)</f>
        <v>0.49495501079</v>
      </c>
      <c r="P491" s="41">
        <f>(C_air_CO2/C_sat_CO2*F_vent_ex-CO2_fix_l)*(B491/3600)/(V_L_CO2+Vg_CO2)</f>
        <v>6.527678421448e-05</v>
      </c>
      <c r="Q491" s="41">
        <f>(P491*N491+pool_b*M491)/(1-pool_ret*M491)</f>
        <v>21.020560821936</v>
      </c>
      <c r="R491" s="41">
        <f>MIN(C_sat_CO2,MAX(C_air_CO2,(pool_ret*Q491+pool_b)*N491+P491*O491))</f>
        <v>21.344387298227</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IF(C492&gt;x_series,(1-EXP(-C492))/C492,1-C492/2+C492^2/6-C492^3/24)</f>
        <v>0.996843396043</v>
      </c>
      <c r="F492" s="41">
        <f>IF(C492&gt;x_series,(C492-1+EXP(-C492))/C492^2,1/2-C492/6+C492^2/24-C492^3/120)</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0.034169324051</v>
      </c>
      <c r="M492" s="41">
        <f>EXP(-L492)</f>
        <v>0.96640785469</v>
      </c>
      <c r="N492" s="41">
        <f>IF(L492&gt;x_series,(1-EXP(-L492))/L492,1-L492/2+L492^2/6-L492^3/24)</f>
        <v>0.983108277465</v>
      </c>
      <c r="O492" s="41">
        <f>IF(L492&gt;x_series,(L492-1+EXP(-L492))/L492^2,1/2-L492/6+L492^2/24-L492^3/120)</f>
        <v>0.494353429704</v>
      </c>
      <c r="P492" s="41">
        <f>(C_air_CO2/C_sat_CO2*F_vent_ex-CO2_fix_l)*(B492/3600)/(V_L_CO2+Vg_CO2)</f>
        <v>7.31273093486e-05</v>
      </c>
      <c r="Q492" s="41">
        <f>(P492*N492+pool_b*M492)/(1-pool_ret*M492)</f>
        <v>20.394948454887</v>
      </c>
      <c r="R492" s="41">
        <f>MIN(C_sat_CO2,MAX(C_air_CO2,(pool_ret*Q492+pool_b)*N492+P492*O492))</f>
        <v>20.747355069429</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IF(C493&gt;x_series,(1-EXP(-C493))/C493,1-C493/2+C493^2/6-C493^3/24)</f>
        <v>0.996464730024</v>
      </c>
      <c r="F493" s="41">
        <f>IF(C493&gt;x_series,(C493-1+EXP(-C493))/C493^2,1/2-C493/6+C493^2/24-C493^3/120)</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0.038277968353</v>
      </c>
      <c r="M493" s="41">
        <f>EXP(-L493)</f>
        <v>0.96244537435</v>
      </c>
      <c r="N493" s="41">
        <f>IF(L493&gt;x_series,(1-EXP(-L493))/L493,1-L493/2+L493^2/6-L493^3/24)</f>
        <v>0.981102897202</v>
      </c>
      <c r="O493" s="41">
        <f>IF(L493&gt;x_series,(L493-1+EXP(-L493))/L493^2,1/2-L493/6+L493^2/24-L493^3/120)</f>
        <v>0.493680924318</v>
      </c>
      <c r="P493" s="41">
        <f>(C_air_CO2/C_sat_CO2*F_vent_ex-CO2_fix_l)*(B493/3600)/(V_L_CO2+Vg_CO2)</f>
        <v>8.192040406836e-05</v>
      </c>
      <c r="Q493" s="41">
        <f>(P493*N493+pool_b*M493)/(1-pool_ret*M493)</f>
        <v>19.734533587947</v>
      </c>
      <c r="R493" s="41">
        <f>MIN(C_sat_CO2,MAX(C_air_CO2,(pool_ret*Q493+pool_b)*N493+P493*O493))</f>
        <v>20.117056681115</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IF(C494&gt;x_series,(1-EXP(-C494))/C494,1-C494/2+C494^2/6-C494^3/24)</f>
        <v>0.996040827462</v>
      </c>
      <c r="F494" s="41">
        <f>IF(C494&gt;x_series,(C494-1+EXP(-C494))/C494^2,1/2-C494/6+C494^2/24-C494^3/120)</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0.04287991509</v>
      </c>
      <c r="M494" s="41">
        <f>EXP(-L494)</f>
        <v>0.958026427677</v>
      </c>
      <c r="N494" s="41">
        <f>IF(L494&gt;x_series,(1-EXP(-L494))/L494,1-L494/2+L494^2/6-L494^3/24)</f>
        <v>0.978863233167</v>
      </c>
      <c r="O494" s="41">
        <f>IF(L494&gt;x_series,(L494-1+EXP(-L494))/L494^2,1/2-L494/6+L494^2/24-L494^3/120)</f>
        <v>0.492929307092</v>
      </c>
      <c r="P494" s="41">
        <f>(C_air_CO2/C_sat_CO2*F_vent_ex-CO2_fix_l)*(B494/3600)/(V_L_CO2+Vg_CO2)</f>
        <v>9.176923754507e-05</v>
      </c>
      <c r="Q494" s="41">
        <f>(P494*N494+pool_b*M494)/(1-pool_ret*M494)</f>
        <v>19.040926278224</v>
      </c>
      <c r="R494" s="41">
        <f>MIN(C_sat_CO2,MAX(C_air_CO2,(pool_ret*Q494+pool_b)*N494+P494*O494))</f>
        <v>19.455014524589</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IF(C495&gt;x_series,(1-EXP(-C495))/C495,1-C495/2+C495^2/6-C495^3/24)</f>
        <v>0.995566314856</v>
      </c>
      <c r="F495" s="41">
        <f>IF(C495&gt;x_series,(C495-1+EXP(-C495))/C495^2,1/2-C495/6+C495^2/24-C495^3/120)</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0.048034392383</v>
      </c>
      <c r="M495" s="41">
        <f>EXP(-L495)</f>
        <v>0.953101007099</v>
      </c>
      <c r="N495" s="41">
        <f>IF(L495&gt;x_series,(1-EXP(-L495))/L495,1-L495/2+L495^2/6-L495^3/24)</f>
        <v>0.976362780382</v>
      </c>
      <c r="O495" s="41">
        <f>IF(L495&gt;x_series,(L495-1+EXP(-L495))/L495^2,1/2-L495/6+L495^2/24-L495^3/120)</f>
        <v>0.492089489316</v>
      </c>
      <c r="P495" s="41">
        <f>(C_air_CO2/C_sat_CO2*F_vent_ex-CO2_fix_l)*(B495/3600)/(V_L_CO2+Vg_CO2)</f>
        <v>0.0001028005665531</v>
      </c>
      <c r="Q495" s="41">
        <f>(P495*N495+pool_b*M495)/(1-pool_ret*M495)</f>
        <v>18.316350495978</v>
      </c>
      <c r="R495" s="41">
        <f>MIN(C_sat_CO2,MAX(C_air_CO2,(pool_ret*Q495+pool_b)*N495+P495*O495))</f>
        <v>18.763334609817</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IF(C496&gt;x_series,(1-EXP(-C496))/C496,1-C496/2+C496^2/6-C496^3/24)</f>
        <v>0.995035188183</v>
      </c>
      <c r="F496" s="41">
        <f>IF(C496&gt;x_series,(C496-1+EXP(-C496))/C496^2,1/2-C496/6+C496^2/24-C496^3/120)</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0.053807739554</v>
      </c>
      <c r="M496" s="41">
        <f>EXP(-L496)</f>
        <v>0.947614277732</v>
      </c>
      <c r="N496" s="41">
        <f>IF(L496&gt;x_series,(1-EXP(-L496))/L496,1-L496/2+L496^2/6-L496^3/24)</f>
        <v>0.973572253759</v>
      </c>
      <c r="O496" s="41">
        <f>IF(L496&gt;x_series,(L496-1+EXP(-L496))/L496^2,1/2-L496/6+L496^2/24-L496^3/120)</f>
        <v>0.491151393095</v>
      </c>
      <c r="P496" s="41">
        <f>(C_air_CO2/C_sat_CO2*F_vent_ex-CO2_fix_l)*(B496/3600)/(V_L_CO2+Vg_CO2)</f>
        <v>0.0001151563668588</v>
      </c>
      <c r="Q496" s="41">
        <f>(P496*N496+pool_b*M496)/(1-pool_ret*M496)</f>
        <v>17.563649466671</v>
      </c>
      <c r="R496" s="41">
        <f>MIN(C_sat_CO2,MAX(C_air_CO2,(pool_ret*Q496+pool_b)*N496+P496*O496))</f>
        <v>18.044711485962</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IF(C497&gt;x_series,(1-EXP(-C497))/C497,1-C497/2+C497^2/6-C497^3/24)</f>
        <v>0.994440740881</v>
      </c>
      <c r="F497" s="41">
        <f>IF(C497&gt;x_series,(C497-1+EXP(-C497))/C497^2,1/2-C497/6+C497^2/24-C497^3/120)</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0.060274260922</v>
      </c>
      <c r="M497" s="41">
        <f>EXP(-L497)</f>
        <v>0.941506279791</v>
      </c>
      <c r="N497" s="41">
        <f>IF(L497&gt;x_series,(1-EXP(-L497))/L497,1-L497/2+L497^2/6-L497^3/24)</f>
        <v>0.970459352204</v>
      </c>
      <c r="O497" s="41">
        <f>IF(L497&gt;x_series,(L497-1+EXP(-L497))/L497^2,1/2-L497/6+L497^2/24-L497^3/120)</f>
        <v>0.490103857663</v>
      </c>
      <c r="P497" s="41">
        <f>(C_air_CO2/C_sat_CO2*F_vent_ex-CO2_fix_l)*(B497/3600)/(V_L_CO2+Vg_CO2)</f>
        <v>0.0001289956604819</v>
      </c>
      <c r="Q497" s="41">
        <f>(P497*N497+pool_b*M497)/(1-pool_ret*M497)</f>
        <v>16.786268070515</v>
      </c>
      <c r="R497" s="41">
        <f>MIN(C_sat_CO2,MAX(C_air_CO2,(pool_ret*Q497+pool_b)*N497+P497*O497))</f>
        <v>17.302411278107</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IF(C498&gt;x_series,(1-EXP(-C498))/C498,1-C498/2+C498^2/6-C498^3/24)</f>
        <v>0.993775484134</v>
      </c>
      <c r="F498" s="41">
        <f>IF(C498&gt;x_series,(C498-1+EXP(-C498))/C498^2,1/2-C498/6+C498^2/24-C498^3/120)</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0.067517182118</v>
      </c>
      <c r="M498" s="41">
        <f>EXP(-L498)</f>
        <v>0.934711660152</v>
      </c>
      <c r="N498" s="41">
        <f>IF(L498&gt;x_series,(1-EXP(-L498))/L498,1-L498/2+L498^2/6-L498^3/24)</f>
        <v>0.966988517588</v>
      </c>
      <c r="O498" s="41">
        <f>IF(L498&gt;x_series,(L498-1+EXP(-L498))/L498^2,1/2-L498/6+L498^2/24-L498^3/120)</f>
        <v>0.488934540463</v>
      </c>
      <c r="P498" s="41">
        <f>(C_air_CO2/C_sat_CO2*F_vent_ex-CO2_fix_l)*(B498/3600)/(V_L_CO2+Vg_CO2)</f>
        <v>0.0001444965623456</v>
      </c>
      <c r="Q498" s="41">
        <f>(P498*N498+pool_b*M498)/(1-pool_ret*M498)</f>
        <v>15.988210489308</v>
      </c>
      <c r="R498" s="41">
        <f>MIN(C_sat_CO2,MAX(C_air_CO2,(pool_ret*Q498+pool_b)*N498+P498*O498))</f>
        <v>16.540231112838</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IF(C499&gt;x_series,(1-EXP(-C499))/C499,1-C499/2+C499^2/6-C499^3/24)</f>
        <v>0.993031058731</v>
      </c>
      <c r="F499" s="41">
        <f>IF(C499&gt;x_series,(C499-1+EXP(-C499))/C499^2,1/2-C499/6+C499^2/24-C499^3/120)</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0.07562972122</v>
      </c>
      <c r="M499" s="41">
        <f>EXP(-L499)</f>
        <v>0.927159450478</v>
      </c>
      <c r="N499" s="41">
        <f>IF(L499&gt;x_series,(1-EXP(-L499))/L499,1-L499/2+L499^2/6-L499^3/24)</f>
        <v>0.963120693126</v>
      </c>
      <c r="O499" s="41">
        <f>IF(L499&gt;x_series,(L499-1+EXP(-L499))/L499^2,1/2-L499/6+L499^2/24-L499^3/120)</f>
        <v>0.487629813772</v>
      </c>
      <c r="P499" s="41">
        <f>(C_air_CO2/C_sat_CO2*F_vent_ex-CO2_fix_l)*(B499/3600)/(V_L_CO2+Vg_CO2)</f>
        <v>0.0001618585726571</v>
      </c>
      <c r="Q499" s="41">
        <f>(P499*N499+pool_b*M499)/(1-pool_ret*M499)</f>
        <v>15.173972853626</v>
      </c>
      <c r="R499" s="41">
        <f>MIN(C_sat_CO2,MAX(C_air_CO2,(pool_ret*Q499+pool_b)*N499+P499*O499))</f>
        <v>15.762434694971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IF(C500&gt;x_series,(1-EXP(-C500))/C500,1-C500/2+C500^2/6-C500^3/24)</f>
        <v>0.992198137799</v>
      </c>
      <c r="F500" s="41">
        <f>IF(C500&gt;x_series,(C500-1+EXP(-C500))/C500^2,1/2-C500/6+C500^2/24-C500^3/120)</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0.08471628849</v>
      </c>
      <c r="M500" s="41">
        <f>EXP(-L500)</f>
        <v>0.918772913878</v>
      </c>
      <c r="N500" s="41">
        <f>IF(L500&gt;x_series,(1-EXP(-L500))/L500,1-L500/2+L500^2/6-L500^3/24)</f>
        <v>0.958813087414</v>
      </c>
      <c r="O500" s="41">
        <f>IF(L500&gt;x_series,(L500-1+EXP(-L500))/L500^2,1/2-L500/6+L500^2/24-L500^3/120)</f>
        <v>0.48617465803</v>
      </c>
      <c r="P500" s="41">
        <f>(C_air_CO2/C_sat_CO2*F_vent_ex-CO2_fix_l)*(B500/3600)/(V_L_CO2+Vg_CO2)</f>
        <v>0.0001813051445215</v>
      </c>
      <c r="Q500" s="41">
        <f>(P500*N500+pool_b*M500)/(1-pool_ret*M500)</f>
        <v>14.348452438396</v>
      </c>
      <c r="R500" s="41">
        <f>MIN(C_sat_CO2,MAX(C_air_CO2,(pool_ret*Q500+pool_b)*N500+P500*O500))</f>
        <v>14.973665508069</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IF(C501&gt;x_series,(1-EXP(-C501))/C501,1-C501/2+C501^2/6-C501^3/24)</f>
        <v>0.991266319666</v>
      </c>
      <c r="F501" s="41">
        <f>IF(C501&gt;x_series,(C501-1+EXP(-C501))/C501^2,1/2-C501/6+C501^2/24-C501^3/120)</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0.094893830161</v>
      </c>
      <c r="M501" s="41">
        <f>EXP(-L501)</f>
        <v>0.909469487572</v>
      </c>
      <c r="N501" s="41">
        <f>IF(L501&gt;x_series,(1-EXP(-L501))/L501,1-L501/2+L501^2/6-L501^3/24)</f>
        <v>0.954018952283</v>
      </c>
      <c r="O501" s="41">
        <f>IF(L501&gt;x_series,(L501-1+EXP(-L501))/L501^2,1/2-L501/6+L501^2/24-L501^3/120)</f>
        <v>0.484552553513</v>
      </c>
      <c r="P501" s="41">
        <f>(C_air_CO2/C_sat_CO2*F_vent_ex-CO2_fix_l)*(B501/3600)/(V_L_CO2+Vg_CO2)</f>
        <v>0.0002030865598355</v>
      </c>
      <c r="Q501" s="41">
        <f>(P501*N501+pool_b*M501)/(1-pool_ret*M501)</f>
        <v>13.516836802482</v>
      </c>
      <c r="R501" s="41">
        <f>MIN(C_sat_CO2,MAX(C_air_CO2,(pool_ret*Q501+pool_b)*N501+P501*O501))</f>
        <v>14.178840871942</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IF(C502&gt;x_series,(1-EXP(-C502))/C502,1-C502/2+C502^2/6-C502^3/24)</f>
        <v>0.990224010114</v>
      </c>
      <c r="F502" s="41">
        <f>IF(C502&gt;x_series,(C502-1+EXP(-C502))/C502^2,1/2-C502/6+C502^2/24-C502^3/120)</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0.106293333557</v>
      </c>
      <c r="M502" s="41">
        <f>EXP(-L502)</f>
        <v>0.899160855337</v>
      </c>
      <c r="N502" s="41">
        <f>IF(L502&gt;x_series,(1-EXP(-L502))/L502,1-L502/2+L502^2/6-L502^3/24)</f>
        <v>0.948687385082</v>
      </c>
      <c r="O502" s="41">
        <f>IF(L502&gt;x_series,(L502-1+EXP(-L502))/L502^2,1/2-L502/6+L502^2/24-L502^3/120)</f>
        <v>0.482745372649</v>
      </c>
      <c r="P502" s="41">
        <f>(C_air_CO2/C_sat_CO2*F_vent_ex-CO2_fix_l)*(B502/3600)/(V_L_CO2+Vg_CO2)</f>
        <v>0.000227483150473</v>
      </c>
      <c r="Q502" s="41">
        <f>(P502*N502+pool_b*M502)/(1-pool_ret*M502)</f>
        <v>12.68447795744</v>
      </c>
      <c r="R502" s="41">
        <f>MIN(C_sat_CO2,MAX(C_air_CO2,(pool_ret*Q502+pool_b)*N502+P502*O502))</f>
        <v>13.383031700278</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IF(C503&gt;x_series,(1-EXP(-C503))/C503,1-C503/2+C503^2/6-C503^3/24)</f>
        <v>0.989058293304</v>
      </c>
      <c r="F503" s="41">
        <f>IF(C503&gt;x_series,(C503-1+EXP(-C503))/C503^2,1/2-C503/6+C503^2/24-C503^3/120)</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0.119061512934</v>
      </c>
      <c r="M503" s="41">
        <f>EXP(-L503)</f>
        <v>0.887753190779</v>
      </c>
      <c r="N503" s="41">
        <f>IF(L503&gt;x_series,(1-EXP(-L503))/L503,1-L503/2+L503^2/6-L503^3/24)</f>
        <v>0.942763168845</v>
      </c>
      <c r="O503" s="41">
        <f>IF(L503&gt;x_series,(L503-1+EXP(-L503))/L503^2,1/2-L503/6+L503^2/24-L503^3/120)</f>
        <v>0.480733275977</v>
      </c>
      <c r="P503" s="41">
        <f>(C_air_CO2/C_sat_CO2*F_vent_ex-CO2_fix_l)*(B503/3600)/(V_L_CO2+Vg_CO2)</f>
        <v>0.0002548089062218</v>
      </c>
      <c r="Q503" s="41">
        <f>(P503*N503+pool_b*M503)/(1-pool_ret*M503)</f>
        <v>11.856757971806</v>
      </c>
      <c r="R503" s="41">
        <f>MIN(C_sat_CO2,MAX(C_air_CO2,(pool_ret*Q503+pool_b)*N503+P503*O503))</f>
        <v>12.591334060517</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IF(C504&gt;x_series,(1-EXP(-C504))/C504,1-C504/2+C504^2/6-C504^3/24)</f>
        <v>0.987754790712</v>
      </c>
      <c r="F504" s="41">
        <f>IF(C504&gt;x_series,(C504-1+EXP(-C504))/C504^2,1/2-C504/6+C504^2/24-C504^3/120)</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0.133362697726</v>
      </c>
      <c r="M504" s="41">
        <f>EXP(-L504)</f>
        <v>0.875147620487</v>
      </c>
      <c r="N504" s="41">
        <f>IF(L504&gt;x_series,(1-EXP(-L504))/L504,1-L504/2+L504^2/6-L504^3/24)</f>
        <v>0.936186667199</v>
      </c>
      <c r="O504" s="41">
        <f>IF(L504&gt;x_series,(L504-1+EXP(-L504))/L504^2,1/2-L504/6+L504^2/24-L504^3/120)</f>
        <v>0.478494615731</v>
      </c>
      <c r="P504" s="41">
        <f>(C_air_CO2/C_sat_CO2*F_vent_ex-CO2_fix_l)*(B504/3600)/(V_L_CO2+Vg_CO2)</f>
        <v>0.000285415515905</v>
      </c>
      <c r="Q504" s="41">
        <f>(P504*N504+pool_b*M504)/(1-pool_ret*M504)</f>
        <v>11.03895319595</v>
      </c>
      <c r="R504" s="41">
        <f>MIN(C_sat_CO2,MAX(C_air_CO2,(pool_ret*Q504+pool_b)*N504+P504*O504))</f>
        <v>11.80873938012</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IF(C505&gt;x_series,(1-EXP(-C505))/C505,1-C505/2+C505^2/6-C505^3/24)</f>
        <v>0.98629750747</v>
      </c>
      <c r="F505" s="41">
        <f>IF(C505&gt;x_series,(C505-1+EXP(-C505))/C505^2,1/2-C505/6+C505^2/24-C505^3/120)</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0.149380947504</v>
      </c>
      <c r="M505" s="41">
        <f>EXP(-L505)</f>
        <v>0.861240964803</v>
      </c>
      <c r="N505" s="41">
        <f>IF(L505&gt;x_series,(1-EXP(-L505))/L505,1-L505/2+L505^2/6-L505^3/24)</f>
        <v>0.928893794794</v>
      </c>
      <c r="O505" s="41">
        <f>IF(L505&gt;x_series,(L505-1+EXP(-L505))/L505^2,1/2-L505/6+L505^2/24-L505^3/120)</f>
        <v>0.476005852111</v>
      </c>
      <c r="P505" s="41">
        <f>(C_air_CO2/C_sat_CO2*F_vent_ex-CO2_fix_l)*(B505/3600)/(V_L_CO2+Vg_CO2)</f>
        <v>0.0003196968936979</v>
      </c>
      <c r="Q505" s="41">
        <f>(P505*N505+pool_b*M505)/(1-pool_ret*M505)</f>
        <v>10.236104422493</v>
      </c>
      <c r="R505" s="41">
        <f>MIN(C_sat_CO2,MAX(C_air_CO2,(pool_ret*Q505+pool_b)*N505+P505*O505))</f>
        <v>11.040010267306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IF(C506&gt;x_series,(1-EXP(-C506))/C506,1-C506/2+C506^2/6-C506^3/24)</f>
        <v>0.984668665686</v>
      </c>
      <c r="F506" s="41">
        <f>IF(C506&gt;x_series,(C506-1+EXP(-C506))/C506^2,1/2-C506/6+C506^2/24-C506^3/120)</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0.167322420862</v>
      </c>
      <c r="M506" s="41">
        <f>EXP(-L506)</f>
        <v>0.845926822908</v>
      </c>
      <c r="N506" s="41">
        <f>IF(L506&gt;x_series,(1-EXP(-L506))/L506,1-L506/2+L506^2/6-L506^3/24)</f>
        <v>0.920816088474</v>
      </c>
      <c r="O506" s="41">
        <f>IF(L506&gt;x_series,(L506-1+EXP(-L506))/L506^2,1/2-L506/6+L506^2/24-L506^3/120)</f>
        <v>0.473241488604</v>
      </c>
      <c r="P506" s="41">
        <f>(C_air_CO2/C_sat_CO2*F_vent_ex-CO2_fix_l)*(B506/3600)/(V_L_CO2+Vg_CO2)</f>
        <v>0.0003580942488947</v>
      </c>
      <c r="Q506" s="41">
        <f>(P506*N506+pool_b*M506)/(1-pool_ret*M506)</f>
        <v>9.452899760523</v>
      </c>
      <c r="R506" s="41">
        <f>MIN(C_sat_CO2,MAX(C_air_CO2,(pool_ret*Q506+pool_b)*N506+P506*O506))</f>
        <v>10.289568403111</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IF(C507&gt;x_series,(1-EXP(-C507))/C507,1-C507/2+C507^2/6-C507^3/24)</f>
        <v>0.982848524455</v>
      </c>
      <c r="F507" s="41">
        <f>IF(C507&gt;x_series,(C507-1+EXP(-C507))/C507^2,1/2-C507/6+C507^2/24-C507^3/120)</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0.18741802873</v>
      </c>
      <c r="M507" s="41">
        <f>EXP(-L507)</f>
        <v>0.829097077536</v>
      </c>
      <c r="N507" s="41">
        <f>IF(L507&gt;x_series,(1-EXP(-L507))/L507,1-L507/2+L507^2/6-L507^3/24)</f>
        <v>0.911880909338</v>
      </c>
      <c r="O507" s="41">
        <f>IF(L507&gt;x_series,(L507-1+EXP(-L507))/L507^2,1/2-L507/6+L507^2/24-L507^3/120)</f>
        <v>0.470174034267</v>
      </c>
      <c r="P507" s="41">
        <f>(C_air_CO2/C_sat_CO2*F_vent_ex-CO2_fix_l)*(B507/3600)/(V_L_CO2+Vg_CO2)</f>
        <v>0.0004011017643751</v>
      </c>
      <c r="Q507" s="41">
        <f>(P507*N507+pool_b*M507)/(1-pool_ret*M507)</f>
        <v>8.693575871972</v>
      </c>
      <c r="R507" s="41">
        <f>MIN(C_sat_CO2,MAX(C_air_CO2,(pool_ret*Q507+pool_b)*N507+P507*O507))</f>
        <v>9.561399885387</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IF(C508&gt;x_series,(1-EXP(-C508))/C508,1-C508/2+C508^2/6-C508^3/24)</f>
        <v>0.980815186604</v>
      </c>
      <c r="F508" s="41">
        <f>IF(C508&gt;x_series,(C508-1+EXP(-C508))/C508^2,1/2-C508/6+C508^2/24-C508^3/120)</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0.209926406247</v>
      </c>
      <c r="M508" s="41">
        <f>EXP(-L508)</f>
        <v>0.810643902102</v>
      </c>
      <c r="N508" s="41">
        <f>IF(L508&gt;x_series,(1-EXP(-L508))/L508,1-L508/2+L508^2/6-L508^3/24)</f>
        <v>0.902011811106</v>
      </c>
      <c r="O508" s="41">
        <f>IF(L508&gt;x_series,(L508-1+EXP(-L508))/L508^2,1/2-L508/6+L508^2/24-L508^3/120)</f>
        <v>0.466774002592</v>
      </c>
      <c r="P508" s="41">
        <f>(C_air_CO2/C_sat_CO2*F_vent_ex-CO2_fix_l)*(B508/3600)/(V_L_CO2+Vg_CO2)</f>
        <v>0.000449272956852</v>
      </c>
      <c r="Q508" s="41">
        <f>(P508*N508+pool_b*M508)/(1-pool_ret*M508)</f>
        <v>7.961841646484</v>
      </c>
      <c r="R508" s="41">
        <f>MIN(C_sat_CO2,MAX(C_air_CO2,(pool_ret*Q508+pool_b)*N508+P508*O508))</f>
        <v>8.858981908195</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IF(C509&gt;x_series,(1-EXP(-C509))/C509,1-C509/2+C509^2/6-C509^3/24)</f>
        <v>0.978544392535</v>
      </c>
      <c r="F509" s="41">
        <f>IF(C509&gt;x_series,(C509-1+EXP(-C509))/C509^2,1/2-C509/6+C509^2/24-C509^3/120)</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0.235137241462</v>
      </c>
      <c r="M509" s="41">
        <f>EXP(-L509)</f>
        <v>0.790462357975</v>
      </c>
      <c r="N509" s="41">
        <f>IF(L509&gt;x_series,(1-EXP(-L509))/L509,1-L509/2+L509^2/6-L509^3/24)</f>
        <v>0.891129115587</v>
      </c>
      <c r="O509" s="41">
        <f>IF(L509&gt;x_series,(L509-1+EXP(-L509))/L509^2,1/2-L509/6+L509^2/24-L509^3/120)</f>
        <v>0.463009958509</v>
      </c>
      <c r="P509" s="41">
        <f>(C_air_CO2/C_sat_CO2*F_vent_ex-CO2_fix_l)*(B509/3600)/(V_L_CO2+Vg_CO2)</f>
        <v>0.0005032278007608</v>
      </c>
      <c r="Q509" s="41">
        <f>(P509*N509+pool_b*M509)/(1-pool_ret*M509)</f>
        <v>7.260826577456</v>
      </c>
      <c r="R509" s="41">
        <f>MIN(C_sat_CO2,MAX(C_air_CO2,(pool_ret*Q509+pool_b)*N509+P509*O509))</f>
        <v>8.185232933183</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IF(C510&gt;x_series,(1-EXP(-C510))/C510,1-C510/2+C510^2/6-C510^3/24)</f>
        <v>0.976009302069</v>
      </c>
      <c r="F510" s="41">
        <f>IF(C510&gt;x_series,(C510-1+EXP(-C510))/C510^2,1/2-C510/6+C510^2/24-C510^3/120)</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0.263375003677</v>
      </c>
      <c r="M510" s="41">
        <f>EXP(-L510)</f>
        <v>0.768453670319</v>
      </c>
      <c r="N510" s="41">
        <f>IF(L510&gt;x_series,(1-EXP(-L510))/L510,1-L510/2+L510^2/6-L510^3/24)</f>
        <v>0.879150741141</v>
      </c>
      <c r="O510" s="41">
        <f>IF(L510&gt;x_series,(L510-1+EXP(-L510))/L510^2,1/2-L510/6+L510^2/24-L510^3/120)</f>
        <v>0.458848627137</v>
      </c>
      <c r="P510" s="41">
        <f>(C_air_CO2/C_sat_CO2*F_vent_ex-CO2_fix_l)*(B510/3600)/(V_L_CO2+Vg_CO2)</f>
        <v>0.000563660707474</v>
      </c>
      <c r="Q510" s="41">
        <f>(P510*N510+pool_b*M510)/(1-pool_ret*M510)</f>
        <v>6.593054260885</v>
      </c>
      <c r="R510" s="41">
        <f>MIN(C_sat_CO2,MAX(C_air_CO2,(pool_ret*Q510+pool_b)*N510+P510*O510))</f>
        <v>7.542486757387</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IF(C511&gt;x_series,(1-EXP(-C511))/C511,1-C511/2+C511^2/6-C511^3/24)</f>
        <v>0.973180265816</v>
      </c>
      <c r="F511" s="41">
        <f>IF(C511&gt;x_series,(C511-1+EXP(-C511))/C511^2,1/2-C511/6+C511^2/24-C511^3/120)</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0.295003119452</v>
      </c>
      <c r="M511" s="41">
        <f>EXP(-L511)</f>
        <v>0.744529264939</v>
      </c>
      <c r="N511" s="41">
        <f>IF(L511&gt;x_series,(1-EXP(-L511))/L511,1-L511/2+L511^2/6-L511^3/24)</f>
        <v>0.865993334361</v>
      </c>
      <c r="O511" s="41">
        <f>IF(L511&gt;x_series,(L511-1+EXP(-L511))/L511^2,1/2-L511/6+L511^2/24-L511^3/120)</f>
        <v>0.454255080042</v>
      </c>
      <c r="P511" s="41">
        <f>(C_air_CO2/C_sat_CO2*F_vent_ex-CO2_fix_l)*(B511/3600)/(V_L_CO2+Vg_CO2)</f>
        <v>0.0006313494625371</v>
      </c>
      <c r="Q511" s="41">
        <f>(P511*N511+pool_b*M511)/(1-pool_ret*M511)</f>
        <v>5.960439764593</v>
      </c>
      <c r="R511" s="41">
        <f>MIN(C_sat_CO2,MAX(C_air_CO2,(pool_ret*Q511+pool_b)*N511+P511*O511))</f>
        <v>6.932489289983</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IF(C512&gt;x_series,(1-EXP(-C512))/C512,1-C512/2+C512^2/6-C512^3/24)</f>
        <v>0.970024588442</v>
      </c>
      <c r="F512" s="41">
        <f>IF(C512&gt;x_series,(C512-1+EXP(-C512))/C512^2,1/2-C512/6+C512^2/24-C512^3/120)</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0.330428649982</v>
      </c>
      <c r="M512" s="41">
        <f>EXP(-L512)</f>
        <v>0.718615632825</v>
      </c>
      <c r="N512" s="41">
        <f>IF(L512&gt;x_series,(1-EXP(-L512))/L512,1-L512/2+L512^2/6-L512^3/24)</f>
        <v>0.851573757876</v>
      </c>
      <c r="O512" s="41">
        <f>IF(L512&gt;x_series,(L512-1+EXP(-L512))/L512^2,1/2-L512/6+L512^2/24-L512^3/120)</f>
        <v>0.449193016804</v>
      </c>
      <c r="P512" s="41">
        <f>(C_air_CO2/C_sat_CO2*F_vent_ex-CO2_fix_l)*(B512/3600)/(V_L_CO2+Vg_CO2)</f>
        <v>0.000707165235949</v>
      </c>
      <c r="Q512" s="41">
        <f>(P512*N512+pool_b*M512)/(1-pool_ret*M512)</f>
        <v>5.364308255521</v>
      </c>
      <c r="R512" s="41">
        <f>MIN(C_sat_CO2,MAX(C_air_CO2,(pool_ret*Q512+pool_b)*N512+P512*O512))</f>
        <v>6.356415559637</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IF(C513&gt;x_series,(1-EXP(-C513))/C513,1-C513/2+C513^2/6-C513^3/24)</f>
        <v>0.966506287286</v>
      </c>
      <c r="F513" s="41">
        <f>IF(C513&gt;x_series,(C513-1+EXP(-C513))/C513^2,1/2-C513/6+C513^2/24-C513^3/120)</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0.370107530072</v>
      </c>
      <c r="M513" s="41">
        <f>EXP(-L513)</f>
        <v>0.690660059918</v>
      </c>
      <c r="N513" s="41">
        <f>IF(L513&gt;x_series,(1-EXP(-L513))/L513,1-L513/2+L513^2/6-L513^3/24)</f>
        <v>0.835810987205</v>
      </c>
      <c r="O513" s="41">
        <f>IF(L513&gt;x_series,(L513-1+EXP(-L513))/L513^2,1/2-L513/6+L513^2/24-L513^3/120)</f>
        <v>0.443625161483</v>
      </c>
      <c r="P513" s="41">
        <f>(C_air_CO2/C_sat_CO2*F_vent_ex-CO2_fix_l)*(B513/3600)/(V_L_CO2+Vg_CO2)</f>
        <v>0.0007920837943223</v>
      </c>
      <c r="Q513" s="41">
        <f>(P513*N513+pool_b*M513)/(1-pool_ret*M513)</f>
        <v>4.805431313684</v>
      </c>
      <c r="R513" s="41">
        <f>MIN(C_sat_CO2,MAX(C_air_CO2,(pool_ret*Q513+pool_b)*N513+P513*O513))</f>
        <v>5.814903567289</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IF(C514&gt;x_series,(1-EXP(-C514))/C514,1-C514/2+C514^2/6-C514^3/24)</f>
        <v>0.96258585108</v>
      </c>
      <c r="F514" s="41">
        <f>IF(C514&gt;x_series,(C514-1+EXP(-C514))/C514^2,1/2-C514/6+C514^2/24-C514^3/120)</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0.414550436127</v>
      </c>
      <c r="M514" s="41">
        <f>EXP(-L514)</f>
        <v>0.660637212579</v>
      </c>
      <c r="N514" s="41">
        <f>IF(L514&gt;x_series,(1-EXP(-L514))/L514,1-L514/2+L514^2/6-L514^3/24)</f>
        <v>0.818628465553</v>
      </c>
      <c r="O514" s="41">
        <f>IF(L514&gt;x_series,(L514-1+EXP(-L514))/L514^2,1/2-L514/6+L514^2/24-L514^3/120)</f>
        <v>0.437513794802</v>
      </c>
      <c r="P514" s="41">
        <f>(C_air_CO2/C_sat_CO2*F_vent_ex-CO2_fix_l)*(B514/3600)/(V_L_CO2+Vg_CO2)</f>
        <v>0.0008871980592264</v>
      </c>
      <c r="Q514" s="41">
        <f>(P514*N514+pool_b*M514)/(1-pool_ret*M514)</f>
        <v>4.284076826418</v>
      </c>
      <c r="R514" s="41">
        <f>MIN(C_sat_CO2,MAX(C_air_CO2,(pool_ret*Q514+pool_b)*N514+P514*O514))</f>
        <v>5.308101099597</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IF(C515&gt;x_series,(1-EXP(-C515))/C515,1-C515/2+C515^2/6-C515^3/24)</f>
        <v>0.958220005227</v>
      </c>
      <c r="F515" s="41">
        <f>IF(C515&gt;x_series,(C515-1+EXP(-C515))/C515^2,1/2-C515/6+C515^2/24-C515^3/120)</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0.464329358668</v>
      </c>
      <c r="M515" s="41">
        <f>EXP(-L515)</f>
        <v>0.62855649984</v>
      </c>
      <c r="N515" s="41">
        <f>IF(L515&gt;x_series,(1-EXP(-L515))/L515,1-L515/2+L515^2/6-L515^3/24)</f>
        <v>0.79995695561</v>
      </c>
      <c r="O515" s="41">
        <f>IF(L515&gt;x_series,(L515-1+EXP(-L515))/L515^2,1/2-L515/6+L515^2/24-L515^3/120)</f>
        <v>0.430821443133</v>
      </c>
      <c r="P515" s="41">
        <f>(C_air_CO2/C_sat_CO2*F_vent_ex-CO2_fix_l)*(B515/3600)/(V_L_CO2+Vg_CO2)</f>
        <v>0.0009937321733415</v>
      </c>
      <c r="Q515" s="41">
        <f>(P515*N515+pool_b*M515)/(1-pool_ret*M515)</f>
        <v>3.800068215518</v>
      </c>
      <c r="R515" s="41">
        <f>MIN(C_sat_CO2,MAX(C_air_CO2,(pool_ret*Q515+pool_b)*N515+P515*O515))</f>
        <v>4.835721497962</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IF(C516&gt;x_series,(1-EXP(-C516))/C516,1-C516/2+C516^2/6-C516^3/24)</f>
        <v>0.953361492091</v>
      </c>
      <c r="F516" s="41">
        <f>IF(C516&gt;x_series,(C516-1+EXP(-C516))/C516^2,1/2-C516/6+C516^2/24-C516^3/120)</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0.52008496399</v>
      </c>
      <c r="M516" s="41">
        <f>EXP(-L516)</f>
        <v>0.594470037278</v>
      </c>
      <c r="N516" s="41">
        <f>IF(L516&gt;x_series,(1-EXP(-L516))/L516,1-L516/2+L516^2/6-L516^3/24)</f>
        <v>0.779737909765</v>
      </c>
      <c r="O516" s="41">
        <f>IF(L516&gt;x_series,(L516-1+EXP(-L516))/L516^2,1/2-L516/6+L516^2/24-L516^3/120)</f>
        <v>0.423511744206</v>
      </c>
      <c r="P516" s="41">
        <f>(C_air_CO2/C_sat_CO2*F_vent_ex-CO2_fix_l)*(B516/3600)/(V_L_CO2+Vg_CO2)</f>
        <v>0.001113057255</v>
      </c>
      <c r="Q516" s="41">
        <f>(P516*N516+pool_b*M516)/(1-pool_ret*M516)</f>
        <v>3.352848933715</v>
      </c>
      <c r="R516" s="41">
        <f>MIN(C_sat_CO2,MAX(C_air_CO2,(pool_ret*Q516+pool_b)*N516+P516*O516))</f>
        <v>4.397104572644</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IF(C517&gt;x_series,(1-EXP(-C517))/C517,1-C517/2+C517^2/6-C517^3/24)</f>
        <v>0.947958877225</v>
      </c>
      <c r="F517" s="41">
        <f>IF(C517&gt;x_series,(C517-1+EXP(-C517))/C517^2,1/2-C517/6+C517^2/24-C517^3/120)</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0.582534839684</v>
      </c>
      <c r="M517" s="41">
        <f>EXP(-L517)</f>
        <v>0.558480911237</v>
      </c>
      <c r="N517" s="41">
        <f>IF(L517&gt;x_series,(1-EXP(-L517))/L517,1-L517/2+L517^2/6-L517^3/24)</f>
        <v>0.75792735247</v>
      </c>
      <c r="O517" s="41">
        <f>IF(L517&gt;x_series,(L517-1+EXP(-L517))/L517^2,1/2-L517/6+L517^2/24-L517^3/120)</f>
        <v>0.415550506235</v>
      </c>
      <c r="P517" s="41">
        <f>(C_air_CO2/C_sat_CO2*F_vent_ex-CO2_fix_l)*(B517/3600)/(V_L_CO2+Vg_CO2)</f>
        <v>0.001246709047</v>
      </c>
      <c r="Q517" s="41">
        <f>(P517*N517+pool_b*M517)/(1-pool_ret*M517)</f>
        <v>2.941548585849</v>
      </c>
      <c r="R517" s="41">
        <f>MIN(C_sat_CO2,MAX(C_air_CO2,(pool_ret*Q517+pool_b)*N517+P517*O517))</f>
        <v>3.991279276827</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IF(C518&gt;x_series,(1-EXP(-C518))/C518,1-C518/2+C518^2/6-C518^3/24)</f>
        <v>0.941956395413</v>
      </c>
      <c r="F518" s="41">
        <f>IF(C518&gt;x_series,(C518-1+EXP(-C518))/C518^2,1/2-C518/6+C518^2/24-C518^3/120)</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0.652482730154</v>
      </c>
      <c r="M518" s="41">
        <f>EXP(-L518)</f>
        <v>0.52075128557</v>
      </c>
      <c r="N518" s="41">
        <f>IF(L518&gt;x_series,(1-EXP(-L518))/L518,1-L518/2+L518^2/6-L518^3/24)</f>
        <v>0.73450022856</v>
      </c>
      <c r="O518" s="41">
        <f>IF(L518&gt;x_series,(L518-1+EXP(-L518))/L518^2,1/2-L518/6+L518^2/24-L518^3/120)</f>
        <v>0.406906971127</v>
      </c>
      <c r="P518" s="41">
        <f>(C_air_CO2/C_sat_CO2*F_vent_ex-CO2_fix_l)*(B518/3600)/(V_L_CO2+Vg_CO2)</f>
        <v>0.001396407678</v>
      </c>
      <c r="Q518" s="41">
        <f>(P518*N518+pool_b*M518)/(1-pool_ret*M518)</f>
        <v>2.565047589469</v>
      </c>
      <c r="R518" s="41">
        <f>MIN(C_sat_CO2,MAX(C_air_CO2,(pool_ret*Q518+pool_b)*N518+P518*O518))</f>
        <v>3.617025323192</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IF(C519&gt;x_series,(1-EXP(-C519))/C519,1-C519/2+C519^2/6-C519^3/24)</f>
        <v>0.935293853813</v>
      </c>
      <c r="F519" s="41">
        <f>IF(C519&gt;x_series,(C519-1+EXP(-C519))/C519^2,1/2-C519/6+C519^2/24-C519^3/120)</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0.730828880997</v>
      </c>
      <c r="M519" s="41">
        <f>EXP(-L519)</f>
        <v>0.481509710387</v>
      </c>
      <c r="N519" s="41">
        <f>IF(L519&gt;x_series,(1-EXP(-L519))/L519,1-L519/2+L519^2/6-L519^3/24)</f>
        <v>0.709455117464</v>
      </c>
      <c r="O519" s="41">
        <f>IF(L519&gt;x_series,(L519-1+EXP(-L519))/L519^2,1/2-L519/6+L519^2/24-L519^3/120)</f>
        <v>0.3975552829</v>
      </c>
      <c r="P519" s="41">
        <f>(C_air_CO2/C_sat_CO2*F_vent_ex-CO2_fix_l)*(B519/3600)/(V_L_CO2+Vg_CO2)</f>
        <v>0.001564079804</v>
      </c>
      <c r="Q519" s="41">
        <f>(P519*N519+pool_b*M519)/(1-pool_ret*M519)</f>
        <v>2.222037902772</v>
      </c>
      <c r="R519" s="41">
        <f>MIN(C_sat_CO2,MAX(C_air_CO2,(pool_ret*Q519+pool_b)*N519+P519*O519))</f>
        <v>3.272931554843</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IF(C520&gt;x_series,(1-EXP(-C520))/C520,1-C520/2+C520^2/6-C520^3/24)</f>
        <v>0.927906613546</v>
      </c>
      <c r="F520" s="41">
        <f>IF(C520&gt;x_series,(C520-1+EXP(-C520))/C520^2,1/2-C520/6+C520^2/24-C520^3/120)</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0.81858162537</v>
      </c>
      <c r="M520" s="41">
        <f>EXP(-L520)</f>
        <v>0.441056794828</v>
      </c>
      <c r="N520" s="41">
        <f>IF(L520&gt;x_series,(1-EXP(-L520))/L520,1-L520/2+L520^2/6-L520^3/24)</f>
        <v>0.682819144541</v>
      </c>
      <c r="O520" s="41">
        <f>IF(L520&gt;x_series,(L520-1+EXP(-L520))/L520^2,1/2-L520/6+L520^2/24-L520^3/120)</f>
        <v>0.387476148534</v>
      </c>
      <c r="P520" s="41">
        <f>(C_air_CO2/C_sat_CO2*F_vent_ex-CO2_fix_l)*(B520/3600)/(V_L_CO2+Vg_CO2)</f>
        <v>0.001751883404</v>
      </c>
      <c r="Q520" s="41">
        <f>(P520*N520+pool_b*M520)/(1-pool_ret*M520)</f>
        <v>1.911077944383</v>
      </c>
      <c r="R520" s="41">
        <f>MIN(C_sat_CO2,MAX(C_air_CO2,(pool_ret*Q520+pool_b)*N520+P520*O520))</f>
        <v>2.957449507497</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IF(C521&gt;x_series,(1-EXP(-C521))/C521,1-C521/2+C521^2/6-C521^3/24)</f>
        <v>0.919725675504</v>
      </c>
      <c r="F521" s="41">
        <f>IF(C521&gt;x_series,(C521-1+EXP(-C521))/C521^2,1/2-C521/6+C521^2/24-C521^3/120)</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0.916870361474</v>
      </c>
      <c r="M521" s="41">
        <f>EXP(-L521)</f>
        <v>0.399768215341</v>
      </c>
      <c r="N521" s="41">
        <f>IF(L521&gt;x_series,(1-EXP(-L521))/L521,1-L521/2+L521^2/6-L521^3/24)</f>
        <v>0.654652838482</v>
      </c>
      <c r="O521" s="41">
        <f>IF(L521&gt;x_series,(L521-1+EXP(-L521))/L521^2,1/2-L521/6+L521^2/24-L521^3/120)</f>
        <v>0.376658659751</v>
      </c>
      <c r="P521" s="41">
        <f>(C_air_CO2/C_sat_CO2*F_vent_ex-CO2_fix_l)*(B521/3600)/(V_L_CO2+Vg_CO2)</f>
        <v>0.001962235555</v>
      </c>
      <c r="Q521" s="41">
        <f>(P521*N521+pool_b*M521)/(1-pool_ret*M521)</f>
        <v>1.630640359152</v>
      </c>
      <c r="R521" s="41">
        <f>MIN(C_sat_CO2,MAX(C_air_CO2,(pool_ret*Q521+pool_b)*N521+P521*O521))</f>
        <v>2.668941173049</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IF(C522&gt;x_series,(1-EXP(-C522))/C522,1-C522/2+C522^2/6-C522^3/24)</f>
        <v>0.910677901209</v>
      </c>
      <c r="F522" s="41">
        <f>IF(C522&gt;x_series,(C522-1+EXP(-C522))/C522^2,1/2-C522/6+C522^2/24-C522^3/120)</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1.026960088173</v>
      </c>
      <c r="M522" s="41">
        <f>EXP(-L522)</f>
        <v>0.358093881486</v>
      </c>
      <c r="N522" s="41">
        <f>IF(L522&gt;x_series,(1-EXP(-L522))/L522,1-L522/2+L522^2/6-L522^3/24)</f>
        <v>0.625054591612</v>
      </c>
      <c r="O522" s="41">
        <f>IF(L522&gt;x_series,(L522-1+EXP(-L522))/L522^2,1/2-L522/6+L522^2/24-L522^3/120)</f>
        <v>0.365102220336</v>
      </c>
      <c r="P522" s="41">
        <f>(C_air_CO2/C_sat_CO2*F_vent_ex-CO2_fix_l)*(B522/3600)/(V_L_CO2+Vg_CO2)</f>
        <v>0.002197843538</v>
      </c>
      <c r="Q522" s="41">
        <f>(P522*N522+pool_b*M522)/(1-pool_ret*M522)</f>
        <v>1.37915171855</v>
      </c>
      <c r="R522" s="41">
        <f>MIN(C_sat_CO2,MAX(C_air_CO2,(pool_ret*Q522+pool_b)*N522+P522*O522))</f>
        <v>2.405720466362</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IF(C523&gt;x_series,(1-EXP(-C523))/C523,1-C523/2+C523^2/6-C523^3/24)</f>
        <v>0.900686404787</v>
      </c>
      <c r="F523" s="41">
        <f>IF(C523&gt;x_series,(C523-1+EXP(-C523))/C523^2,1/2-C523/6+C523^2/24-C523^3/120)</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1.150267685817</v>
      </c>
      <c r="M523" s="41">
        <f>EXP(-L523)</f>
        <v>0.31655202155</v>
      </c>
      <c r="N523" s="41">
        <f>IF(L523&gt;x_series,(1-EXP(-L523))/L523,1-L523/2+L523^2/6-L523^3/24)</f>
        <v>0.594164286172</v>
      </c>
      <c r="O523" s="41">
        <f>IF(L523&gt;x_series,(L523-1+EXP(-L523))/L523^2,1/2-L523/6+L523^2/24-L523^3/120)</f>
        <v>0.352818495062</v>
      </c>
      <c r="P523" s="41">
        <f>(C_air_CO2/C_sat_CO2*F_vent_ex-CO2_fix_l)*(B523/3600)/(V_L_CO2+Vg_CO2)</f>
        <v>0.002461739681</v>
      </c>
      <c r="Q523" s="41">
        <f>(P523*N523+pool_b*M523)/(1-pool_ret*M523)</f>
        <v>1.155023576163</v>
      </c>
      <c r="R523" s="41">
        <f>MIN(C_sat_CO2,MAX(C_air_CO2,(pool_ret*Q523+pool_b)*N523+P523*O523))</f>
        <v>2.166088293399</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IF(C524&gt;x_series,(1-EXP(-C524))/C524,1-C524/2+C524^2/6-C524^3/24)</f>
        <v>0.88967115751</v>
      </c>
      <c r="F524" s="41">
        <f>IF(C524&gt;x_series,(C524-1+EXP(-C524))/C524^2,1/2-C524/6+C524^2/24-C524^3/120)</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1.288380151827</v>
      </c>
      <c r="M524" s="41">
        <f>EXP(-L524)</f>
        <v>0.275717041303</v>
      </c>
      <c r="N524" s="41">
        <f>IF(L524&gt;x_series,(1-EXP(-L524))/L524,1-L524/2+L524^2/6-L524^3/24)</f>
        <v>0.562165567104</v>
      </c>
      <c r="O524" s="41">
        <f>IF(L524&gt;x_series,(L524-1+EXP(-L524))/L524^2,1/2-L524/6+L524^2/24-L524^3/120)</f>
        <v>0.339833264487</v>
      </c>
      <c r="P524" s="41">
        <f>(C_air_CO2/C_sat_CO2*F_vent_ex-CO2_fix_l)*(B524/3600)/(V_L_CO2+Vg_CO2)</f>
        <v>0.00275732039</v>
      </c>
      <c r="Q524" s="41">
        <f>(P524*N524+pool_b*M524)/(1-pool_ret*M524)</f>
        <v>0.956674542781</v>
      </c>
      <c r="R524" s="41">
        <f>MIN(C_sat_CO2,MAX(C_air_CO2,(pool_ret*Q524+pool_b)*N524+P524*O524))</f>
        <v>1.948361417733</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IF(C525&gt;x_series,(1-EXP(-C525))/C525,1-C525/2+C525^2/6-C525^3/24)</f>
        <v>0.877549851432</v>
      </c>
      <c r="F525" s="41">
        <f>IF(C525&gt;x_series,(C525-1+EXP(-C525))/C525^2,1/2-C525/6+C525^2/24-C525^3/120)</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1.443075025719</v>
      </c>
      <c r="M525" s="41">
        <f>EXP(-L525)</f>
        <v>0.236200318752</v>
      </c>
      <c r="N525" s="41">
        <f>IF(L525&gt;x_series,(1-EXP(-L525))/L525,1-L525/2+L525^2/6-L525^3/24)</f>
        <v>0.529286189308</v>
      </c>
      <c r="O525" s="41">
        <f>IF(L525&gt;x_series,(L525-1+EXP(-L525))/L525^2,1/2-L525/6+L525^2/24-L525^3/120)</f>
        <v>0.326188037561</v>
      </c>
      <c r="P525" s="41">
        <f>(C_air_CO2/C_sat_CO2*F_vent_ex-CO2_fix_l)*(B525/3600)/(V_L_CO2+Vg_CO2)</f>
        <v>0.003088389857</v>
      </c>
      <c r="Q525" s="41">
        <f>(P525*N525+pool_b*M525)/(1-pool_ret*M525)</f>
        <v>0.782543238562</v>
      </c>
      <c r="R525" s="41">
        <f>MIN(C_sat_CO2,MAX(C_air_CO2,(pool_ret*Q525+pool_b)*N525+P525*O525))</f>
        <v>1.750895530624</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IF(C526&gt;x_series,(1-EXP(-C526))/C526,1-C526/2+C526^2/6-C526^3/24)</f>
        <v>0.864239072748</v>
      </c>
      <c r="F526" s="41">
        <f>IF(C526&gt;x_series,(C526-1+EXP(-C526))/C526^2,1/2-C526/6+C526^2/24-C526^3/120)</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1.616343266449</v>
      </c>
      <c r="M526" s="41">
        <f>EXP(-L526)</f>
        <v>0.198623686632</v>
      </c>
      <c r="N526" s="41">
        <f>IF(L526&gt;x_series,(1-EXP(-L526))/L526,1-L526/2+L526^2/6-L526^3/24)</f>
        <v>0.495795868367</v>
      </c>
      <c r="O526" s="41">
        <f>IF(L526&gt;x_series,(L526-1+EXP(-L526))/L526^2,1/2-L526/6+L526^2/24-L526^3/120)</f>
        <v>0.311941245464</v>
      </c>
      <c r="P526" s="41">
        <f>(C_air_CO2/C_sat_CO2*F_vent_ex-CO2_fix_l)*(B526/3600)/(V_L_CO2+Vg_CO2)</f>
        <v>0.003459209023</v>
      </c>
      <c r="Q526" s="41">
        <f>(P526*N526+pool_b*M526)/(1-pool_ret*M526)</f>
        <v>0.631092183044</v>
      </c>
      <c r="R526" s="41">
        <f>MIN(C_sat_CO2,MAX(C_air_CO2,(pool_ret*Q526+pool_b)*N526+P526*O526))</f>
        <v>1.572103058991</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IF(C527&gt;x_series,(1-EXP(-C527))/C527,1-C527/2+C527^2/6-C527^3/24)</f>
        <v>0.849655837971</v>
      </c>
      <c r="F527" s="41">
        <f>IF(C527&gt;x_series,(C527-1+EXP(-C527))/C527^2,1/2-C527/6+C527^2/24-C527^3/120)</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1.810414876518</v>
      </c>
      <c r="M527" s="41">
        <f>EXP(-L527)</f>
        <v>0.163586254627</v>
      </c>
      <c r="N527" s="41">
        <f>IF(L527&gt;x_series,(1-EXP(-L527))/L527,1-L527/2+L527^2/6-L527^3/24)</f>
        <v>0.462001144722</v>
      </c>
      <c r="O527" s="41">
        <f>IF(L527&gt;x_series,(L527-1+EXP(-L527))/L527^2,1/2-L527/6+L527^2/24-L527^3/120)</f>
        <v>0.297168821498</v>
      </c>
      <c r="P527" s="41">
        <f>(C_air_CO2/C_sat_CO2*F_vent_ex-CO2_fix_l)*(B527/3600)/(V_L_CO2+Vg_CO2)</f>
        <v>0.003874550416</v>
      </c>
      <c r="Q527" s="41">
        <f>(P527*N527+pool_b*M527)/(1-pool_ret*M527)</f>
        <v>0.500802984417</v>
      </c>
      <c r="R527" s="41">
        <f>MIN(C_sat_CO2,MAX(C_air_CO2,(pool_ret*Q527+pool_b)*N527+P527*O527))</f>
        <v>1.410466310027</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IF(C528&gt;x_series,(1-EXP(-C528))/C528,1-C528/2+C528^2/6-C528^3/24)</f>
        <v>0.833719545606</v>
      </c>
      <c r="F528" s="41">
        <f>IF(C528&gt;x_series,(C528-1+EXP(-C528))/C528^2,1/2-C528/6+C528^2/24-C528^3/120)</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2.027787602622</v>
      </c>
      <c r="M528" s="41">
        <f>EXP(-L528)</f>
        <v>0.131626409172</v>
      </c>
      <c r="N528" s="41">
        <f>IF(L528&gt;x_series,(1-EXP(-L528))/L528,1-L528/2+L528^2/6-L528^3/24)</f>
        <v>0.42823695623</v>
      </c>
      <c r="O528" s="41">
        <f>IF(L528&gt;x_series,(L528-1+EXP(-L528))/L528^2,1/2-L528/6+L528^2/24-L528^3/120)</f>
        <v>0.281963970502</v>
      </c>
      <c r="P528" s="41">
        <f>(C_air_CO2/C_sat_CO2*F_vent_ex-CO2_fix_l)*(B528/3600)/(V_L_CO2+Vg_CO2)</f>
        <v>0.004339759578</v>
      </c>
      <c r="Q528" s="41">
        <f>(P528*N528+pool_b*M528)/(1-pool_ret*M528)</f>
        <v>0.390163695327</v>
      </c>
      <c r="R528" s="41">
        <f>MIN(C_sat_CO2,MAX(C_air_CO2,(pool_ret*Q528+pool_b)*N528+P528*O528))</f>
        <v>1.264546566102</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IF(C529&gt;x_series,(1-EXP(-C529))/C529,1-C529/2+C529^2/6-C529^3/24)</f>
        <v>0.816354391322</v>
      </c>
      <c r="F529" s="41">
        <f>IF(C529&gt;x_series,(C529-1+EXP(-C529))/C529^2,1/2-C529/6+C529^2/24-C529^3/120)</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2.271259082233</v>
      </c>
      <c r="M529" s="41">
        <f>EXP(-L529)</f>
        <v>0.103182183408</v>
      </c>
      <c r="N529" s="41">
        <f>IF(L529&gt;x_series,(1-EXP(-L529))/L529,1-L529/2+L529^2/6-L529^3/24)</f>
        <v>0.394854917084</v>
      </c>
      <c r="O529" s="41">
        <f>IF(L529&gt;x_series,(L529-1+EXP(-L529))/L529^2,1/2-L529/6+L529^2/24-L529^3/120)</f>
        <v>0.266435955127</v>
      </c>
      <c r="P529" s="41">
        <f>(C_air_CO2/C_sat_CO2*F_vent_ex-CO2_fix_l)*(B529/3600)/(V_L_CO2+Vg_CO2)</f>
        <v>0.004860823857</v>
      </c>
      <c r="Q529" s="41">
        <f>(P529*N529+pool_b*M529)/(1-pool_ret*M529)</f>
        <v>0.297650023818</v>
      </c>
      <c r="R529" s="41">
        <f>MIN(C_sat_CO2,MAX(C_air_CO2,(pool_ret*Q529+pool_b)*N529+P529*O529))</f>
        <v>1.132989724189</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IF(C530&gt;x_series,(1-EXP(-C530))/C530,1-C530/2+C530^2/6-C530^3/24)</f>
        <v>0.797492283961</v>
      </c>
      <c r="F530" s="41">
        <f>IF(C530&gt;x_series,(C530-1+EXP(-C530))/C530^2,1/2-C530/6+C530^2/24-C530^3/120)</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2.543962849842</v>
      </c>
      <c r="M530" s="41">
        <f>EXP(-L530)</f>
        <v>0.07855448254</v>
      </c>
      <c r="N530" s="41">
        <f>IF(L530&gt;x_series,(1-EXP(-L530))/L530,1-L530/2+L530^2/6-L530^3/24)</f>
        <v>0.362208716027</v>
      </c>
      <c r="O530" s="41">
        <f>IF(L530&gt;x_series,(L530-1+EXP(-L530))/L530^2,1/2-L530/6+L530^2/24-L530^3/120)</f>
        <v>0.250707782157</v>
      </c>
      <c r="P530" s="41">
        <f>(C_air_CO2/C_sat_CO2*F_vent_ex-CO2_fix_l)*(B530/3600)/(V_L_CO2+Vg_CO2)</f>
        <v>0.005444449472</v>
      </c>
      <c r="Q530" s="41">
        <f>(P530*N530+pool_b*M530)/(1-pool_ret*M530)</f>
        <v>0.221703291573</v>
      </c>
      <c r="R530" s="41">
        <f>MIN(C_sat_CO2,MAX(C_air_CO2,(pool_ret*Q530+pool_b)*N530+P530*O530))</f>
        <v>1.014529035169</v>
      </c>
      <c r="S530" s="41">
        <f>IF(AND(R530&gt;=CO2_pH_hi_mt,R531&lt;CO2_pH_hi_mt),EXP(LN(A530)+(LN(A531)-LN(A530))*(R530-CO2_pH_hi_mt)/(R530-R531)),0)</f>
        <v>568.953730792824</v>
      </c>
    </row>
    <row r="531">
      <c r="A531" s="41">
        <f>A530*grid_ratio</f>
        <v>605.54568605914</v>
      </c>
      <c r="B531" s="41">
        <f>MAX(0,A531*60-spg_dur)</f>
        <v>36332.09116355</v>
      </c>
      <c r="C531" s="41">
        <f>k_eff_CO2*B531</f>
        <v>0.527574531084</v>
      </c>
      <c r="D531" s="41">
        <f>EXP(-C531)</f>
        <v>0.590034345489</v>
      </c>
      <c r="E531" s="41">
        <f>IF(C531&gt;x_series,(1-EXP(-C531))/C531,1-C531/2+C531^2/6-C531^3/24)</f>
        <v>0.777076280898</v>
      </c>
      <c r="F531" s="41">
        <f>IF(C531&gt;x_series,(C531-1+EXP(-C531))/C531^2,1/2-C531/6+C531^2/24-C531^3/120)</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2.849408666275</v>
      </c>
      <c r="M531" s="41">
        <f>EXP(-L531)</f>
        <v>0.057878536288</v>
      </c>
      <c r="N531" s="41">
        <f>IF(L531&gt;x_series,(1-EXP(-L531))/L531,1-L531/2+L531^2/6-L531^3/24)</f>
        <v>0.330637537136</v>
      </c>
      <c r="O531" s="41">
        <f>IF(L531&gt;x_series,(L531-1+EXP(-L531))/L531^2,1/2-L531/6+L531^2/24-L531^3/120)</f>
        <v>0.234912763054</v>
      </c>
      <c r="P531" s="41">
        <f>(C_air_CO2/C_sat_CO2*F_vent_ex-CO2_fix_l)*(B531/3600)/(V_L_CO2+Vg_CO2)</f>
        <v>0.006098147821</v>
      </c>
      <c r="Q531" s="41">
        <f>(P531*N531+pool_b*M531)/(1-pool_ret*M531)</f>
        <v>0.160709559305</v>
      </c>
      <c r="R531" s="41">
        <f>MIN(C_sat_CO2,MAX(C_air_CO2,(pool_ret*Q531+pool_b)*N531+P531*O531))</f>
        <v>0.907985454209</v>
      </c>
      <c r="S531" s="41">
        <f>IF(AND(R531&gt;=CO2_pH_hi_mt,R532&lt;CO2_pH_hi_mt),EXP(LN(A531)+(LN(A532)-LN(A531))*(R531-CO2_pH_hi_mt)/(R531-R532)),0)</f>
        <v>0.0</v>
      </c>
    </row>
    <row r="532">
      <c r="A532" s="41">
        <f>A531*grid_ratio</f>
        <v>678.250242333597</v>
      </c>
      <c r="B532" s="41">
        <f>MAX(0,A532*60-spg_dur)</f>
        <v>40694.36454002</v>
      </c>
      <c r="C532" s="41">
        <f>k_eff_CO2*B532</f>
        <v>0.590918650769</v>
      </c>
      <c r="D532" s="41">
        <f>EXP(-C532)</f>
        <v>0.55381828538</v>
      </c>
      <c r="E532" s="41">
        <f>IF(C532&gt;x_series,(1-EXP(-C532))/C532,1-C532/2+C532^2/6-C532^3/24)</f>
        <v>0.755064532215</v>
      </c>
      <c r="F532" s="41">
        <f>IF(C532&gt;x_series,(C532-1+EXP(-C532))/C532^2,1/2-C532/6+C532^2/24-C532^3/120)</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3.191527690132</v>
      </c>
      <c r="M532" s="41">
        <f>EXP(-L532)</f>
        <v>0.041109021098</v>
      </c>
      <c r="N532" s="41">
        <f>IF(L532&gt;x_series,(1-EXP(-L532))/L532,1-L532/2+L532^2/6-L532^3/24)</f>
        <v>0.300448898459</v>
      </c>
      <c r="O532" s="41">
        <f>IF(L532&gt;x_series,(L532-1+EXP(-L532))/L532^2,1/2-L532/6+L532^2/24-L532^3/120)</f>
        <v>0.219190046104</v>
      </c>
      <c r="P532" s="41">
        <f>(C_air_CO2/C_sat_CO2*F_vent_ex-CO2_fix_l)*(B532/3600)/(V_L_CO2+Vg_CO2)</f>
        <v>0.006830332152</v>
      </c>
      <c r="Q532" s="41">
        <f>(P532*N532+pool_b*M532)/(1-pool_ret*M532)</f>
        <v>0.112985896799</v>
      </c>
      <c r="R532" s="41">
        <f>MIN(C_sat_CO2,MAX(C_air_CO2,(pool_ret*Q532+pool_b)*N532+P532*O532))</f>
        <v>0.812266076665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IF(C533&gt;x_series,(1-EXP(-C533))/C533,1-C533/2+C533^2/6-C533^3/24)</f>
        <v>0.731434681533</v>
      </c>
      <c r="F533" s="41">
        <f>IF(C533&gt;x_series,(C533-1+EXP(-C533))/C533^2,1/2-C533/6+C533^2/24-C533^3/120)</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3.574723072711</v>
      </c>
      <c r="M533" s="41">
        <f>EXP(-L533)</f>
        <v>0.028023185084</v>
      </c>
      <c r="N533" s="41">
        <f>IF(L533&gt;x_series,(1-EXP(-L533))/L533,1-L533/2+L533^2/6-L533^3/24)</f>
        <v>0.271902688724</v>
      </c>
      <c r="O533" s="41">
        <f>IF(L533&gt;x_series,(L533-1+EXP(-L533))/L533^2,1/2-L533/6+L533^2/24-L533^3/120)</f>
        <v>0.203679361021</v>
      </c>
      <c r="P533" s="41">
        <f>(C_air_CO2/C_sat_CO2*F_vent_ex-CO2_fix_l)*(B533/3600)/(V_L_CO2+Vg_CO2)</f>
        <v>0.007650425849</v>
      </c>
      <c r="Q533" s="41">
        <f>(P533*N533+pool_b*M533)/(1-pool_ret*M533)</f>
        <v>0.076780739194</v>
      </c>
      <c r="R533" s="41">
        <f>MIN(C_sat_CO2,MAX(C_air_CO2,(pool_ret*Q533+pool_b)*N533+P533*O533))</f>
        <v>0.726361113416</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IF(C534&gt;x_series,(1-EXP(-C534))/C534,1-C534/2+C534^2/6-C534^3/24)</f>
        <v>0.706188615629</v>
      </c>
      <c r="F534" s="41">
        <f>IF(C534&gt;x_series,(C534-1+EXP(-C534))/C534^2,1/2-C534/6+C534^2/24-C534^3/120)</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4.003926627584</v>
      </c>
      <c r="M534" s="41">
        <f>EXP(-L534)</f>
        <v>0.01824386121</v>
      </c>
      <c r="N534" s="41">
        <f>IF(L534&gt;x_series,(1-EXP(-L534))/L534,1-L534/2+L534^2/6-L534^3/24)</f>
        <v>0.245198334062</v>
      </c>
      <c r="O534" s="41">
        <f>IF(L534&gt;x_series,(L534-1+EXP(-L534))/L534^2,1/2-L534/6+L534^2/24-L534^3/120)</f>
        <v>0.188515359082</v>
      </c>
      <c r="P534" s="41">
        <f>(C_air_CO2/C_sat_CO2*F_vent_ex-CO2_fix_l)*(B534/3600)/(V_L_CO2+Vg_CO2)</f>
        <v>0.008568983708</v>
      </c>
      <c r="Q534" s="41">
        <f>(P534*N534+pool_b*M534)/(1-pool_ret*M534)</f>
        <v>0.050294720584</v>
      </c>
      <c r="R534" s="41">
        <f>MIN(C_sat_CO2,MAX(C_air_CO2,(pool_ret*Q534+pool_b)*N534+P534*O534))</f>
        <v>0.649339855951</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IF(C535&gt;x_series,(1-EXP(-C535))/C535,1-C535/2+C535^2/6-C535^3/24)</f>
        <v>0.679357384467</v>
      </c>
      <c r="F535" s="41">
        <f>IF(C535&gt;x_series,(C535-1+EXP(-C535))/C535^2,1/2-C535/6+C535^2/24-C535^3/120)</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4.48466230419</v>
      </c>
      <c r="M535" s="41">
        <f>EXP(-L535)</f>
        <v>0.011280696321</v>
      </c>
      <c r="N535" s="41">
        <f>IF(L535&gt;x_series,(1-EXP(-L535))/L535,1-L535/2+L535^2/6-L535^3/24)</f>
        <v>0.220466834873</v>
      </c>
      <c r="O535" s="41">
        <f>IF(L535&gt;x_series,(L535-1+EXP(-L535))/L535^2,1/2-L535/6+L535^2/24-L535^3/120)</f>
        <v>0.173822043278</v>
      </c>
      <c r="P535" s="41">
        <f>(C_air_CO2/C_sat_CO2*F_vent_ex-CO2_fix_l)*(B535/3600)/(V_L_CO2+Vg_CO2)</f>
        <v>0.009597827781</v>
      </c>
      <c r="Q535" s="41">
        <f>(P535*N535+pool_b*M535)/(1-pool_ret*M535)</f>
        <v>0.031725391294</v>
      </c>
      <c r="R535" s="41">
        <f>MIN(C_sat_CO2,MAX(C_air_CO2,(pool_ret*Q535+pool_b)*N535+P535*O535))</f>
        <v>0.580346083295</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IF(C536&gt;x_series,(1-EXP(-C536))/C536,1-C536/2+C536^2/6-C536^3/24)</f>
        <v>0.651006029451</v>
      </c>
      <c r="F536" s="41">
        <f>IF(C536&gt;x_series,(C536-1+EXP(-C536))/C536^2,1/2-C536/6+C536^2/24-C536^3/120)</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5.023117282341</v>
      </c>
      <c r="M536" s="41">
        <f>EXP(-L536)</f>
        <v>0.006583970591</v>
      </c>
      <c r="N536" s="41">
        <f>IF(L536&gt;x_series,(1-EXP(-L536))/L536,1-L536/2+L536^2/6-L536^3/24)</f>
        <v>0.197768830304</v>
      </c>
      <c r="O536" s="41">
        <f>IF(L536&gt;x_series,(L536-1+EXP(-L536))/L536^2,1/2-L536/6+L536^2/24-L536^3/120)</f>
        <v>0.159707831732</v>
      </c>
      <c r="P536" s="41">
        <f>(C_air_CO2/C_sat_CO2*F_vent_ex-CO2_fix_l)*(B536/3600)/(V_L_CO2+Vg_CO2)</f>
        <v>0.010750199531</v>
      </c>
      <c r="Q536" s="41">
        <f>(P536*N536+pool_b*M536)/(1-pool_ret*M536)</f>
        <v>0.019333515078</v>
      </c>
      <c r="R536" s="41">
        <f>MIN(C_sat_CO2,MAX(C_air_CO2,(pool_ret*Q536+pool_b)*N536+P536*O536))</f>
        <v>0.518593345206</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IF(C537&gt;x_series,(1-EXP(-C537))/C537,1-C537/2+C537^2/6-C537^3/24)</f>
        <v>0.62123796488</v>
      </c>
      <c r="F537" s="41">
        <f>IF(C537&gt;x_series,(C537-1+EXP(-C537))/C537^2,1/2-C537/6+C537^2/24-C537^3/120)</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5.626221602666</v>
      </c>
      <c r="M537" s="41">
        <f>EXP(-L537)</f>
        <v>0.003602160039</v>
      </c>
      <c r="N537" s="41">
        <f>IF(L537&gt;x_series,(1-EXP(-L537))/L537,1-L537/2+L537^2/6-L537^3/24)</f>
        <v>0.177098932521</v>
      </c>
      <c r="O537" s="41">
        <f>IF(L537&gt;x_series,(L537-1+EXP(-L537))/L537^2,1/2-L537/6+L537^2/24-L537^3/120)</f>
        <v>0.146261758884</v>
      </c>
      <c r="P537" s="41">
        <f>(C_air_CO2/C_sat_CO2*F_vent_ex-CO2_fix_l)*(B537/3600)/(V_L_CO2+Vg_CO2)</f>
        <v>0.01204093025</v>
      </c>
      <c r="Q537" s="41">
        <f>(P537*N537+pool_b*M537)/(1-pool_ret*M537)</f>
        <v>0.011521282843</v>
      </c>
      <c r="R537" s="41">
        <f>MIN(C_sat_CO2,MAX(C_air_CO2,(pool_ret*Q537+pool_b)*N537+P537*O537))</f>
        <v>0.463360488663</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IF(C538&gt;x_series,(1-EXP(-C538))/C538,1-C538/2+C538^2/6-C538^3/24)</f>
        <v>0.590198464388</v>
      </c>
      <c r="F538" s="41">
        <f>IF(C538&gt;x_series,(C538-1+EXP(-C538))/C538^2,1/2-C538/6+C538^2/24-C538^3/120)</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6.301737357844</v>
      </c>
      <c r="M538" s="41">
        <f>EXP(-L538)</f>
        <v>0.001833117228</v>
      </c>
      <c r="N538" s="41">
        <f>IF(L538&gt;x_series,(1-EXP(-L538))/L538,1-L538/2+L538^2/6-L538^3/24)</f>
        <v>0.158395506841</v>
      </c>
      <c r="O538" s="41">
        <f>IF(L538&gt;x_series,(L538-1+EXP(-L538))/L538^2,1/2-L538/6+L538^2/24-L538^3/120)</f>
        <v>0.133551185232</v>
      </c>
      <c r="P538" s="41">
        <f>(C_air_CO2/C_sat_CO2*F_vent_ex-CO2_fix_l)*(B538/3600)/(V_L_CO2+Vg_CO2)</f>
        <v>0.013486631942</v>
      </c>
      <c r="Q538" s="41">
        <f>(P538*N538+pool_b*M538)/(1-pool_ret*M538)</f>
        <v>0.006906471999</v>
      </c>
      <c r="R538" s="41">
        <f>MIN(C_sat_CO2,MAX(C_air_CO2,(pool_ret*Q538+pool_b)*N538+P538*O538))</f>
        <v>0.413987659751</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IF(C539&gt;x_series,(1-EXP(-C539))/C539,1-C539/2+C539^2/6-C539^3/24)</f>
        <v>0.55807672424</v>
      </c>
      <c r="F539" s="41">
        <f>IF(C539&gt;x_series,(C539-1+EXP(-C539))/C539^2,1/2-C539/6+C539^2/24-C539^3/120)</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7.058358592538</v>
      </c>
      <c r="M539" s="41">
        <f>EXP(-L539)</f>
        <v>0.0008601888562468</v>
      </c>
      <c r="N539" s="41">
        <f>IF(L539&gt;x_series,(1-EXP(-L539))/L539,1-L539/2+L539^2/6-L539^3/24)</f>
        <v>0.141554130191</v>
      </c>
      <c r="O539" s="41">
        <f>IF(L539&gt;x_series,(L539-1+EXP(-L539))/L539^2,1/2-L539/6+L539^2/24-L539^3/120)</f>
        <v>0.121621175597</v>
      </c>
      <c r="P539" s="41">
        <f>(C_air_CO2/C_sat_CO2*F_vent_ex-CO2_fix_l)*(B539/3600)/(V_L_CO2+Vg_CO2)</f>
        <v>0.015105911124</v>
      </c>
      <c r="Q539" s="41">
        <f>(P539*N539+pool_b*M539)/(1-pool_ret*M539)</f>
        <v>0.004374764077</v>
      </c>
      <c r="R539" s="41">
        <f>MIN(C_sat_CO2,MAX(C_air_CO2,(pool_ret*Q539+pool_b)*N539+P539*O539))</f>
        <v>0.369872825948</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IF(x_su&gt;x_series,(1-EXP(-x_su))/x_su,1-x_su/2+x_su^2/6-x_su^3/24)</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IF(x_su&gt;x_series,(x_su-1+EXP(-x_su))/x_su^2,1/2-x_su/6+x_su^2/24-x_su^3/120)</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start-up</t>
        </is>
      </c>
      <c r="B560" s="19" t="inlineStr">
        <is>
          <t xml:space="preserve">k_eff_CO2_l</t>
        </is>
      </c>
      <c r="C560" s="20" t="inlineStr">
        <is>
          <t xml:space="preserve">1/s</t>
        </is>
      </c>
      <c r="D560" s="41">
        <f>F_gap_su/3600/n_hs_gas*Vg_CO2/(V_L_CO2+Vg_CO2)</f>
        <v>7.842677299934e-05</v>
      </c>
      <c r="E560" s="51" t="inlineStr">
        <is>
          <t xml:space="preserve">As D195 on the start-up gas flow (F_gap_su, D575), for the start-up columns L–S of the interval grid, so the start-up pH bound (D561) uses the same sources as the start-up balance. Equals the lag flow (D353) when sized on Lag.</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568.953730792824</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s="51" t="inlineStr">
        <is>
          <t xml:space="preserve">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is>
      </c>
    </row>
    <row r="567">
      <c r="A567" s="18" t="inlineStr">
        <is>
          <t xml:space="preserve">Liquid-equilibrium O₂ fraction at its peak — lag</t>
        </is>
      </c>
      <c r="B567" s="19" t="inlineStr">
        <is>
          <t xml:space="preserve">z_peak_l</t>
        </is>
      </c>
      <c r="C567" s="20" t="inlineStr">
        <is>
          <t xml:space="preserve">-</t>
        </is>
      </c>
      <c r="D567" s="41">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row r="584">
      <c r="A584" s="18" t="inlineStr">
        <is>
          <t xml:space="preserve">Small-argument switch for Φ and Ψ (numerical)</t>
        </is>
      </c>
      <c r="B584" s="19" t="inlineStr">
        <is>
          <t xml:space="preserve">x_series</t>
        </is>
      </c>
      <c r="C584" s="20" t="inlineStr">
        <is>
          <t xml:space="preserve">-</t>
        </is>
      </c>
      <c r="D584" s="106">
        <v>0.001</v>
      </c>
      <c r="E584" s="51" t="inlineStr">
        <is>
          <t xml:space="preserve">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