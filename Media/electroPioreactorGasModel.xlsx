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<sst xmlns="http://schemas.openxmlformats.org/spreadsheetml/2006/main" count="2678" uniqueCount="1931">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</sst>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inlineStr">
        <is>
          <t xml:space="preserve">Anode material and sparger. Choose from the list (Electrochemistry A35:A38). Dropdown.</t>
        </is>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IF(AND(ISNUMBER($G$13),$G$13&gt;0),$G$13,IF(NOT(ISNUMBER(D13)),D13,IF(D13&gt;round_split,ROUND(D13,0),ROUND(D13,1-(1+INT(LOG10(ABS(D13))))))))</f>
        <v>1.0</v>
      </c>
      <c r="E14" s="20"/>
      <c r="F14" s="21"/>
    </row>
    <row r="15" spans="1:7" ht="16" customHeight="1" thickBot="1" x14ac:dyDescent="0.25">
      <c r="A15" s="89" t="s">
        <v>66</v>
      </c>
      <c r="B15" s="20"/>
      <c r="C15" s="20" t="s">
        <v>67</v>
      </c>
      <c r="D15" s="90">
        <f>IF('Mass Transfer'!$D$119=0,"calibrate this reactor first (see CO2 flows)",'Mass Transfer'!$D$91)</f>
        <v>16.46036421628</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s">
        <v>1057</v>
      </c>
      <c r="B16" s="20"/>
      <c r="C16" s="20" t="s">
        <v>67</v>
      </c>
      <c r="D16" s="91">
        <f>IF(AND(ISNUMBER($G$15),$G$15&gt;0),$G$15,IF(NOT(ISNUMBER(D15)),D15,IF(D15&gt;round_split,ROUND(D15,0),ROUND(D15,1-(1+INT(LOG10(ABS(D15))))))))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20"/>
      <c r="C23" s="20"/>
      <c r="D23" s="90" t="str">
        <f>'Mass Transfer'!$D$113</f>
        <v>Do NOT relax: at the carbon-limited interval (185 min) DO would be 12.9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20"/>
      <c r="C24" s="20"/>
      <c r="D24" s="95" t="str">
        <f>Biology!$D$44</f>
        <v>FLAMMABLE HEADSPACE (lag): H₂ 19%, O₂ 9%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inlineStr">
        <is>
          <t xml:space="preserve">Cycle-average pH (activity scale, as a probe reads)</t>
        </is>
      </c>
      <c r="C35" s="20"/>
      <c r="D35" s="121">
        <f>Chemistry!$D$220</f>
        <v>6.603949596052</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spans="1:6" ht="16" thickBot="1" x14ac:dyDescent="0.25">
      <c r="A36" s="89" t="s">
        <v>1128</v>
      </c>
      <c r="C36" s="20" t="s">
        <v>102</v>
      </c>
      <c r="D36" s="121">
        <f>Chemistry!$D$226</f>
        <v>0.500804384457</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02"/>
      <c r="C38" s="20" t="s">
        <v>102</v>
      </c>
      <c r="D38" s="90">
        <f>'Mass Transfer'!$D$108</f>
        <v>2.638866712696</v>
      </c>
      <c r="E38" s="23" t="str">
        <f>HYPERLINK("#'Mass Transfer'!D108","→ Mass")</f>
        <v>→ Mass</v>
      </c>
      <c r="F38" s="21" t="s">
        <v>103</v>
      </c>
    </row>
    <row r="39" spans="1:6" x14ac:dyDescent="0.2">
      <c r="A39" s="89" t="inlineStr">
        <is>
          <t xml:space="preserve">Carbon-limited sparge interval</t>
        </is>
      </c>
      <c r="B39" s="102"/>
      <c r="C39" s="20" t="s">
        <v>67</v>
      </c>
      <c r="D39" s="90">
        <f>'Mass Transfer'!$D$112</f>
        <v>185.240207036777</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spans="1:6" x14ac:dyDescent="0.2">
      <c r="A82" t="s">
        <v>1652</v>
      </c>
      <c r="C82" s="19" t="s">
        <v>1274</v>
      </c>
      <c r="D82" s="22">
        <f>Electrochemistry!$D$88</f>
        <v>0.977475298652</v>
      </c>
      <c r="E82" s="23" t="str">
        <f>HYPERLINK("#Electrochemistry!D88","→ Electrochemistry")</f>
        <v>→ Electrochemistry</v>
      </c>
      <c r="F82" t="inlineStr">
        <is>
          <t xml:space="preserve">Fraction of cathode current making H₂ rather than reducing dissolved O₂.</t>
        </is>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OK — buffer holds the electrode surfaces at the bulk pH</v>
      </c>
      <c r="E86" s="23" t="str">
        <f>HYPERLINK("#Chemistry!D219","→ Chemistry")</f>
        <v>→ Chemistry</v>
      </c>
      <c r="F86" t="s">
        <v>1871</v>
      </c>
    </row>
    <row r="87" spans="1:6" x14ac:dyDescent="0.2">
      <c r="A87" t="inlineStr">
        <is>
          <t xml:space="preserve">HOCl/Cl⁻ couple minus anode potential</t>
        </is>
      </c>
      <c r="C87" s="19" t="s">
        <v>1595</v>
      </c>
      <c r="D87" s="22">
        <f>Chemistry!$D$209</f>
        <v>-0.422483519032</v>
      </c>
      <c r="E87" s="23" t="str">
        <f>HYPERLINK("#Chemistry!D209","→ Chemistry")</f>
        <v>→ Chemistry</v>
      </c>
      <c r="F87" t="inlineStr">
        <is>
          <t xml:space="preserve">Negative = the anode is above the chloride-oxidation couple: chlorine forms, limited by chloride transport (Chemistry D132).</t>
        </is>
      </c>
    </row>
    <row r="88" spans="1:6" x14ac:dyDescent="0.2">
      <c r="A88" t="s">
        <v>1600</v>
      </c>
      <c r="C88" s="19" t="s">
        <v>1595</v>
      </c>
      <c r="D88" s="22">
        <f>Chemistry!$D$211</f>
        <v>1.240557060036</v>
      </c>
      <c r="E88" s="23" t="str">
        <f>HYPERLINK("#Chemistry!D211","→ Chemistry")</f>
        <v>→ Chemistry</v>
      </c>
      <c r="F88" t="inlineStr">
        <is>
          <t xml:space="preserve">How far the operating anode sits above the Cu²⁺/Cu standard potential; positive = copper dissolution thermodynamically allowed.</t>
        </is>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36">
        <v>0.5</v>
      </c>
      <c r="E93" s="87" t="inlineStr">
        <is>
          <t xml:space="preserve">Defined display rule for rows 14 and 16: whole units above this value, else two significant figures.</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36">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IF(ISNUMBER(cal_gerrit_slope),cal_gerrit_slope,gerrit_slope_default)</f>
        <v>1.03</v>
      </c>
      <c r="E11" s="109" t="s">
        <v>322</v>
      </c>
      <c r="F11" s="20"/>
      <c r="G11" s="20"/>
      <c r="H11" s="20"/>
      <c r="I11" s="20"/>
    </row>
    <row r="12" spans="1:9" x14ac:dyDescent="0.2">
      <c r="A12" s="17" t="s">
        <v>323</v>
      </c>
      <c r="B12" s="18" t="s">
        <v>324</v>
      </c>
      <c r="C12" s="19" t="s">
        <v>325</v>
      </c>
      <c r="D12" s="22">
        <f>IF(ISNUMBER(cal_gerrit_int),cal_gerrit_int,gerrit_int_default)</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inlineStr">
        <is>
          <t xml:space="preserve">Anodic O₂ faradaic efficiency: measured if available, otherwise CALCULATED (etaF_OER_calc) as 1 − the chlorine share − the metal-dissolution share. UdG contains chloride, so the chlorine current is modelled explicitly (D101).</t>
        </is>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inlineStr">
        <is>
          <t xml:space="preserve">2 electrons per H₂O₂. This source runs whenever there is current and dissolved O₂.</t>
        </is>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inlineStr">
        <is>
          <t xml:space="preserve">1 − chlorine share − metal-dissolution share. It remains an UPPER BOUND while the metal-dissolution charge is unmeasured: a corroding anode takes current that this cell still credits to oxygen.</t>
        </is>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3.26 V estimated against a 5 V rail</v>
      </c>
      <c r="E122" s="67" t="s">
        <v>1753</v>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36">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36">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36">
        <v>1</v>
      </c>
      <c r="E127" s="114" t="inlineStr">
        <is>
          <t xml:space="preserve">Design assumption: the current law starts to bend within this margin of the drive rail.</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0.008590210622</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IF(AND(B50&gt;=0,B51&lt;0),A50+pH_step*B50/(B50-B51),0)</f>
        <v>0.0</v>
      </c>
    </row>
    <row r="51" spans="1:3" x14ac:dyDescent="0.2">
      <c r="A51" s="20">
        <v>4.0999999999999996</v>
      </c>
      <c r="B51" s="64">
        <f t="shared" si="1"/>
        <v>0.033095991179</v>
      </c>
      <c r="C51" s="64">
        <f>IF(AND(B51&gt;=0,B52&lt;0),A51+pH_step*B51/(B51-B52),0)</f>
        <v>0.0</v>
      </c>
    </row>
    <row r="52" spans="1:3" x14ac:dyDescent="0.2">
      <c r="A52" s="20">
        <v>4.2</v>
      </c>
      <c r="B52" s="64">
        <f t="shared" si="1"/>
        <v>0.032986799309</v>
      </c>
      <c r="C52" s="64">
        <f>IF(AND(B52&gt;=0,B53&lt;0),A52+pH_step*B52/(B52-B53),0)</f>
        <v>0.0</v>
      </c>
    </row>
    <row r="53" spans="1:3" x14ac:dyDescent="0.2">
      <c r="A53" s="20">
        <v>4.3</v>
      </c>
      <c r="B53" s="64">
        <f t="shared" si="1"/>
        <v>0.032880652062</v>
      </c>
      <c r="C53" s="64">
        <f>IF(AND(B53&gt;=0,B54&lt;0),A53+pH_step*B53/(B53-B54),0)</f>
        <v>0.0</v>
      </c>
    </row>
    <row r="54" spans="1:3" x14ac:dyDescent="0.2">
      <c r="A54" s="20">
        <v>4.4000000000000004</v>
      </c>
      <c r="B54" s="64">
        <f t="shared" si="1"/>
        <v>0.032771986272</v>
      </c>
      <c r="C54" s="64">
        <f>IF(AND(B54&gt;=0,B55&lt;0),A54+pH_step*B54/(B54-B55),0)</f>
        <v>0.0</v>
      </c>
    </row>
    <row r="55" spans="1:3" x14ac:dyDescent="0.2">
      <c r="A55" s="20">
        <v>4.5</v>
      </c>
      <c r="B55" s="64">
        <f t="shared" si="1"/>
        <v>0.032655096798</v>
      </c>
      <c r="C55" s="64">
        <f>IF(AND(B55&gt;=0,B56&lt;0),A55+pH_step*B55/(B55-B56),0)</f>
        <v>0.0</v>
      </c>
    </row>
    <row r="56" spans="1:3" x14ac:dyDescent="0.2">
      <c r="A56" s="20">
        <v>4.5999999999999996</v>
      </c>
      <c r="B56" s="64">
        <f t="shared" si="1"/>
        <v>0.032523849984</v>
      </c>
      <c r="C56" s="64">
        <f>IF(AND(B56&gt;=0,B57&lt;0),A56+pH_step*B56/(B56-B57),0)</f>
        <v>0.0</v>
      </c>
    </row>
    <row r="57" spans="1:3" x14ac:dyDescent="0.2">
      <c r="A57" s="20">
        <v>4.7</v>
      </c>
      <c r="B57" s="64">
        <f t="shared" si="1"/>
        <v>0.032371376227</v>
      </c>
      <c r="C57" s="64">
        <f>IF(AND(B57&gt;=0,B58&lt;0),A57+pH_step*B57/(B57-B58),0)</f>
        <v>0.0</v>
      </c>
    </row>
    <row r="58" spans="1:3" x14ac:dyDescent="0.2">
      <c r="A58" s="20">
        <v>4.8</v>
      </c>
      <c r="B58" s="64">
        <f t="shared" si="1"/>
        <v>0.032189729231</v>
      </c>
      <c r="C58" s="64">
        <f>IF(AND(B58&gt;=0,B59&lt;0),A58+pH_step*B58/(B58-B59),0)</f>
        <v>0.0</v>
      </c>
    </row>
    <row r="59" spans="1:3" x14ac:dyDescent="0.2">
      <c r="A59" s="20">
        <v>4.9000000000000004</v>
      </c>
      <c r="B59" s="64">
        <f t="shared" si="1"/>
        <v>0.031969498815</v>
      </c>
      <c r="C59" s="64">
        <f>IF(AND(B59&gt;=0,B60&lt;0),A59+pH_step*B59/(B59-B60),0)</f>
        <v>0.0</v>
      </c>
    </row>
    <row r="60" spans="1:3" x14ac:dyDescent="0.2">
      <c r="A60" s="20">
        <v>5</v>
      </c>
      <c r="B60" s="64">
        <f t="shared" si="1"/>
        <v>0.031699363744</v>
      </c>
      <c r="C60" s="64">
        <f>IF(AND(B60&gt;=0,B61&lt;0),A60+pH_step*B60/(B60-B61),0)</f>
        <v>0.0</v>
      </c>
    </row>
    <row r="61" spans="1:3" x14ac:dyDescent="0.2">
      <c r="A61" s="20">
        <v>5.0999999999999996</v>
      </c>
      <c r="B61" s="64">
        <f t="shared" si="1"/>
        <v>0.031365571066</v>
      </c>
      <c r="C61" s="64">
        <f>IF(AND(B61&gt;=0,B62&lt;0),A61+pH_step*B61/(B61-B62),0)</f>
        <v>0.0</v>
      </c>
    </row>
    <row r="62" spans="1:3" x14ac:dyDescent="0.2">
      <c r="A62" s="20">
        <v>5.2</v>
      </c>
      <c r="B62" s="64">
        <f t="shared" si="1"/>
        <v>0.030951329376</v>
      </c>
      <c r="C62" s="64">
        <f>IF(AND(B62&gt;=0,B63&lt;0),A62+pH_step*B62/(B62-B63),0)</f>
        <v>0.0</v>
      </c>
    </row>
    <row r="63" spans="1:3" x14ac:dyDescent="0.2">
      <c r="A63" s="20">
        <v>5.3</v>
      </c>
      <c r="B63" s="64">
        <f t="shared" si="1"/>
        <v>0.030436105853</v>
      </c>
      <c r="C63" s="64">
        <f>IF(AND(B63&gt;=0,B64&lt;0),A63+pH_step*B63/(B63-B64),0)</f>
        <v>0.0</v>
      </c>
    </row>
    <row r="64" spans="1:3" x14ac:dyDescent="0.2">
      <c r="A64" s="20">
        <v>5.4</v>
      </c>
      <c r="B64" s="64">
        <f t="shared" si="1"/>
        <v>0.029794821411</v>
      </c>
      <c r="C64" s="64">
        <f>IF(AND(B64&gt;=0,B65&lt;0),A64+pH_step*B64/(B64-B65),0)</f>
        <v>0.0</v>
      </c>
    </row>
    <row r="65" spans="1:3" x14ac:dyDescent="0.2">
      <c r="A65" s="20">
        <v>5.5</v>
      </c>
      <c r="B65" s="64">
        <f t="shared" si="1"/>
        <v>0.028996945562</v>
      </c>
      <c r="C65" s="64">
        <f>IF(AND(B65&gt;=0,B66&lt;0),A65+pH_step*B65/(B65-B66),0)</f>
        <v>0.0</v>
      </c>
    </row>
    <row r="66" spans="1:3" x14ac:dyDescent="0.2">
      <c r="A66" s="20">
        <v>5.6</v>
      </c>
      <c r="B66" s="64">
        <f t="shared" si="1"/>
        <v>0.028005502639</v>
      </c>
      <c r="C66" s="64">
        <f>IF(AND(B66&gt;=0,B67&lt;0),A66+pH_step*B66/(B66-B67),0)</f>
        <v>0.0</v>
      </c>
    </row>
    <row r="67" spans="1:3" x14ac:dyDescent="0.2">
      <c r="A67" s="20">
        <v>5.7</v>
      </c>
      <c r="B67" s="64">
        <f t="shared" si="1"/>
        <v>0.026776012764</v>
      </c>
      <c r="C67" s="64">
        <f>IF(AND(B67&gt;=0,B68&lt;0),A67+pH_step*B67/(B67-B68),0)</f>
        <v>0.0</v>
      </c>
    </row>
    <row r="68" spans="1:3" x14ac:dyDescent="0.2">
      <c r="A68" s="20">
        <v>5.8</v>
      </c>
      <c r="B68" s="64">
        <f t="shared" si="1"/>
        <v>0.025255400836</v>
      </c>
      <c r="C68" s="64">
        <f>IF(AND(B68&gt;=0,B69&lt;0),A68+pH_step*B68/(B68-B69),0)</f>
        <v>0.0</v>
      </c>
    </row>
    <row r="69" spans="1:3" x14ac:dyDescent="0.2">
      <c r="A69" s="20">
        <v>5.9</v>
      </c>
      <c r="B69" s="64">
        <f t="shared" si="1"/>
        <v>0.02338090709</v>
      </c>
      <c r="C69" s="64">
        <f>IF(AND(B69&gt;=0,B70&lt;0),A69+pH_step*B69/(B69-B70),0)</f>
        <v>0.0</v>
      </c>
    </row>
    <row r="70" spans="1:3" x14ac:dyDescent="0.2">
      <c r="A70" s="20">
        <v>6</v>
      </c>
      <c r="B70" s="64">
        <f t="shared" si="1"/>
        <v>0.021079010121</v>
      </c>
      <c r="C70" s="64">
        <f>IF(AND(B70&gt;=0,B71&lt;0),A70+pH_step*B70/(B70-B71),0)</f>
        <v>0.0</v>
      </c>
    </row>
    <row r="71" spans="1:3" x14ac:dyDescent="0.2">
      <c r="A71" s="20">
        <v>6.1</v>
      </c>
      <c r="B71" s="64">
        <f t="shared" si="1"/>
        <v>0.01826430841</v>
      </c>
      <c r="C71" s="64">
        <f>IF(AND(B71&gt;=0,B72&lt;0),A71+pH_step*B71/(B71-B72),0)</f>
        <v>0.0</v>
      </c>
    </row>
    <row r="72" spans="1:3" x14ac:dyDescent="0.2">
      <c r="A72" s="20">
        <v>6.2</v>
      </c>
      <c r="B72" s="64">
        <f t="shared" si="1"/>
        <v>0.014838178095</v>
      </c>
      <c r="C72" s="64">
        <f>IF(AND(B72&gt;=0,B73&lt;0),A72+pH_step*B72/(B72-B73),0)</f>
        <v>0.0</v>
      </c>
    </row>
    <row r="73" spans="1:3" x14ac:dyDescent="0.2">
      <c r="A73" s="20">
        <v>6.3</v>
      </c>
      <c r="B73" s="64">
        <f t="shared" si="1"/>
        <v>0.010686819787</v>
      </c>
      <c r="C73" s="64">
        <f>IF(AND(B73&gt;=0,B74&lt;0),A73+pH_step*B73/(B73-B74),0)</f>
        <v>0.0</v>
      </c>
    </row>
    <row r="74" spans="1:3" x14ac:dyDescent="0.2">
      <c r="A74" s="20">
        <v>6.4</v>
      </c>
      <c r="B74" s="64">
        <f t="shared" si="1"/>
        <v>0.005678038225</v>
      </c>
      <c r="C74" s="64">
        <f>IF(AND(B74&gt;=0,B75&lt;0),A74+pH_step*B74/(B74-B75),0)</f>
        <v>6.494284837612</v>
      </c>
    </row>
    <row r="75" spans="1:3" x14ac:dyDescent="0.2">
      <c r="A75" s="20">
        <v>6.5</v>
      </c>
      <c r="B75" s="64">
        <f t="shared" si="1"/>
        <v>-0.0003441795237407</v>
      </c>
      <c r="C75" s="64">
        <f>IF(AND(B75&gt;=0,B76&lt;0),A75+pH_step*B75/(B75-B76),0)</f>
        <v>0.0</v>
      </c>
    </row>
    <row r="76" spans="1:3" x14ac:dyDescent="0.2">
      <c r="A76" s="20">
        <v>6.6</v>
      </c>
      <c r="B76" s="64">
        <f t="shared" si="1"/>
        <v>-0.00756840932</v>
      </c>
      <c r="C76" s="64">
        <f>IF(AND(B76&gt;=0,B77&lt;0),A76+pH_step*B76/(B76-B77),0)</f>
        <v>0.0</v>
      </c>
    </row>
    <row r="77" spans="1:3" x14ac:dyDescent="0.2">
      <c r="A77" s="20">
        <v>6.7</v>
      </c>
      <c r="B77" s="64">
        <f t="shared" si="1"/>
        <v>-0.016228970854</v>
      </c>
      <c r="C77" s="64">
        <f>IF(AND(B77&gt;=0,B78&lt;0),A77+pH_step*B77/(B77-B78),0)</f>
        <v>0.0</v>
      </c>
    </row>
    <row r="78" spans="1:3" x14ac:dyDescent="0.2">
      <c r="A78" s="20">
        <v>6.8</v>
      </c>
      <c r="B78" s="64">
        <f t="shared" si="1"/>
        <v>-0.02662440719</v>
      </c>
      <c r="C78" s="64">
        <f>IF(AND(B78&gt;=0,B79&lt;0),A78+pH_step*B78/(B78-B79),0)</f>
        <v>0.0</v>
      </c>
    </row>
    <row r="79" spans="1:3" x14ac:dyDescent="0.2">
      <c r="A79" s="20">
        <v>6.9</v>
      </c>
      <c r="B79" s="64">
        <f t="shared" si="1"/>
        <v>-0.039141735033</v>
      </c>
      <c r="C79" s="64">
        <f>IF(AND(B79&gt;=0,B80&lt;0),A79+pH_step*B79/(B79-B80),0)</f>
        <v>0.0</v>
      </c>
    </row>
    <row r="80" spans="1:3" x14ac:dyDescent="0.2">
      <c r="A80" s="20">
        <v>7</v>
      </c>
      <c r="B80" s="64">
        <f t="shared" si="1"/>
        <v>-0.054286645726</v>
      </c>
      <c r="C80" s="64">
        <f>IF(AND(B80&gt;=0,B81&lt;0),A80+pH_step*B80/(B80-B81),0)</f>
        <v>0.0</v>
      </c>
    </row>
    <row r="81" spans="1:3" x14ac:dyDescent="0.2">
      <c r="A81" s="20">
        <v>7.1</v>
      </c>
      <c r="B81" s="64">
        <f t="shared" si="1"/>
        <v>-0.072719923595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IF(AND(B82&gt;=0,B83&lt;0),A82+pH_step*B82/(B82-B83),0)</f>
        <v>0.0</v>
      </c>
    </row>
    <row r="83" spans="1:3" x14ac:dyDescent="0.2">
      <c r="A83" s="20">
        <v>7.3</v>
      </c>
      <c r="B83" s="64">
        <f t="shared" si="3"/>
        <v>-0.123140508482</v>
      </c>
      <c r="C83" s="64">
        <f>IF(AND(B83&gt;=0,B84&lt;0),A83+pH_step*B83/(B83-B84),0)</f>
        <v>0.0</v>
      </c>
    </row>
    <row r="84" spans="1:3" x14ac:dyDescent="0.2">
      <c r="A84" s="20">
        <v>7.4</v>
      </c>
      <c r="B84" s="64">
        <f t="shared" si="3"/>
        <v>-0.157665823938</v>
      </c>
      <c r="C84" s="64">
        <f>IF(AND(B84&gt;=0,B85&lt;0),A84+pH_step*B84/(B84-B85),0)</f>
        <v>0.0</v>
      </c>
    </row>
    <row r="85" spans="1:3" x14ac:dyDescent="0.2">
      <c r="A85" s="20">
        <v>7.5</v>
      </c>
      <c r="B85" s="64">
        <f t="shared" si="3"/>
        <v>-0.200703923131</v>
      </c>
      <c r="C85" s="64">
        <f>IF(AND(B85&gt;=0,B86&lt;0),A85+pH_step*B85/(B85-B86),0)</f>
        <v>0.0</v>
      </c>
    </row>
    <row r="86" spans="1:3" x14ac:dyDescent="0.2">
      <c r="A86" s="20">
        <v>7.6</v>
      </c>
      <c r="B86" s="64">
        <f t="shared" si="3"/>
        <v>-0.2545894166</v>
      </c>
      <c r="C86" s="64">
        <f>IF(AND(B86&gt;=0,B87&lt;0),A86+pH_step*B86/(B86-B87),0)</f>
        <v>0.0</v>
      </c>
    </row>
    <row r="87" spans="1:3" x14ac:dyDescent="0.2">
      <c r="A87" s="20">
        <v>7.7</v>
      </c>
      <c r="B87" s="64">
        <f t="shared" si="3"/>
        <v>-0.322306667774</v>
      </c>
      <c r="C87" s="64">
        <f>IF(AND(B87&gt;=0,B88&lt;0),A87+pH_step*B87/(B87-B88),0)</f>
        <v>0.0</v>
      </c>
    </row>
    <row r="88" spans="1:3" x14ac:dyDescent="0.2">
      <c r="A88" s="20">
        <v>7.8</v>
      </c>
      <c r="B88" s="64">
        <f t="shared" si="3"/>
        <v>-0.407678885978</v>
      </c>
      <c r="C88" s="64">
        <f>IF(AND(B88&gt;=0,B89&lt;0),A88+pH_step*B88/(B88-B89),0)</f>
        <v>0.0</v>
      </c>
    </row>
    <row r="89" spans="1:3" x14ac:dyDescent="0.2">
      <c r="A89" s="20">
        <v>7.9</v>
      </c>
      <c r="B89" s="64">
        <f t="shared" si="3"/>
        <v>-0.515621824235</v>
      </c>
      <c r="C89" s="64">
        <f>IF(AND(B89&gt;=0,B90&lt;0),A89+pH_step*B89/(B89-B90),0)</f>
        <v>0.0</v>
      </c>
    </row>
    <row r="90" spans="1:3" x14ac:dyDescent="0.2">
      <c r="A90" s="20">
        <v>8</v>
      </c>
      <c r="B90" s="64">
        <f t="shared" si="3"/>
        <v>-0.65248719742</v>
      </c>
      <c r="C90" s="64">
        <f>IF(AND(B90&gt;=0,B91&lt;0),A90+pH_step*B90/(B90-B91),0)</f>
        <v>0.0</v>
      </c>
    </row>
    <row r="91" spans="1:3" x14ac:dyDescent="0.2">
      <c r="A91" s="20">
        <v>8.1</v>
      </c>
      <c r="B91" s="64">
        <f t="shared" si="3"/>
        <v>-0.826532271905</v>
      </c>
      <c r="C91" s="64">
        <f>IF(AND(B91&gt;=0,B92&lt;0),A91+pH_step*B91/(B91-B92),0)</f>
        <v>0.0</v>
      </c>
    </row>
    <row r="92" spans="1:3" x14ac:dyDescent="0.2">
      <c r="A92" s="20">
        <v>8.1999999999999993</v>
      </c>
      <c r="B92" s="64">
        <f t="shared" si="3"/>
        <v>-1.048569336646</v>
      </c>
      <c r="C92" s="64">
        <f>IF(AND(B92&gt;=0,B93&lt;0),A92+pH_step*B92/(B92-B93),0)</f>
        <v>0.0</v>
      </c>
    </row>
    <row r="93" spans="1:3" x14ac:dyDescent="0.2">
      <c r="A93" s="20">
        <v>8.3000000000000007</v>
      </c>
      <c r="B93" s="64">
        <f t="shared" si="3"/>
        <v>-1.332875144027</v>
      </c>
      <c r="C93" s="64">
        <f>IF(AND(B93&gt;=0,B94&lt;0),A93+pH_step*B93/(B93-B94),0)</f>
        <v>0.0</v>
      </c>
    </row>
    <row r="94" spans="1:3" x14ac:dyDescent="0.2">
      <c r="A94" s="20">
        <v>8.4</v>
      </c>
      <c r="B94" s="64">
        <f t="shared" si="3"/>
        <v>-1.698480927379</v>
      </c>
      <c r="C94" s="64">
        <f>IF(AND(B94&gt;=0,B95&lt;0),A94+pH_step*B94/(B94-B95),0)</f>
        <v>0.0</v>
      </c>
    </row>
    <row r="95" spans="1:3" x14ac:dyDescent="0.2">
      <c r="A95" s="20">
        <v>8.5</v>
      </c>
      <c r="B95" s="64">
        <f t="shared" si="3"/>
        <v>-2.171026165161</v>
      </c>
      <c r="C95" s="64">
        <f>IF(AND(B95&gt;=0,B96&lt;0),A95+pH_step*B95/(B95-B96),0)</f>
        <v>0.0</v>
      </c>
    </row>
    <row r="96" spans="1:3" x14ac:dyDescent="0.2">
      <c r="A96" s="20">
        <v>8.6</v>
      </c>
      <c r="B96" s="64">
        <f t="shared" si="3"/>
        <v>-2.785456321043</v>
      </c>
      <c r="C96" s="64">
        <f>IF(AND(B96&gt;=0,B97&lt;0),A96+pH_step*B96/(B96-B97),0)</f>
        <v>0.0</v>
      </c>
    </row>
    <row r="97" spans="1:7" x14ac:dyDescent="0.2">
      <c r="A97" s="20">
        <v>8.6999999999999993</v>
      </c>
      <c r="B97" s="64">
        <f t="shared" si="3"/>
        <v>-3.589995975505</v>
      </c>
      <c r="C97" s="64">
        <f>IF(AND(B97&gt;=0,B98&lt;0),A97+pH_step*B97/(B97-B98),0)</f>
        <v>0.0</v>
      </c>
    </row>
    <row r="98" spans="1:7" x14ac:dyDescent="0.2">
      <c r="A98" s="20">
        <v>8.8000000000000007</v>
      </c>
      <c r="B98" s="64">
        <f t="shared" si="3"/>
        <v>-4.652065051273</v>
      </c>
      <c r="C98" s="64">
        <f>IF(AND(B98&gt;=0,B99&lt;0),A98+pH_step*B98/(B98-B99),0)</f>
        <v>0.0</v>
      </c>
    </row>
    <row r="99" spans="1:7" x14ac:dyDescent="0.2">
      <c r="A99" s="20">
        <v>8.9</v>
      </c>
      <c r="B99" s="64">
        <f t="shared" si="3"/>
        <v>-6.067176130696</v>
      </c>
      <c r="C99" s="64">
        <f>IF(AND(B99&gt;=0,B100&lt;0),A99+pH_step*B99/(B99-B100),0)</f>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62">
        <f>IF(n_cross=1,SUM(C50:C100),NA())</f>
        <v>6.494284837612</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62">
        <f>1/(1+KaHOCl_c/10^-pH_op)</f>
        <v>0.870210730329</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0.50 mg/L as Cl₂ (band 0.00-0.71);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8.22693366608</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inlineStr">
        <is>
          <t xml:space="preserve">i_lim = n·F·k_m·[Cl⁻]·A, n = 1 per ARRIVING chloride; [Cl⁻] in mol/cm³ = pH_Cl/1000. Caps chlorine at the chloride flux; it binds at trace Cl⁻ such as UdG, so production scales with chloride.</t>
        </is>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pH_NT/(1+10^(pKa_NH4-pH_op))</f>
        <v>1.241103645704e-05</v>
      </c>
      <c r="E138" s="51" t="s">
        <v>1099</v>
      </c>
    </row>
    <row r="139" spans="1:5" ht="24" x14ac:dyDescent="0.2">
      <c r="A139" s="17" t="s">
        <v>1100</v>
      </c>
      <c r="B139" s="18" t="s">
        <v>1101</v>
      </c>
      <c r="C139" s="19" t="s">
        <v>1098</v>
      </c>
      <c r="D139" s="62">
        <f>P_HOCl/(k1_NH2Cl*NH3_free)</f>
        <v>9.396954107506e-10</v>
      </c>
      <c r="E139" s="51" t="s">
        <v>1102</v>
      </c>
    </row>
    <row r="140" spans="1:5" ht="24" x14ac:dyDescent="0.2">
      <c r="A140" s="17" t="s">
        <v>1103</v>
      </c>
      <c r="B140" s="18" t="s">
        <v>1104</v>
      </c>
      <c r="C140" s="19" t="s">
        <v>1088</v>
      </c>
      <c r="D140" s="62">
        <f>HOCl_ss*M_HOCl</f>
        <v>4.929642124798e-05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0.370521507469</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0.002695515065</v>
      </c>
      <c r="E156" s="51" t="s">
        <v>1247</v>
      </c>
    </row>
    <row r="157" spans="1:5" ht="24" x14ac:dyDescent="0.2">
      <c r="A157" s="17" t="s">
        <v>1248</v>
      </c>
      <c r="B157" s="18" t="s">
        <v>1249</v>
      </c>
      <c r="C157" s="19" t="s">
        <v>1250</v>
      </c>
      <c r="D157" s="62">
        <f>f_local*HOCl_ss_mgL+NH2Cl_hi/R_chloramine_lo</f>
        <v>0.525712723528</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DH_const*(eps_water_298*(T_ref/TKc)^eps_T_exp)^-1.5*TKc^-1.5</f>
        <v>0.507905390447</v>
      </c>
      <c r="E186" s="67" t="s">
        <v>1532</v>
      </c>
    </row>
    <row r="187" spans="1:5" ht="36" x14ac:dyDescent="0.2">
      <c r="A187" t="s">
        <v>1533</v>
      </c>
      <c r="B187" s="18" t="s">
        <v>1534</v>
      </c>
      <c r="C187" s="19" t="s">
        <v>1274</v>
      </c>
      <c r="D187" s="22">
        <f>10^(-A_DH*1*(SQRT(I_ionic)/(1+SQRT(I_ionic))-davies_c*I_ionic))</f>
        <v>0.776846550354</v>
      </c>
      <c r="E187" s="67" t="s">
        <v>1535</v>
      </c>
    </row>
    <row r="188" spans="1:5" ht="36" x14ac:dyDescent="0.2">
      <c r="A188" t="s">
        <v>1536</v>
      </c>
      <c r="B188" s="18" t="s">
        <v>1537</v>
      </c>
      <c r="C188" s="19" t="s">
        <v>1274</v>
      </c>
      <c r="D188" s="22">
        <f>10^(-A_DH*4*(SQRT(I_ionic)/(1+SQRT(I_ionic))-davies_c*I_ionic))</f>
        <v>0.364200859384</v>
      </c>
      <c r="E188" s="67" t="s">
        <v>1535</v>
      </c>
    </row>
    <row r="189" spans="1:5" ht="36" x14ac:dyDescent="0.2">
      <c r="A189" t="s">
        <v>1538</v>
      </c>
      <c r="B189" s="18" t="s">
        <v>1539</v>
      </c>
      <c r="C189" s="19" t="s">
        <v>1274</v>
      </c>
      <c r="D189" s="22">
        <f>10^(-A_DH*9*(SQRT(I_ionic)/(1+SQRT(I_ionic))-davies_c*I_ionic))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inlineStr">
        <is>
          <t xml:space="preserve">Cl₂/Cl⁻ potential at the medium chloride (Cl₂ gas at 1 atm, reference only)</t>
        </is>
      </c>
      <c r="B208" s="18" t="s">
        <v>1591</v>
      </c>
      <c r="C208" s="19" t="s">
        <v>1571</v>
      </c>
      <c r="D208" s="22">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22">
        <f>E_HOCl_Cl-E_anode_op</f>
        <v>-0.422483519032</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22">
        <f>E0_ORR2-nernst_slope*pH_meas</f>
        <v>0.30431463654</v>
      </c>
      <c r="E210" s="67" t="s">
        <v>1599</v>
      </c>
    </row>
    <row r="211" spans="1:5" ht="48" x14ac:dyDescent="0.2">
      <c r="A211" t="inlineStr">
        <is>
          <t xml:space="preserve">Operating anode potential above Cu²⁺/Cu</t>
        </is>
      </c>
      <c r="B211" s="18" t="s">
        <v>1601</v>
      </c>
      <c r="C211" s="19" t="s">
        <v>1595</v>
      </c>
      <c r="D211" s="22">
        <f>E_anode_op-E0_Cu</f>
        <v>1.240557060036</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Fcc*(D_HPO4*HPO4_op+D_HCO3*HCO3_op)*1000/(delta_diff/1000000)/10</f>
        <v>8.049160263403</v>
      </c>
      <c r="E216" s="67" t="inlineStr">
        <is>
          <t xml:space="preserve">j_lim = F·Σ(D·C)/δ over the proton acceptors reaching the anode: hydrogen phosphate and bicarbonate (D251–D253).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0.35110441286</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22">
        <f>pH_op-LOG10(gamma_1)</f>
        <v>6.603949596052</v>
      </c>
      <c r="E220" s="67" t="s">
        <v>1624</v>
      </c>
    </row>
    <row r="221" spans="1:5" x14ac:dyDescent="0.2">
      <c r="A221" s="5" t="inlineStr">
        <is>
          <t xml:space="preserve">UNIT CONSTANTS</t>
        </is>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0.500804384457</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22">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36">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36">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36">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36">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36">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36">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36">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36">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36">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52">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22">
        <f>Ka1c_c*CO2aqc/10^-pH_op</f>
        <v>0.01976870305</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22">
        <f>pH_PT/(1+10^(-LOG10(Ka2p_c)-pH_op))</f>
        <v>0.013100861499</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22">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22">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22">
        <f>E_OER+eta_anode_c+pcet_credit_c</f>
        <v>1.582457060036</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52">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22">
        <f>E0_HOCl+nernst_slope/2*(LOG10(MAX(HOCl_ss*f_local,1E-12))-pH_meas-LOG10(MAX(pH_Cl,1E-12)))</f>
        <v>1.159973541004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22">
        <f>C_eff_lo*M_Cl2/M_HOCl</f>
        <v>0.003643312833</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22">
        <f>C_eff_hi*M_Cl2/M_HOCl</f>
        <v>0.710563979689</v>
      </c>
      <c r="E260" s="67" t="inlineStr">
        <is>
          <t xml:space="preserve">C_eff_hi on the as-Cl₂ basis the thresholds use.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IF(ISNUMBER(cal_knall_H2),cal_knall_H2,knall_H2_default)</f>
        <v>6.0</v>
      </c>
      <c r="E10" s="61" t="s">
        <v>409</v>
      </c>
      <c r="F10" s="20"/>
    </row>
    <row r="11" spans="1:6" x14ac:dyDescent="0.2">
      <c r="A11" s="17" t="s">
        <v>410</v>
      </c>
      <c r="B11" s="18" t="s">
        <v>411</v>
      </c>
      <c r="C11" s="19" t="s">
        <v>135</v>
      </c>
      <c r="D11" s="105">
        <f>IF(ISNUMBER(cal_knall_O2),cal_knall_O2,knall_O2_default)</f>
        <v>2.0</v>
      </c>
      <c r="E11" s="61" t="s">
        <v>412</v>
      </c>
      <c r="F11" s="20"/>
    </row>
    <row r="12" spans="1:6" x14ac:dyDescent="0.2">
      <c r="A12" s="17" t="s">
        <v>413</v>
      </c>
      <c r="B12" s="18" t="s">
        <v>414</v>
      </c>
      <c r="C12" s="19" t="s">
        <v>135</v>
      </c>
      <c r="D12" s="105">
        <f>IF(ISNUMBER(cal_knall_CO2),cal_knall_CO2,knall_CO2_default)</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63">
        <f>IF(P_atm_set&gt;0,P_atm_set,Pa_per_atm)</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19%, O₂ 9%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 Replaces a dissolved-H₂ turnover proxy, which said nothing about flammability.</t>
        </is>
      </c>
      <c r="F44" s="101" t="inlineStr">
        <is>
          <t xml:space="preserve">Hazard verdict (lag-phase headspace flammability), not a data gap.</t>
        </is>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36">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36">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36">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36">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25">
        <f>Summary!$D$10</f>
        <v>0.0</v>
      </c>
      <c r="E67" s="23"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27">
        <f>'Mass Transfer'!$D$100</f>
        <v>0.0003892277799716</v>
      </c>
      <c r="E76" s="23"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27">
        <f>'Mass Transfer'!$D$178</f>
        <v>0.489998045758</v>
      </c>
      <c r="E77" s="23" t="inlineStr">
        <is>
          <t xml:space="preserve">Import from Mass Transfer!D178.</t>
        </is>
      </c>
    </row>
    <row r="78">
      <c r="A78" s="20" t="inlineStr">
        <is>
          <t xml:space="preserve">(import) pulse duration</t>
        </is>
      </c>
      <c r="B78" s="18" t="inlineStr">
        <is>
          <t xml:space="preserve">spg_dur_b</t>
        </is>
      </c>
      <c r="C78" s="20" t="inlineStr">
        <is>
          <t xml:space="preserve">s</t>
        </is>
      </c>
      <c r="D78" s="27">
        <f>'Mass Transfer'!$D$90</f>
        <v>0.784513049825</v>
      </c>
      <c r="E78" s="23" t="inlineStr">
        <is>
          <t xml:space="preserve">Import from Mass Transfer!D90.</t>
        </is>
      </c>
    </row>
    <row r="79">
      <c r="A79" s="20" t="inlineStr">
        <is>
          <t xml:space="preserve">(import) ideal gas constant</t>
        </is>
      </c>
      <c r="B79" s="18" t="inlineStr">
        <is>
          <t xml:space="preserve">R_gas_b</t>
        </is>
      </c>
      <c r="C79" s="20" t="inlineStr">
        <is>
          <t xml:space="preserve">J/(mol·K)</t>
        </is>
      </c>
      <c r="D79" s="27">
        <f>'Mass Transfer'!$D$101</f>
        <v>8.314462618</v>
      </c>
      <c r="E79" s="23" t="inlineStr">
        <is>
          <t xml:space="preserve">Import from Mass Transfer!D101.</t>
        </is>
      </c>
    </row>
    <row r="80">
      <c r="A80" s="17" t="inlineStr">
        <is>
          <t xml:space="preserve">H₂ lower flammability limit</t>
        </is>
      </c>
      <c r="B80" s="18" t="inlineStr">
        <is>
          <t xml:space="preserve">H2_LFL</t>
        </is>
      </c>
      <c r="C80" s="19" t="inlineStr">
        <is>
          <t xml:space="preserve">-</t>
        </is>
      </c>
      <c r="D80" s="52">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52">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52">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0.0001531217041947</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0.191315446335</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0.0910148751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0.002916316798</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4.483469527972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0.995282852087</v>
      </c>
      <c r="E88" s="69" t="inlineStr">
        <is>
          <t xml:space="preserve">Continuous inert headspace sweep that dilutes H₂ below the LFL with no CO₂ at all.</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22">
        <f>rho_0+rho_k*(T_K-T_zero_C)</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22.21910236615</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1.503645716274</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987.621852976796</v>
      </c>
      <c r="E92" s="80" t="s">
        <v>747</v>
      </c>
      <c r="F92" s="20"/>
    </row>
    <row r="93" spans="1:6" x14ac:dyDescent="0.2">
      <c r="A93" s="17" t="inlineStr">
        <is>
          <t xml:space="preserve">  resulting duty</t>
        </is>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(DO_hs_floor+DO_surf_excess)*M_O2</f>
        <v>2.638866712696</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4" t="str">
        <f>IF(tip_speed&gt;tip_speed_max,"TIP SPEED &gt; "&amp;TEXT(tip_speed_max,"0.0")&amp;"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(185 min) DO would be 12.9 mg/L against a 2.6 mg/L target</v>
      </c>
      <c r="E113" s="82" t="inlineStr">
        <is>
          <t xml:space="preserve">Tests the carbon-limited interval against the same DO balance the schedule uses (D232). Replaces a test of DO_ss against the impairment level, which was circular (DO_ss sits at the target by construction) and invited an unsafe 185 min interval.</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inlineStr">
        <is>
          <t xml:space="preserve">mL/s</t>
        </is>
      </c>
      <c r="D117" s="83">
        <f>IF(ISNUMBER(cal_flow),cal_flow,SUMPRODUCT(('CO2 flows'!$A$4:$A$201=Reactor)*('CO2 flows'!$B$4:$B$201=latest_date)*'CO2 flows'!$J$4:$J$201)/MAX(1,SUMPRODUCT(('CO2 flows'!$A$4:$A$201=Reactor)*('CO2 flows'!$B$4:$B$201=latest_date)*('CO2 flows'!$J$4:$J$201&gt;0)*1)))</f>
        <v>3.33</v>
      </c>
      <c r="E117" s="2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inlineStr">
        <is>
          <t xml:space="preserve">Critical surface kL_surf (DO held at the target DO)</t>
        </is>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D_CO2_ref*EXP(-Ea_D_CO2/R_gas*(1/T_K-1/T_ref))</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inlineStr">
        <is>
          <t xml:space="preserve">Han &amp; Bartels (1996): log₁₀(D[cm²/s]) = a + b/T − (c/T)², evaluated at the reactor temperature.</t>
        </is>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22">
        <f>IF(ISNUMBER(duty_DO),IF(duty_DO&gt;0,spg_dur_opt/(60*duty_DO),spg_int_carbon),NA())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26">
        <f>Biology!$D$23</f>
        <v>298.15</v>
      </c>
      <c r="E209" s="23" t="inlineStr">
        <is>
          <t xml:space="preserve">Import from Biology!D23</t>
        </is>
      </c>
    </row>
    <row r="210">
      <c r="A210" s="20" t="inlineStr">
        <is>
          <t xml:space="preserve">(import) Celsius-to-kelvin offset</t>
        </is>
      </c>
      <c r="B210" s="20" t="inlineStr">
        <is>
          <t xml:space="preserve">T_zero_C</t>
        </is>
      </c>
      <c r="C210" s="20" t="inlineStr">
        <is>
          <t xml:space="preserve">K</t>
        </is>
      </c>
      <c r="D210" s="26">
        <f>Biology!$D$66</f>
        <v>273.15</v>
      </c>
      <c r="E210" s="23"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36">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36">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36">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36">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36">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52">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22">
        <f>H_O2_T*P_atm*O2_excess/(O2_excess+CO2_rate_full*duty_carbon)+DO_surf_excess</f>
        <v>0.401951360368</v>
      </c>
      <c r="E232" s="99" t="inlineStr">
        <is>
          <t xml:space="preserve">Same headspace back-pressure + surface-excess balance as D188/D180, evaluated at the carbon-limited duty instead of the DO-limited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97">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97">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97">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97">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97">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97">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97">
        <f>Electrochemistry!$D$16</f>
        <v>2.0</v>
      </c>
      <c r="E146" s="97" t="inlineStr">
        <is>
          <t xml:space="preserve">Import from Electrochemistry!D16</t>
        </is>
      </c>
    </row>
    <row r="147">
      <c r="A147" s="17" t="inlineStr">
        <is>
          <t xml:space="preserve">(import) Electrons per O₂</t>
        </is>
      </c>
      <c r="B147" s="97" t="inlineStr">
        <is>
          <t xml:space="preserve">z_e_O2</t>
        </is>
      </c>
      <c r="C147" s="19" t="inlineStr">
        <is>
          <t xml:space="preserve">-</t>
        </is>
      </c>
      <c r="D147" s="97">
        <f>Electrochemistry!$D$17</f>
        <v>4.0</v>
      </c>
      <c r="E147" s="97"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97">
        <f>Biology!$D$66</f>
        <v>273.15</v>
      </c>
      <c r="E148" s="97" t="inlineStr">
        <is>
          <t xml:space="preserve">Import from Biology!D66</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