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currie/andeye Dropbox/andeye/Projects/electroPioreactor/Media/"/>
    </mc:Choice>
  </mc:AlternateContent>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<sst xmlns="http://schemas.openxmlformats.org/spreadsheetml/2006/main" count="2678" uniqueCount="1931">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</sst>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1"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31">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36" t="s">
        <v>16</v>
      </c>
      <c r="E2" s="20" t="s">
        <v>31</v>
      </c>
      <c r="F2" s="21" t="s">
        <v>32</v>
      </c>
    </row>
    <row r="3" spans="1:7" ht="16" customHeight="1" thickBot="1" x14ac:dyDescent="0.25">
      <c r="A3" s="17" t="s">
        <v>33</v>
      </c>
      <c r="B3" s="18" t="s">
        <v>34</v>
      </c>
      <c r="C3" s="19"/>
      <c r="D3" s="36" t="s">
        <v>393</v>
      </c>
      <c r="E3" s="20" t="s">
        <v>31</v>
      </c>
      <c r="F3" s="21" t="s">
        <v>36</v>
      </c>
    </row>
    <row r="4" spans="1:7" x14ac:dyDescent="0.2">
      <c r="A4" s="17" t="s">
        <v>37</v>
      </c>
      <c r="B4" s="18" t="s">
        <v>38</v>
      </c>
      <c r="C4" s="19"/>
      <c r="D4" s="36" t="s">
        <v>535</v>
      </c>
      <c r="E4" s="20" t="s">
        <v>31</v>
      </c>
      <c r="F4" s="21" t="s">
        <v>40</v>
      </c>
    </row>
    <row r="5" spans="1:7" x14ac:dyDescent="0.2">
      <c r="A5" s="20" t="s">
        <v>41</v>
      </c>
      <c r="B5" s="18" t="s">
        <v>42</v>
      </c>
      <c r="C5" s="20"/>
      <c r="D5" s="36" t="inlineStr">
        <is>
          <t>UdG phosphate</t>
        </is>
      </c>
      <c r="E5" s="20" t="s">
        <v>31</v>
      </c>
      <c r="F5" s="21" t="s">
        <v>43</v>
      </c>
    </row>
    <row r="6" spans="1:7" x14ac:dyDescent="0.2">
      <c r="A6" s="20" t="s">
        <v>1276</v>
      </c>
      <c r="B6" s="18" t="s">
        <v>44</v>
      </c>
      <c r="C6" s="20" t="s">
        <v>45</v>
      </c>
      <c r="D6" s="36">
        <v>3</v>
      </c>
      <c r="E6" s="20" t="s">
        <v>46</v>
      </c>
      <c r="F6" s="21" t="s">
        <v>1277</v>
      </c>
    </row>
    <row r="7" spans="1:7" x14ac:dyDescent="0.2">
      <c r="A7" s="20" t="s">
        <v>47</v>
      </c>
      <c r="B7" s="18" t="s">
        <v>48</v>
      </c>
      <c r="C7" s="20" t="s">
        <v>49</v>
      </c>
      <c r="D7" s="36">
        <v>1000</v>
      </c>
      <c r="E7" s="20" t="s">
        <v>46</v>
      </c>
      <c r="F7" s="21" t="s">
        <v>50</v>
      </c>
    </row>
    <row r="8" spans="1:7" x14ac:dyDescent="0.2">
      <c r="A8" s="20" t="s">
        <v>51</v>
      </c>
      <c r="B8" s="18" t="s">
        <v>52</v>
      </c>
      <c r="C8" s="20" t="s">
        <v>53</v>
      </c>
      <c r="D8" s="36">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20"/>
      <c r="C13" s="20" t="s">
        <v>13</v>
      </c>
      <c r="D13" s="90">
        <f>IFERROR('Mass Transfer'!$D$90,"calibrate this reactor first (see CO2 flows)")</f>
        <v>0.784513049825</v>
      </c>
      <c r="E13" s="23" t="str">
        <f>HYPERLINK("#'Mass Transfer'!D90","→ Mass")</f>
        <v>→ Mass</v>
      </c>
      <c r="F13" s="21" t="s">
        <v>65</v>
      </c>
      <c r="G13" s="36"/>
    </row>
    <row r="14" spans="1:7" s="3" customFormat="1" ht="16" customHeight="1" thickBot="1" x14ac:dyDescent="0.25">
      <c r="A14" s="28" t="s">
        <v>1059</v>
      </c>
      <c r="B14" s="20"/>
      <c r="C14" s="20" t="s">
        <v>13</v>
      </c>
      <c r="D14" s="91">
        <f>IF(AND(ISNUMBER($G$13),$G$13&gt;0),$G$13,IF(NOT(ISNUMBER(D13)),D13,IF(D13&gt;0.5,ROUND(D13,0),ROUND(D13,1-(1+INT(LOG10(ABS(D13))))))))</f>
        <v>1.0</v>
      </c>
      <c r="E14" s="20"/>
      <c r="F14" s="21"/>
    </row>
    <row r="15" spans="1:7" ht="16" customHeight="1" thickBot="1" x14ac:dyDescent="0.25">
      <c r="A15" s="89" t="s">
        <v>66</v>
      </c>
      <c r="B15" s="20"/>
      <c r="C15" s="20" t="s">
        <v>67</v>
      </c>
      <c r="D15" s="90">
        <f>IFERROR('Mass Transfer'!$D$91,"calibrate this reactor first (see CO2 flows)")</f>
        <v>16.46036421628</v>
      </c>
      <c r="E15" s="23" t="str">
        <f>HYPERLINK("#'Mass Transfer'!D91","→ Mass")</f>
        <v>→ Mass</v>
      </c>
      <c r="F15" s="21" t="s">
        <v>68</v>
      </c>
      <c r="G15" s="36"/>
    </row>
    <row r="16" spans="1:7" x14ac:dyDescent="0.2">
      <c r="A16" s="28" t="s">
        <v>1057</v>
      </c>
      <c r="B16" s="20"/>
      <c r="C16" s="20" t="s">
        <v>67</v>
      </c>
      <c r="D16" s="91">
        <f>IF(AND(ISNUMBER($G$15),$G$15&gt;0),$G$15,IF(NOT(ISNUMBER(D15)),D15,IF(D15&gt;0.5,ROUND(D15,0),ROUND(D15,1-(1+INT(LOG10(ABS(D15))))))))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20"/>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20"/>
      <c r="C20" s="20"/>
      <c r="D20" s="90" t="str">
        <f>'Mass Transfer'!$D$120</f>
        <v>calibrated: ed04</v>
      </c>
      <c r="E20" s="23" t="str">
        <f>HYPERLINK("#'Mass Transfer'!D120","→ Mass")</f>
        <v>→ Mass</v>
      </c>
      <c r="F20" s="21" t="s">
        <v>73</v>
      </c>
    </row>
    <row r="21" spans="1:6" x14ac:dyDescent="0.2">
      <c r="A21" s="89" t="s">
        <v>74</v>
      </c>
      <c r="B21" s="20"/>
      <c r="C21" s="20"/>
      <c r="D21" s="90" t="str">
        <f>'Mass Transfer'!$D$109</f>
        <v>organism optimum unknown</v>
      </c>
      <c r="E21" s="23" t="str">
        <f>HYPERLINK("#'Mass Transfer'!D109","→ Mass")</f>
        <v>→ Mass</v>
      </c>
      <c r="F21" s="21" t="s">
        <v>75</v>
      </c>
    </row>
    <row r="22" spans="1:6" x14ac:dyDescent="0.2">
      <c r="A22" s="89" t="s">
        <v>76</v>
      </c>
      <c r="B22" s="20"/>
      <c r="C22" s="20"/>
      <c r="D22" s="90" t="str">
        <f>'Mass Transfer'!$D$110</f>
        <v>minimum DO unknown - measure</v>
      </c>
      <c r="E22" s="23" t="str">
        <f>HYPERLINK("#'Mass Transfer'!D110","→ Mass")</f>
        <v>→ Mass</v>
      </c>
      <c r="F22" s="21" t="s">
        <v>77</v>
      </c>
    </row>
    <row r="23" spans="1:6" x14ac:dyDescent="0.2">
      <c r="A23" s="89" t="s">
        <v>78</v>
      </c>
      <c r="B23" s="20"/>
      <c r="C23" s="20"/>
      <c r="D23" s="90" t="str">
        <f>'Mass Transfer'!$D$113</f>
        <v>organism DO unknown</v>
      </c>
      <c r="E23" s="23" t="str">
        <f>HYPERLINK("#'Mass Transfer'!D113","→ Mass")</f>
        <v>→ Mass</v>
      </c>
      <c r="F23" s="21" t="s">
        <v>79</v>
      </c>
    </row>
    <row r="24" spans="1:6" x14ac:dyDescent="0.2">
      <c r="A24" s="89" t="s">
        <v>80</v>
      </c>
      <c r="B24" s="20"/>
      <c r="C24" s="20"/>
      <c r="D24" s="95" t="str">
        <f>Biology!$D$44</f>
        <v>EXPLOSIVE</v>
      </c>
      <c r="E24" s="23" t="str">
        <f>HYPERLINK("#Biology!D44","→ Biology")</f>
        <v>→ Biology</v>
      </c>
      <c r="F24" s="21" t="s">
        <v>81</v>
      </c>
    </row>
    <row r="25" spans="1:6" x14ac:dyDescent="0.2">
      <c r="A25" s="89" t="s">
        <v>82</v>
      </c>
      <c r="B25" s="20"/>
      <c r="C25" s="20"/>
      <c r="D25" s="90" t="str">
        <f>'Mass Transfer'!$D$64</f>
        <v>Static</v>
      </c>
      <c r="E25" s="23" t="str">
        <f>HYPERLINK("#'Mass Transfer'!D64","→ Mass")</f>
        <v>→ Mass</v>
      </c>
      <c r="F25" s="21" t="s">
        <v>83</v>
      </c>
    </row>
    <row r="26" spans="1:6" x14ac:dyDescent="0.2">
      <c r="A26" s="89" t="s">
        <v>84</v>
      </c>
      <c r="B26" s="20"/>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20"/>
      <c r="C27" s="20"/>
      <c r="D27" s="90" t="str">
        <f>IFERROR('Mass Transfer'!$D$130,"calibrate this reactor first (see CO2 flows)")</f>
        <v>OK</v>
      </c>
      <c r="E27" s="23" t="str">
        <f>HYPERLINK("#'Mass Transfer'!D130","→ Mass")</f>
        <v>→ Mass</v>
      </c>
      <c r="F27" s="21" t="s">
        <v>87</v>
      </c>
    </row>
    <row r="28" spans="1:6" x14ac:dyDescent="0.2">
      <c r="A28" s="89" t="s">
        <v>88</v>
      </c>
      <c r="B28" s="20"/>
      <c r="C28" s="20"/>
      <c r="D28" s="90" t="str">
        <f>IFERROR('Mass Transfer'!$D$95,"calibrate this reactor first (see CO2 flows)")</f>
        <v>OK</v>
      </c>
      <c r="E28" s="23" t="str">
        <f>HYPERLINK("#'Mass Transfer'!D95","→ Mass")</f>
        <v>→ Mass</v>
      </c>
      <c r="F28" s="21" t="s">
        <v>89</v>
      </c>
    </row>
    <row r="29" spans="1:6" x14ac:dyDescent="0.2">
      <c r="A29" s="89" t="s">
        <v>90</v>
      </c>
      <c r="B29" s="20"/>
      <c r="C29" s="20"/>
      <c r="D29" s="90" t="str">
        <f>'Mass Transfer'!$D$59</f>
        <v>OK</v>
      </c>
      <c r="E29" s="23" t="str">
        <f>HYPERLINK("#'Mass Transfer'!D59","→ Mass")</f>
        <v>→ Mass</v>
      </c>
      <c r="F29" s="21" t="s">
        <v>91</v>
      </c>
    </row>
    <row r="30" spans="1:6" x14ac:dyDescent="0.2">
      <c r="A30" s="89" t="s">
        <v>92</v>
      </c>
      <c r="B30" s="20"/>
      <c r="C30" s="20"/>
      <c r="D30" s="90" t="str">
        <f>'Mass Transfer'!$D$111</f>
        <v>OK</v>
      </c>
      <c r="E30" s="23" t="str">
        <f>HYPERLINK("#'Mass Transfer'!D111","→ Mass")</f>
        <v>→ Mass</v>
      </c>
      <c r="F30" s="21" t="s">
        <v>93</v>
      </c>
    </row>
    <row r="31" spans="1:6" x14ac:dyDescent="0.2">
      <c r="A31" s="89" t="s">
        <v>94</v>
      </c>
      <c r="B31" s="20"/>
      <c r="C31" s="20"/>
      <c r="D31" s="94" t="str">
        <f>Geometry!$D$54</f>
        <v>OK</v>
      </c>
      <c r="E31" s="23" t="str">
        <f>HYPERLINK("#Geometry!D54","→ Geometry")</f>
        <v>→ Geometry</v>
      </c>
      <c r="F31" s="21" t="s">
        <v>95</v>
      </c>
    </row>
    <row r="32" spans="1:6" x14ac:dyDescent="0.2">
      <c r="A32" s="89" t="s">
        <v>96</v>
      </c>
      <c r="B32" s="20"/>
      <c r="C32" s="20"/>
      <c r="D32" s="94" t="str">
        <f>Geometry!$D$55</f>
        <v>OK</v>
      </c>
      <c r="E32" s="23" t="str">
        <f>HYPERLINK("#Geometry!D55","→ Geometry")</f>
        <v>→ Geometry</v>
      </c>
      <c r="F32" s="21" t="s">
        <v>97</v>
      </c>
    </row>
    <row r="33" spans="1:6" ht="16" thickBot="1" x14ac:dyDescent="0.25">
      <c r="A33" s="89" t="s">
        <v>98</v>
      </c>
      <c r="B33" s="20"/>
      <c r="C33" s="20"/>
      <c r="D33" s="96" t="str">
        <f>Electrochemistry!$D$20</f>
        <v>OK</v>
      </c>
      <c r="E33" s="23" t="str">
        <f>HYPERLINK("#Electrochemistry!D20","→ Electrochemistry")</f>
        <v>→ Electrochemistry</v>
      </c>
      <c r="F33" s="21" t="s">
        <v>99</v>
      </c>
    </row>
    <row r="34" spans="1:6" ht="16" thickBot="1" x14ac:dyDescent="0.25">
      <c r="A34" s="89" t="s">
        <v>986</v>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spans="1:6" ht="16" thickBot="1" x14ac:dyDescent="0.25">
      <c r="A35" s="89" t="s">
        <v>988</v>
      </c>
      <c r="C35" s="20"/>
      <c r="D35" s="121">
        <f>Chemistry!$D$220</f>
        <v>6.603949596052</v>
      </c>
      <c r="E35" s="23" t="str">
        <f>HYPERLINK("#Chemistry!D103","→ Chemistry")</f>
        <v>→ Chemistry</v>
      </c>
      <c r="F35" s="21" t="s">
        <v>1881</v>
      </c>
    </row>
    <row r="36" spans="1:6" ht="16" thickBot="1" x14ac:dyDescent="0.25">
      <c r="A36" s="89" t="s">
        <v>1128</v>
      </c>
      <c r="C36" s="20" t="s">
        <v>102</v>
      </c>
      <c r="D36" s="121">
        <f>Chemistry!$D$226</f>
        <v>0.500655956628</v>
      </c>
      <c r="E36" s="23" t="str">
        <f>HYPERLINK("#Chemistry!D226","→ Chemistry")</f>
        <v>→ Chemistry</v>
      </c>
      <c r="F36" s="21" t="s">
        <v>1930</v>
      </c>
    </row>
    <row r="37" spans="1:6" ht="16" thickBot="1" x14ac:dyDescent="0.25">
      <c r="A37" s="103" t="s">
        <v>100</v>
      </c>
      <c r="B37" s="20"/>
      <c r="C37" s="20"/>
      <c r="D37" s="20"/>
      <c r="E37" s="20"/>
      <c r="F37" s="21"/>
    </row>
    <row r="38" spans="1:6" x14ac:dyDescent="0.2">
      <c r="A38" s="89" t="s">
        <v>101</v>
      </c>
      <c r="B38" s="102"/>
      <c r="C38" s="20" t="s">
        <v>102</v>
      </c>
      <c r="D38" s="90">
        <f>'Mass Transfer'!$D$108</f>
        <v>2.639031652174</v>
      </c>
      <c r="E38" s="23" t="str">
        <f>HYPERLINK("#'Mass Transfer'!D108","→ Mass")</f>
        <v>→ Mass</v>
      </c>
      <c r="F38" s="21" t="s">
        <v>103</v>
      </c>
    </row>
    <row r="39" spans="1:6" x14ac:dyDescent="0.2">
      <c r="A39" s="89" t="s">
        <v>104</v>
      </c>
      <c r="B39" s="102"/>
      <c r="C39" s="20" t="s">
        <v>67</v>
      </c>
      <c r="D39" s="90">
        <f>'Mass Transfer'!$D$112</f>
        <v>185.240207036777</v>
      </c>
      <c r="E39" s="23" t="str">
        <f>HYPERLINK("#'Mass Transfer'!D112","→ Mass")</f>
        <v>→ Mass</v>
      </c>
      <c r="F39" s="21" t="s">
        <v>105</v>
      </c>
    </row>
    <row r="40" spans="1:6" x14ac:dyDescent="0.2">
      <c r="A40" s="89" t="s">
        <v>106</v>
      </c>
      <c r="B40" s="20"/>
      <c r="C40" s="20" t="s">
        <v>107</v>
      </c>
      <c r="D40" s="90">
        <f>'Mass Transfer'!$D$68</f>
        <v>0.628318530718</v>
      </c>
      <c r="E40" s="23" t="str">
        <f>HYPERLINK("#'Mass Transfer'!D68","→ Mass")</f>
        <v>→ Mass</v>
      </c>
      <c r="F40" s="21" t="s">
        <v>108</v>
      </c>
    </row>
    <row r="41" spans="1:6" x14ac:dyDescent="0.2">
      <c r="A41" s="89" t="s">
        <v>109</v>
      </c>
      <c r="B41" s="20"/>
      <c r="C41" s="20" t="s">
        <v>110</v>
      </c>
      <c r="D41" s="95">
        <f>Biology!$D$35</f>
        <v>668.745</v>
      </c>
      <c r="E41" s="23" t="str">
        <f>HYPERLINK("#Biology!D35","→ Biology")</f>
        <v>→ Biology</v>
      </c>
      <c r="F41" s="21" t="s">
        <v>111</v>
      </c>
    </row>
    <row r="42" spans="1:6" x14ac:dyDescent="0.2">
      <c r="A42" s="103" t="s">
        <v>1278</v>
      </c>
    </row>
    <row r="43" spans="1:6" x14ac:dyDescent="0.2">
      <c r="A43" s="89" t="s">
        <v>1279</v>
      </c>
      <c r="C43" s="20" t="s">
        <v>325</v>
      </c>
      <c r="D43" s="90">
        <f>Electrochemistry!$D$19*1000</f>
        <v>5.69</v>
      </c>
      <c r="E43" s="23" t="str">
        <f>HYPERLINK("#Electrochemistry!D19","→ Electrochemistry")</f>
        <v>→ Electrochemistry</v>
      </c>
      <c r="F43" s="21" t="s">
        <v>1280</v>
      </c>
    </row>
    <row r="44" spans="1:6" x14ac:dyDescent="0.2">
      <c r="A44" s="89" t="s">
        <v>1281</v>
      </c>
      <c r="C44" s="20" t="s">
        <v>1282</v>
      </c>
      <c r="D44" s="90">
        <f>Electrochemistry!$D$48</f>
        <v>2.826095688296</v>
      </c>
      <c r="E44" s="23" t="str">
        <f>HYPERLINK("#Electrochemistry!D48","→ Electrochemistry")</f>
        <v>→ Electrochemistry</v>
      </c>
      <c r="F44" s="21" t="s">
        <v>1283</v>
      </c>
    </row>
    <row r="45" spans="1:6" x14ac:dyDescent="0.2">
      <c r="A45" s="89" t="s">
        <v>1284</v>
      </c>
      <c r="D45" s="90" t="str">
        <f>Electrochemistry!$D$62</f>
        <v>watch - above optimum current density</v>
      </c>
      <c r="E45" s="23" t="str">
        <f>HYPERLINK("#Electrochemistry!D62","→ Electrochemistry")</f>
        <v>→ Electrochemistry</v>
      </c>
      <c r="F45" s="21" t="s">
        <v>1285</v>
      </c>
    </row>
    <row r="46" spans="1:6" x14ac:dyDescent="0.2">
      <c r="A46" s="89" t="s">
        <v>1286</v>
      </c>
      <c r="C46" s="20" t="s">
        <v>45</v>
      </c>
      <c r="D46" s="90">
        <f>Electrochemistry!$D$73</f>
        <v>10.0</v>
      </c>
      <c r="E46" s="23" t="str">
        <f>HYPERLINK("#Electrochemistry!D73","→ Electrochemistry")</f>
        <v>→ Electrochemistry</v>
      </c>
      <c r="F46" s="21" t="s">
        <v>1287</v>
      </c>
    </row>
    <row r="47" spans="1:6" x14ac:dyDescent="0.2">
      <c r="A47" s="89" t="s">
        <v>1288</v>
      </c>
      <c r="C47" s="20" t="s">
        <v>325</v>
      </c>
      <c r="D47" s="90">
        <f>Electrochemistry!$D$74</f>
        <v>12.9</v>
      </c>
      <c r="E47" s="23" t="str">
        <f>HYPERLINK("#Electrochemistry!D74","→ Electrochemistry")</f>
        <v>→ Electrochemistry</v>
      </c>
      <c r="F47" s="21" t="s">
        <v>1289</v>
      </c>
    </row>
    <row r="48" spans="1:6" x14ac:dyDescent="0.2">
      <c r="A48" s="89" t="s">
        <v>1290</v>
      </c>
      <c r="C48" s="20" t="s">
        <v>1282</v>
      </c>
      <c r="D48" s="90">
        <f>Electrochemistry!$D$75</f>
        <v>6.407141367138</v>
      </c>
      <c r="E48" s="23" t="str">
        <f>HYPERLINK("#Electrochemistry!D75","→ Electrochemistry")</f>
        <v>→ Electrochemistry</v>
      </c>
      <c r="F48" s="21" t="s">
        <v>1291</v>
      </c>
    </row>
    <row r="49" spans="1:6" x14ac:dyDescent="0.2">
      <c r="A49" s="89" t="s">
        <v>1292</v>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87"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86"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s">
        <v>1901</v>
      </c>
    </row>
    <row r="67" spans="1:6" x14ac:dyDescent="0.2">
      <c r="A67" s="20" t="s">
        <v>1016</v>
      </c>
      <c r="B67" s="20" t="s">
        <v>1017</v>
      </c>
      <c r="C67" s="20" t="s">
        <v>1018</v>
      </c>
      <c r="D67" s="36" t="str">
        <f>HYPERLINK("https://github.com/amy-bo/electroPioreactor/blob/AEP02/Media/protocols/vial-geometry.md","vial-geometry.md →")</f>
        <v>vial-geometry.md →</v>
      </c>
      <c r="E67" s="103"/>
      <c r="F67" s="21" t="s">
        <v>1019</v>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s">
        <v>1902</v>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s">
        <v>1053</v>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s">
        <v>1909</v>
      </c>
    </row>
    <row r="80" spans="1:6" x14ac:dyDescent="0.2">
      <c r="A80" t="s">
        <v>1910</v>
      </c>
      <c r="B80" t="s">
        <v>1021</v>
      </c>
      <c r="C80" t="s">
        <v>1029</v>
      </c>
      <c r="D80" s="23" t="str">
        <f>HYPERLINK("https://github.com/amy-bo/electroPioreactor/blob/AEP02/Media/protocols/README.md","README.md →")</f>
        <v>README.md →</v>
      </c>
      <c r="F80" t="s">
        <v>1911</v>
      </c>
    </row>
    <row r="81" spans="1:6" x14ac:dyDescent="0.2">
      <c r="A81" s="5" t="s">
        <v>1865</v>
      </c>
    </row>
    <row r="82" spans="1:6" x14ac:dyDescent="0.2">
      <c r="A82" t="s">
        <v>1652</v>
      </c>
      <c r="C82" s="19" t="s">
        <v>1274</v>
      </c>
      <c r="D82" s="22">
        <f>Electrochemistry!$D$88</f>
        <v>0.977475298652</v>
      </c>
      <c r="E82" s="23" t="str">
        <f>HYPERLINK("#Electrochemistry!D88","→ Electrochemistry")</f>
        <v>→ Electrochemistry</v>
      </c>
      <c r="F82" t="s">
        <v>1866</v>
      </c>
    </row>
    <row r="83" spans="1:6" x14ac:dyDescent="0.2">
      <c r="A83" t="s">
        <v>1742</v>
      </c>
      <c r="C83" s="19" t="s">
        <v>1595</v>
      </c>
      <c r="D83" s="22">
        <f>Electrochemistry!$D$119</f>
        <v>3.263760439016</v>
      </c>
      <c r="E83" s="23" t="str">
        <f>HYPERLINK("#Electrochemistry!D119","→ Electrochemistry")</f>
        <v>→ Electrochemistry</v>
      </c>
      <c r="F83" t="s">
        <v>1867</v>
      </c>
    </row>
    <row r="84" spans="1:6" x14ac:dyDescent="0.2">
      <c r="A84" t="s">
        <v>1751</v>
      </c>
      <c r="C84" s="19" t="s">
        <v>1274</v>
      </c>
      <c r="D84" s="22" t="str">
        <f>Electrochemistry!$D$122</f>
        <v>OK — 3.26 V estimated against a 5 V rail</v>
      </c>
      <c r="E84" s="23" t="str">
        <f>HYPERLINK("#Electrochemistry!D122","→ Electrochemistry")</f>
        <v>→ Electrochemistry</v>
      </c>
      <c r="F84" t="s">
        <v>1868</v>
      </c>
    </row>
    <row r="85" spans="1:6" x14ac:dyDescent="0.2">
      <c r="A85" t="s">
        <v>1683</v>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spans="1:6" x14ac:dyDescent="0.2">
      <c r="A86" t="s">
        <v>1870</v>
      </c>
      <c r="C86" s="19" t="s">
        <v>1274</v>
      </c>
      <c r="D86" s="22" t="str">
        <f>Chemistry!$D$219</f>
        <v>BUFFER EXCEEDED — anode surface acidifies (local pH ~1 unit below bulk); the pH solved above is the bulk value only</v>
      </c>
      <c r="E86" s="23" t="str">
        <f>HYPERLINK("#Chemistry!D219","→ Chemistry")</f>
        <v>→ Chemistry</v>
      </c>
      <c r="F86" t="s">
        <v>1871</v>
      </c>
    </row>
    <row r="87" spans="1:6" x14ac:dyDescent="0.2">
      <c r="A87" t="s">
        <v>1593</v>
      </c>
      <c r="C87" s="19" t="s">
        <v>1595</v>
      </c>
      <c r="D87" s="22">
        <f>Chemistry!$D$209</f>
        <v>0.741190671663</v>
      </c>
      <c r="E87" s="23" t="str">
        <f>HYPERLINK("#Chemistry!D209","→ Chemistry")</f>
        <v>→ Chemistry</v>
      </c>
      <c r="F87" t="s">
        <v>1872</v>
      </c>
    </row>
    <row r="88" spans="1:6" x14ac:dyDescent="0.2">
      <c r="A88" t="s">
        <v>1600</v>
      </c>
      <c r="C88" s="19" t="s">
        <v>1595</v>
      </c>
      <c r="D88" s="22">
        <f>Chemistry!$D$211</f>
        <v>0.49641463654</v>
      </c>
      <c r="E88" s="23" t="str">
        <f>HYPERLINK("#Chemistry!D211","→ Chemistry")</f>
        <v>→ Chemistry</v>
      </c>
      <c r="F88" t="s">
        <v>1873</v>
      </c>
    </row>
    <row r="89" spans="1:6" x14ac:dyDescent="0.2">
      <c r="A89" t="s">
        <v>1622</v>
      </c>
      <c r="C89" s="19" t="s">
        <v>1274</v>
      </c>
      <c r="D89" s="22">
        <f>Chemistry!$D$220</f>
        <v>6.603949596052</v>
      </c>
      <c r="E89" s="23" t="str">
        <f>HYPERLINK("#Chemistry!D220","→ Chemistry")</f>
        <v>→ Chemistry</v>
      </c>
      <c r="F89" t="s">
        <v>1874</v>
      </c>
    </row>
    <row r="90" spans="1:6" x14ac:dyDescent="0.2">
      <c r="A90" t="s">
        <v>1875</v>
      </c>
      <c r="C90" s="19" t="s">
        <v>639</v>
      </c>
      <c r="D90" s="22">
        <f>'Mass Transfer'!$D$186</f>
        <v>0.003317773486</v>
      </c>
      <c r="E90" s="23" t="str">
        <f>HYPERLINK("#'Mass Transfer'!D186","→ Mass Transfer")</f>
        <v>→ Mass Transfer</v>
      </c>
      <c r="F90" t="s">
        <v>1876</v>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38" t="str">
        <f>Summary!$D$2</f>
        <v>ed04</v>
      </c>
      <c r="E5" s="23" t="str">
        <f>HYPERLINK("#Summary!D2","→ Summary")</f>
        <v>→ Summary</v>
      </c>
      <c r="F5" s="20"/>
      <c r="G5" s="20"/>
      <c r="H5" s="20"/>
      <c r="I5" s="20"/>
    </row>
    <row r="6" spans="1:9" x14ac:dyDescent="0.2">
      <c r="A6" s="20" t="s">
        <v>136</v>
      </c>
      <c r="B6" s="20" t="s">
        <v>56</v>
      </c>
      <c r="C6" s="20" t="s">
        <v>57</v>
      </c>
      <c r="D6" s="38">
        <f>Summary!$D$9</f>
        <v>0.0</v>
      </c>
      <c r="E6" s="23"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05" t="s">
        <v>139</v>
      </c>
      <c r="E8" s="107" t="s">
        <v>140</v>
      </c>
      <c r="F8" s="20"/>
      <c r="G8" s="20"/>
      <c r="H8" s="20"/>
      <c r="I8" s="20"/>
    </row>
    <row r="9" spans="1:9" x14ac:dyDescent="0.2">
      <c r="A9" s="17" t="s">
        <v>141</v>
      </c>
      <c r="B9" s="18" t="s">
        <v>142</v>
      </c>
      <c r="C9" s="19" t="s">
        <v>135</v>
      </c>
      <c r="D9" s="105" t="s">
        <v>143</v>
      </c>
      <c r="E9" s="107" t="s">
        <v>140</v>
      </c>
      <c r="F9" s="20"/>
      <c r="G9" s="20"/>
      <c r="H9" s="20"/>
      <c r="I9" s="20"/>
    </row>
    <row r="10" spans="1:9" ht="24" customHeight="1" x14ac:dyDescent="0.2">
      <c r="A10" s="17" t="s">
        <v>144</v>
      </c>
      <c r="B10" s="18" t="s">
        <v>145</v>
      </c>
      <c r="C10" s="19" t="s">
        <v>146</v>
      </c>
      <c r="D10" s="108">
        <v>27.48</v>
      </c>
      <c r="E10" s="109" t="s">
        <v>140</v>
      </c>
      <c r="F10" s="20"/>
      <c r="G10" s="20"/>
      <c r="H10" s="20"/>
      <c r="I10" s="20"/>
    </row>
    <row r="11" spans="1:9" x14ac:dyDescent="0.2">
      <c r="A11" s="17" t="s">
        <v>147</v>
      </c>
      <c r="B11" s="18" t="s">
        <v>148</v>
      </c>
      <c r="C11" s="19" t="s">
        <v>146</v>
      </c>
      <c r="D11" s="108">
        <v>27.48</v>
      </c>
      <c r="E11" s="110" t="s">
        <v>140</v>
      </c>
      <c r="F11" s="20"/>
      <c r="G11" s="20"/>
      <c r="H11" s="20"/>
      <c r="I11" s="20"/>
    </row>
    <row r="12" spans="1:9" x14ac:dyDescent="0.2">
      <c r="A12" s="17" t="s">
        <v>149</v>
      </c>
      <c r="B12" s="18" t="s">
        <v>150</v>
      </c>
      <c r="C12" s="19" t="s">
        <v>146</v>
      </c>
      <c r="D12" s="106">
        <v>55</v>
      </c>
      <c r="E12" s="111" t="s">
        <v>140</v>
      </c>
      <c r="F12" s="20"/>
      <c r="G12" s="20"/>
      <c r="H12" s="20"/>
      <c r="I12" s="20"/>
    </row>
    <row r="13" spans="1:9" x14ac:dyDescent="0.2">
      <c r="A13" s="17" t="s">
        <v>151</v>
      </c>
      <c r="B13" s="18" t="s">
        <v>152</v>
      </c>
      <c r="C13" s="19" t="s">
        <v>146</v>
      </c>
      <c r="D13" s="106">
        <v>95</v>
      </c>
      <c r="E13" s="111" t="s">
        <v>140</v>
      </c>
      <c r="F13" s="20"/>
      <c r="G13" s="20"/>
      <c r="H13" s="20"/>
      <c r="I13" s="20"/>
    </row>
    <row r="14" spans="1:9" ht="24" customHeight="1" x14ac:dyDescent="0.2">
      <c r="A14" s="17" t="s">
        <v>153</v>
      </c>
      <c r="B14" s="18" t="s">
        <v>154</v>
      </c>
      <c r="C14" s="19" t="s">
        <v>57</v>
      </c>
      <c r="D14" s="106">
        <v>16</v>
      </c>
      <c r="E14" s="109" t="s">
        <v>140</v>
      </c>
      <c r="F14" s="20"/>
      <c r="G14" s="20"/>
      <c r="H14" s="20"/>
      <c r="I14" s="20"/>
    </row>
    <row r="15" spans="1:9" ht="24" customHeight="1" x14ac:dyDescent="0.2">
      <c r="A15" s="17" t="s">
        <v>155</v>
      </c>
      <c r="B15" s="18" t="s">
        <v>156</v>
      </c>
      <c r="C15" s="19" t="s">
        <v>57</v>
      </c>
      <c r="D15" s="106">
        <v>30</v>
      </c>
      <c r="E15" s="109" t="s">
        <v>140</v>
      </c>
      <c r="F15" s="20"/>
      <c r="G15" s="20"/>
      <c r="H15" s="20"/>
      <c r="I15" s="20"/>
    </row>
    <row r="16" spans="1:9" x14ac:dyDescent="0.2">
      <c r="A16" s="17" t="s">
        <v>157</v>
      </c>
      <c r="B16" s="18" t="s">
        <v>158</v>
      </c>
      <c r="C16" s="19" t="s">
        <v>57</v>
      </c>
      <c r="D16" s="106">
        <v>20</v>
      </c>
      <c r="E16" s="112" t="s">
        <v>140</v>
      </c>
      <c r="F16" s="20"/>
      <c r="G16" s="20"/>
      <c r="H16" s="20"/>
      <c r="I16" s="20"/>
    </row>
    <row r="17" spans="1:9" x14ac:dyDescent="0.2">
      <c r="A17" s="17" t="s">
        <v>159</v>
      </c>
      <c r="B17" s="18" t="s">
        <v>160</v>
      </c>
      <c r="C17" s="19" t="s">
        <v>57</v>
      </c>
      <c r="D17" s="106">
        <v>42</v>
      </c>
      <c r="E17" s="112" t="s">
        <v>140</v>
      </c>
      <c r="F17" s="20"/>
      <c r="G17" s="20"/>
      <c r="H17" s="20"/>
      <c r="I17" s="20"/>
    </row>
    <row r="18" spans="1:9" x14ac:dyDescent="0.2">
      <c r="A18" s="17" t="s">
        <v>161</v>
      </c>
      <c r="B18" s="18" t="s">
        <v>162</v>
      </c>
      <c r="C18" s="19" t="s">
        <v>146</v>
      </c>
      <c r="D18" s="40">
        <f>VLOOKUP(rx_ver,$A$84:$I$87,7,FALSE)</f>
        <v>27.48</v>
      </c>
      <c r="E18" s="99" t="s">
        <v>163</v>
      </c>
      <c r="F18" s="20"/>
      <c r="G18" s="20"/>
      <c r="H18" s="20"/>
      <c r="I18" s="20"/>
    </row>
    <row r="19" spans="1:9" ht="24" customHeight="1" x14ac:dyDescent="0.2">
      <c r="A19" s="17" t="s">
        <v>164</v>
      </c>
      <c r="B19" s="18" t="s">
        <v>165</v>
      </c>
      <c r="C19" s="19" t="s">
        <v>146</v>
      </c>
      <c r="D19" s="36">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44">
        <f>IF(ISNUMBER(cal_Dint),cal_Dint,VLOOKUP(rx_ver,$A$84:$I$87,4,FALSE))</f>
        <v>55.0</v>
      </c>
      <c r="E22" s="99" t="s">
        <v>176</v>
      </c>
      <c r="F22" s="20"/>
      <c r="G22" s="20"/>
      <c r="H22" s="20"/>
      <c r="I22" s="20"/>
    </row>
    <row r="23" spans="1:9" x14ac:dyDescent="0.2">
      <c r="A23" s="17" t="s">
        <v>177</v>
      </c>
      <c r="B23" s="18" t="s">
        <v>178</v>
      </c>
      <c r="C23" s="19" t="s">
        <v>57</v>
      </c>
      <c r="D23" s="44">
        <f>VLOOKUP(rx_ver,$A$84:$I$87,5,FALSE)</f>
        <v>16.0</v>
      </c>
      <c r="E23" s="99" t="s">
        <v>176</v>
      </c>
      <c r="F23" s="20"/>
      <c r="G23" s="20"/>
      <c r="H23" s="20"/>
      <c r="I23" s="20"/>
    </row>
    <row r="24" spans="1:9" x14ac:dyDescent="0.2">
      <c r="A24" s="17" t="s">
        <v>179</v>
      </c>
      <c r="B24" s="18" t="s">
        <v>180</v>
      </c>
      <c r="C24" s="19" t="s">
        <v>57</v>
      </c>
      <c r="D24" s="44">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36">
        <v>6</v>
      </c>
      <c r="E26" s="37" t="s">
        <v>186</v>
      </c>
      <c r="F26" s="20"/>
      <c r="G26" s="20"/>
      <c r="H26" s="20"/>
      <c r="I26" s="20"/>
    </row>
    <row r="27" spans="1:9" x14ac:dyDescent="0.2">
      <c r="A27" s="17" t="s">
        <v>187</v>
      </c>
      <c r="B27" s="18" t="s">
        <v>188</v>
      </c>
      <c r="C27" s="19" t="s">
        <v>135</v>
      </c>
      <c r="D27" s="36">
        <v>2</v>
      </c>
      <c r="E27" s="99" t="s">
        <v>189</v>
      </c>
      <c r="F27" s="20"/>
      <c r="G27" s="20"/>
      <c r="H27" s="20"/>
      <c r="I27" s="20"/>
    </row>
    <row r="28" spans="1:9" x14ac:dyDescent="0.2">
      <c r="A28" s="17" t="s">
        <v>190</v>
      </c>
      <c r="B28" s="18" t="s">
        <v>191</v>
      </c>
      <c r="C28" s="19" t="s">
        <v>146</v>
      </c>
      <c r="D28" s="36">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36">
        <v>3.1749999999999998</v>
      </c>
      <c r="E30" s="99" t="s">
        <v>198</v>
      </c>
      <c r="F30" s="20"/>
      <c r="G30" s="20"/>
      <c r="H30" s="20"/>
      <c r="I30" s="20"/>
    </row>
    <row r="31" spans="1:9" x14ac:dyDescent="0.2">
      <c r="A31" s="17" t="s">
        <v>199</v>
      </c>
      <c r="B31" s="18" t="s">
        <v>200</v>
      </c>
      <c r="C31" s="19" t="s">
        <v>146</v>
      </c>
      <c r="D31" s="36">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36">
        <v>3.1749999999999998</v>
      </c>
      <c r="E33" s="99" t="s">
        <v>198</v>
      </c>
      <c r="F33" s="20"/>
      <c r="G33" s="20"/>
      <c r="H33" s="20"/>
      <c r="I33" s="20"/>
    </row>
    <row r="34" spans="1:9" x14ac:dyDescent="0.2">
      <c r="A34" s="17" t="s">
        <v>207</v>
      </c>
      <c r="B34" s="18" t="s">
        <v>208</v>
      </c>
      <c r="C34" s="19" t="s">
        <v>146</v>
      </c>
      <c r="D34" s="36">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7">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36">
        <v>3</v>
      </c>
      <c r="E46" s="37" t="s">
        <v>244</v>
      </c>
      <c r="F46" s="20"/>
      <c r="G46" s="20"/>
      <c r="H46" s="20"/>
      <c r="I46" s="20"/>
    </row>
    <row r="47" spans="1:9" x14ac:dyDescent="0.2">
      <c r="A47" s="17" t="s">
        <v>245</v>
      </c>
      <c r="B47" s="18" t="s">
        <v>246</v>
      </c>
      <c r="C47" s="19" t="s">
        <v>146</v>
      </c>
      <c r="D47" s="36">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4" t="str">
        <f>VLOOKUP(reactor_sel,$A$59:$B$80,2,FALSE)</f>
        <v>MEP0.3</v>
      </c>
      <c r="E51" s="20"/>
      <c r="F51" s="20"/>
      <c r="G51" s="20"/>
      <c r="H51" s="20"/>
      <c r="I51" s="20"/>
    </row>
    <row r="52" spans="1:9" x14ac:dyDescent="0.2">
      <c r="A52" s="20" t="s">
        <v>259</v>
      </c>
      <c r="B52" s="20" t="s">
        <v>260</v>
      </c>
      <c r="C52" s="20"/>
      <c r="D52" s="24">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4" t="str">
        <f>IF(V_charge&gt;V_max,"MEDIA &gt; MAX WORKING VOLUME","OK")</f>
        <v>OK</v>
      </c>
      <c r="E54" s="20"/>
      <c r="F54" s="20"/>
      <c r="G54" s="20"/>
      <c r="H54" s="20"/>
      <c r="I54" s="20"/>
    </row>
    <row r="55" spans="1:9" x14ac:dyDescent="0.2">
      <c r="A55" s="20" t="s">
        <v>264</v>
      </c>
      <c r="B55" s="20" t="s">
        <v>265</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4" t="str">
        <f>IF(ABS(A_x*D_int/1000-V_vial_total)&lt;=3,"OK",IF(AND(ISNUMBER(cal_hs),ISNUMBER(cal_hs_fill)),"HEADSPACE MEASURED - bore depth still inconsistent (measure body volume)","VIAL GEOMETRY INCONSISTENT - measure true fill volume &amp; bore depth"))</f>
        <v>VIAL GEOMETRY INCONSISTENT - measure true fill volume &amp; bore depth</v>
      </c>
      <c r="E90" s="20"/>
      <c r="F90" s="101" t="s">
        <v>305</v>
      </c>
      <c r="G90" s="20"/>
      <c r="H90" s="20"/>
      <c r="I90" s="20"/>
    </row>
    <row r="91" spans="1:9" x14ac:dyDescent="0.2">
      <c r="A91" s="5" t="s">
        <v>1465</v>
      </c>
    </row>
    <row r="92" spans="1:9" ht="36" x14ac:dyDescent="0.2">
      <c r="A92" t="s">
        <v>1466</v>
      </c>
      <c r="B92" s="18" t="s">
        <v>1467</v>
      </c>
      <c r="C92" s="19" t="s">
        <v>146</v>
      </c>
      <c r="D92" s="36">
        <v>14</v>
      </c>
      <c r="E92" s="70" t="s">
        <v>1468</v>
      </c>
    </row>
    <row r="93" spans="1:9" ht="24" x14ac:dyDescent="0.2">
      <c r="A93" t="s">
        <v>1469</v>
      </c>
      <c r="B93" s="18" t="s">
        <v>1470</v>
      </c>
      <c r="C93" s="19" t="s">
        <v>146</v>
      </c>
      <c r="D93" s="22">
        <f>MAX(0,h_actual-elec_clear)</f>
        <v>9.18130412738</v>
      </c>
      <c r="E93" s="99" t="s">
        <v>1471</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26">
        <f>Biology!$D$18</f>
        <v>298.15</v>
      </c>
      <c r="E5" s="23" t="str">
        <f>HYPERLINK("#Biology!D18","→ Biology")</f>
        <v>→ Biology</v>
      </c>
      <c r="F5" s="20"/>
      <c r="G5" s="20"/>
      <c r="H5" s="20"/>
      <c r="I5" s="20"/>
    </row>
    <row r="6" spans="1:9" x14ac:dyDescent="0.2">
      <c r="A6" s="20" t="s">
        <v>310</v>
      </c>
      <c r="B6" s="20" t="s">
        <v>311</v>
      </c>
      <c r="C6" s="20" t="s">
        <v>62</v>
      </c>
      <c r="D6" s="26">
        <f>Biology!$D$19</f>
        <v>101325.0</v>
      </c>
      <c r="E6" s="23" t="str">
        <f>HYPERLINK("#Biology!D19","→ Biology")</f>
        <v>→ Biology</v>
      </c>
      <c r="F6" s="20"/>
      <c r="G6" s="20"/>
      <c r="H6" s="20"/>
      <c r="I6" s="20"/>
    </row>
    <row r="7" spans="1:9" x14ac:dyDescent="0.2">
      <c r="A7" s="20" t="s">
        <v>312</v>
      </c>
      <c r="B7" s="20" t="s">
        <v>313</v>
      </c>
      <c r="C7" s="20" t="s">
        <v>314</v>
      </c>
      <c r="D7" s="22">
        <f>'Mass Transfer'!$D$101</f>
        <v>8.314462618</v>
      </c>
      <c r="E7" s="23" t="str">
        <f>HYPERLINK("#'Mass Transfer'!D101","→ Mass Transfer")</f>
        <v>→ Mass Transfer</v>
      </c>
      <c r="F7" s="20"/>
      <c r="G7" s="20"/>
      <c r="H7" s="20"/>
      <c r="I7" s="20"/>
    </row>
    <row r="8" spans="1:9" x14ac:dyDescent="0.2">
      <c r="A8" s="20" t="s">
        <v>315</v>
      </c>
      <c r="B8" s="20" t="s">
        <v>34</v>
      </c>
      <c r="C8" s="20"/>
      <c r="D8" s="38" t="str">
        <f>Summary!$D$3</f>
        <v>Pt/Ti rod</v>
      </c>
      <c r="E8" s="23"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53">
        <f>Summary!$D$6</f>
        <v>3.0</v>
      </c>
      <c r="E10" s="37" t="s">
        <v>318</v>
      </c>
      <c r="F10" s="20"/>
      <c r="G10" s="20"/>
      <c r="H10" s="20"/>
      <c r="I10" s="20"/>
    </row>
    <row r="11" spans="1:9" ht="36" customHeight="1" x14ac:dyDescent="0.2">
      <c r="A11" s="17" t="s">
        <v>319</v>
      </c>
      <c r="B11" s="18" t="s">
        <v>320</v>
      </c>
      <c r="C11" s="19" t="s">
        <v>321</v>
      </c>
      <c r="D11" s="22">
        <f>IF(ISNUMBER(cal_gerrit_slope),cal_gerrit_slope,1.03)</f>
        <v>1.03</v>
      </c>
      <c r="E11" s="109" t="s">
        <v>322</v>
      </c>
      <c r="F11" s="20"/>
      <c r="G11" s="20"/>
      <c r="H11" s="20"/>
      <c r="I11" s="20"/>
    </row>
    <row r="12" spans="1:9" x14ac:dyDescent="0.2">
      <c r="A12" s="17" t="s">
        <v>323</v>
      </c>
      <c r="B12" s="18" t="s">
        <v>324</v>
      </c>
      <c r="C12" s="19" t="s">
        <v>325</v>
      </c>
      <c r="D12" s="22">
        <f>IF(ISNUMBER(cal_gerrit_int),cal_gerrit_int,2.6)</f>
        <v>2.6</v>
      </c>
      <c r="E12" s="109" t="s">
        <v>326</v>
      </c>
      <c r="F12" s="20"/>
      <c r="G12" s="20"/>
      <c r="H12" s="20"/>
      <c r="I12" s="20"/>
    </row>
    <row r="13" spans="1:9" x14ac:dyDescent="0.2">
      <c r="A13" s="17" t="s">
        <v>327</v>
      </c>
      <c r="B13" s="18" t="s">
        <v>328</v>
      </c>
      <c r="C13" s="19" t="s">
        <v>45</v>
      </c>
      <c r="D13" s="55">
        <v>3</v>
      </c>
      <c r="E13" s="51" t="s">
        <v>329</v>
      </c>
      <c r="F13" s="20"/>
      <c r="G13" s="20"/>
      <c r="H13" s="20"/>
      <c r="I13" s="20"/>
    </row>
    <row r="14" spans="1:9" x14ac:dyDescent="0.2">
      <c r="A14" s="17" t="s">
        <v>330</v>
      </c>
      <c r="B14" s="18" t="s">
        <v>331</v>
      </c>
      <c r="C14" s="19" t="s">
        <v>45</v>
      </c>
      <c r="D14" s="55">
        <v>25</v>
      </c>
      <c r="E14" s="51" t="s">
        <v>332</v>
      </c>
      <c r="F14" s="20"/>
      <c r="G14" s="20"/>
      <c r="H14" s="20"/>
      <c r="I14" s="20"/>
    </row>
    <row r="15" spans="1:9" x14ac:dyDescent="0.2">
      <c r="A15" s="17" t="s">
        <v>333</v>
      </c>
      <c r="B15" s="18" t="s">
        <v>334</v>
      </c>
      <c r="C15" s="19" t="s">
        <v>335</v>
      </c>
      <c r="D15" s="56">
        <v>96485.332120000006</v>
      </c>
      <c r="E15" s="100" t="s">
        <v>336</v>
      </c>
      <c r="F15" s="20"/>
      <c r="G15" s="20"/>
      <c r="H15" s="20"/>
      <c r="I15" s="20"/>
    </row>
    <row r="16" spans="1:9" x14ac:dyDescent="0.2">
      <c r="A16" s="17" t="s">
        <v>337</v>
      </c>
      <c r="B16" s="18" t="s">
        <v>338</v>
      </c>
      <c r="C16" s="19" t="s">
        <v>135</v>
      </c>
      <c r="D16" s="52">
        <v>2</v>
      </c>
      <c r="E16" s="99" t="s">
        <v>339</v>
      </c>
      <c r="F16" s="20"/>
      <c r="G16" s="20"/>
      <c r="H16" s="20"/>
      <c r="I16" s="20"/>
    </row>
    <row r="17" spans="1:9" x14ac:dyDescent="0.2">
      <c r="A17" s="17" t="s">
        <v>340</v>
      </c>
      <c r="B17" s="18" t="s">
        <v>341</v>
      </c>
      <c r="C17" s="19" t="s">
        <v>135</v>
      </c>
      <c r="D17" s="52">
        <v>4</v>
      </c>
      <c r="E17" s="99" t="s">
        <v>342</v>
      </c>
      <c r="F17" s="20"/>
      <c r="G17" s="20"/>
      <c r="H17" s="20"/>
      <c r="I17" s="20"/>
    </row>
    <row r="18" spans="1:9" ht="24" customHeight="1" x14ac:dyDescent="0.2">
      <c r="A18" s="17" t="s">
        <v>343</v>
      </c>
      <c r="B18" s="18" t="s">
        <v>344</v>
      </c>
      <c r="C18" s="19" t="s">
        <v>135</v>
      </c>
      <c r="D18" s="108">
        <f>IF(ISNUMBER(cal_etaF),cal_etaF,etaF_calc)</f>
        <v>0.977475298652</v>
      </c>
      <c r="E18" s="67" t="s">
        <v>1754</v>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108">
        <f>IF(ISNUMBER(cal_etaF_OER),cal_etaF_OER,etaF_OER_calc)</f>
        <v>0.975081911036</v>
      </c>
      <c r="E26" s="67" t="s">
        <v>1755</v>
      </c>
      <c r="F26" s="20"/>
      <c r="G26" s="20"/>
      <c r="H26" s="20"/>
      <c r="I26" s="20"/>
    </row>
    <row r="27" spans="1:9" ht="24" customHeight="1" x14ac:dyDescent="0.2">
      <c r="A27" s="17" t="s">
        <v>371</v>
      </c>
      <c r="B27" s="18" t="s">
        <v>372</v>
      </c>
      <c r="C27" s="19" t="s">
        <v>135</v>
      </c>
      <c r="D27" s="40">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4" t="str">
        <f>VLOOKUP(electrode_sel,$A$35:$I$38,4,FALSE)</f>
        <v>Tube</v>
      </c>
      <c r="E31" s="20"/>
      <c r="F31" s="20"/>
      <c r="G31" s="20"/>
      <c r="H31" s="20"/>
      <c r="I31" s="20"/>
    </row>
    <row r="32" spans="1:9" x14ac:dyDescent="0.2">
      <c r="A32" s="20" t="s">
        <v>383</v>
      </c>
      <c r="B32" s="20" t="s">
        <v>384</v>
      </c>
      <c r="C32" s="20"/>
      <c r="D32" s="24">
        <f>IF(ISNUMBER(cal_sinter),cal_sinter,IF(ISNUMBER(VLOOKUP(electrode_sel,$A$35:$I$38,5,FALSE)),VLOOKUP(electrode_sel,$A$35:$I$38,5,FALSE),0))</f>
        <v>0.0</v>
      </c>
      <c r="E32" s="101"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s">
        <v>1472</v>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52">
        <v>80</v>
      </c>
      <c r="E52" s="51" t="s">
        <v>1339</v>
      </c>
    </row>
    <row r="53" spans="1:5" x14ac:dyDescent="0.2">
      <c r="A53" s="17" t="s">
        <v>1340</v>
      </c>
      <c r="B53" s="18" t="s">
        <v>1341</v>
      </c>
      <c r="C53" s="19" t="s">
        <v>1282</v>
      </c>
      <c r="D53" s="52">
        <v>250</v>
      </c>
      <c r="E53" s="51" t="s">
        <v>1342</v>
      </c>
    </row>
    <row r="54" spans="1:5" x14ac:dyDescent="0.2">
      <c r="A54" s="17" t="s">
        <v>1343</v>
      </c>
      <c r="B54" s="18" t="s">
        <v>1344</v>
      </c>
      <c r="C54" s="19" t="s">
        <v>1282</v>
      </c>
      <c r="D54" s="52">
        <v>1</v>
      </c>
      <c r="E54" s="114" t="s">
        <v>1345</v>
      </c>
    </row>
    <row r="55" spans="1:5" x14ac:dyDescent="0.2">
      <c r="A55" s="17" t="s">
        <v>1346</v>
      </c>
      <c r="B55" s="18" t="s">
        <v>1347</v>
      </c>
      <c r="C55" s="19" t="s">
        <v>1282</v>
      </c>
      <c r="D55" s="52">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52">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s">
        <v>1625</v>
      </c>
    </row>
    <row r="79" spans="1:5" x14ac:dyDescent="0.2">
      <c r="A79" t="s">
        <v>1626</v>
      </c>
      <c r="B79" s="18" t="s">
        <v>1627</v>
      </c>
      <c r="C79" s="19" t="s">
        <v>1274</v>
      </c>
      <c r="D79" s="22">
        <f>Biology!$D$60</f>
        <v>0.226086956522</v>
      </c>
      <c r="E79" s="67" t="s">
        <v>1628</v>
      </c>
    </row>
    <row r="80" spans="1:5" x14ac:dyDescent="0.2">
      <c r="A80" t="s">
        <v>1629</v>
      </c>
      <c r="B80" s="18" t="s">
        <v>1630</v>
      </c>
      <c r="C80" s="19" t="s">
        <v>1001</v>
      </c>
      <c r="D80" s="22">
        <f>Biology!$D$27</f>
        <v>0.36477</v>
      </c>
      <c r="E80" s="67" t="s">
        <v>1631</v>
      </c>
    </row>
    <row r="81" spans="1:5" x14ac:dyDescent="0.2">
      <c r="A81" t="s">
        <v>1632</v>
      </c>
      <c r="B81" s="18" t="s">
        <v>1633</v>
      </c>
      <c r="C81" s="19" t="s">
        <v>577</v>
      </c>
      <c r="D81" s="22">
        <f>'Mass Transfer'!$D$32</f>
        <v>1.997672318404e-09</v>
      </c>
      <c r="E81" s="67" t="s">
        <v>1634</v>
      </c>
    </row>
    <row r="82" spans="1:5" x14ac:dyDescent="0.2">
      <c r="A82" t="s">
        <v>1635</v>
      </c>
      <c r="B82" s="18" t="s">
        <v>1636</v>
      </c>
      <c r="C82" s="19" t="s">
        <v>858</v>
      </c>
      <c r="D82" s="22">
        <f>Biology!$D$6/1000</f>
        <v>0.015</v>
      </c>
      <c r="E82" s="67" t="s">
        <v>859</v>
      </c>
    </row>
    <row r="83" spans="1:5" ht="60" x14ac:dyDescent="0.2">
      <c r="A83" t="s">
        <v>1637</v>
      </c>
      <c r="B83" s="18" t="s">
        <v>1638</v>
      </c>
      <c r="C83" s="19" t="s">
        <v>1070</v>
      </c>
      <c r="D83" s="36">
        <v>4.0000000000000001E-3</v>
      </c>
      <c r="E83" s="75" t="s">
        <v>1639</v>
      </c>
    </row>
    <row r="84" spans="1:5" ht="24" x14ac:dyDescent="0.2">
      <c r="A84" t="s">
        <v>1640</v>
      </c>
      <c r="B84" s="18" t="s">
        <v>1641</v>
      </c>
      <c r="C84" s="19" t="s">
        <v>1274</v>
      </c>
      <c r="D84" s="52">
        <v>0.64400000000000002</v>
      </c>
      <c r="E84" s="99" t="s">
        <v>1642</v>
      </c>
    </row>
    <row r="85" spans="1:5" ht="36" x14ac:dyDescent="0.2">
      <c r="A85" t="s">
        <v>1643</v>
      </c>
      <c r="B85" s="18" t="s">
        <v>1644</v>
      </c>
      <c r="C85" s="19" t="s">
        <v>1001</v>
      </c>
      <c r="D85" s="22">
        <f>ec_DO_frac*ec_O2_ceil</f>
        <v>0.08246973913</v>
      </c>
      <c r="E85" s="67" t="s">
        <v>1645</v>
      </c>
    </row>
    <row r="86" spans="1:5" ht="48" x14ac:dyDescent="0.2">
      <c r="A86" t="s">
        <v>1646</v>
      </c>
      <c r="B86" s="18" t="s">
        <v>1647</v>
      </c>
      <c r="C86" s="19" t="s">
        <v>1076</v>
      </c>
      <c r="D86" s="22">
        <f>z_e_ORR*F_const*(km_O2/100)*ec_DO_design*(A_cath_wet/10000)</f>
        <v>0.0001281655506682</v>
      </c>
      <c r="E86" s="67" t="s">
        <v>1648</v>
      </c>
    </row>
    <row r="87" spans="1:5" x14ac:dyDescent="0.2">
      <c r="A87" t="s">
        <v>1649</v>
      </c>
      <c r="B87" s="18" t="s">
        <v>1650</v>
      </c>
      <c r="C87" s="19" t="s">
        <v>1076</v>
      </c>
      <c r="D87" s="22">
        <f>z_e_ORR*F_const*(km_O2/100)*ec_O2_ceil*(A_cath_wet/10000)</f>
        <v>0.0005668860894942</v>
      </c>
      <c r="E87" s="67" t="s">
        <v>1651</v>
      </c>
    </row>
    <row r="88" spans="1:5" ht="36" x14ac:dyDescent="0.2">
      <c r="A88" t="s">
        <v>1652</v>
      </c>
      <c r="B88" s="18" t="s">
        <v>1653</v>
      </c>
      <c r="C88" s="19" t="s">
        <v>1274</v>
      </c>
      <c r="D88" s="22">
        <f>MAX(0,1-i_ORR_design/I_app)</f>
        <v>0.977475298652</v>
      </c>
      <c r="E88" s="67" t="s">
        <v>1654</v>
      </c>
    </row>
    <row r="89" spans="1:5" x14ac:dyDescent="0.2">
      <c r="A89" t="s">
        <v>1655</v>
      </c>
      <c r="B89" s="18" t="s">
        <v>1656</v>
      </c>
      <c r="C89" s="19" t="s">
        <v>1274</v>
      </c>
      <c r="D89" s="22">
        <f>MAX(0,1-i_ORR_ceiling/I_app)</f>
        <v>0.90037151327</v>
      </c>
      <c r="E89" s="67" t="s">
        <v>1657</v>
      </c>
    </row>
    <row r="90" spans="1:5" x14ac:dyDescent="0.2">
      <c r="A90" s="5" t="s">
        <v>1658</v>
      </c>
    </row>
    <row r="91" spans="1:5" ht="48" x14ac:dyDescent="0.2">
      <c r="A91" t="s">
        <v>1659</v>
      </c>
      <c r="B91" s="18" t="s">
        <v>1660</v>
      </c>
      <c r="C91" s="19" t="s">
        <v>1274</v>
      </c>
      <c r="D91" s="36">
        <v>0.15</v>
      </c>
      <c r="E91" s="75" t="s">
        <v>1661</v>
      </c>
    </row>
    <row r="92" spans="1:5" x14ac:dyDescent="0.2">
      <c r="A92" t="s">
        <v>1662</v>
      </c>
      <c r="B92" s="18" t="s">
        <v>1663</v>
      </c>
      <c r="C92" s="19" t="s">
        <v>1258</v>
      </c>
      <c r="D92" s="52">
        <v>34.014699999999998</v>
      </c>
      <c r="E92" s="99" t="s">
        <v>1664</v>
      </c>
    </row>
    <row r="93" spans="1:5" ht="24" x14ac:dyDescent="0.2">
      <c r="A93" t="s">
        <v>1665</v>
      </c>
      <c r="B93" s="18" t="s">
        <v>1666</v>
      </c>
      <c r="C93" s="19" t="s">
        <v>1266</v>
      </c>
      <c r="D93" s="22">
        <f>f_HOOH*i_ORR_design/(2*F_const)*M_H2O2*1000*3600/ec_V_L</f>
        <v>0.813296984002</v>
      </c>
      <c r="E93" s="67" t="s">
        <v>1667</v>
      </c>
    </row>
    <row r="94" spans="1:5" ht="48" x14ac:dyDescent="0.2">
      <c r="A94" t="s">
        <v>1668</v>
      </c>
      <c r="B94" s="18" t="s">
        <v>1669</v>
      </c>
      <c r="C94" s="19" t="s">
        <v>639</v>
      </c>
      <c r="D94" s="36">
        <v>4.1000000000000003E-3</v>
      </c>
      <c r="E94" s="75" t="s">
        <v>1670</v>
      </c>
    </row>
    <row r="95" spans="1:5" ht="48" x14ac:dyDescent="0.2">
      <c r="A95" t="s">
        <v>1671</v>
      </c>
      <c r="B95" s="18" t="s">
        <v>1672</v>
      </c>
      <c r="C95" s="19" t="s">
        <v>1270</v>
      </c>
      <c r="D95" s="22">
        <f>r_H2O2/(k_cat_cells*3600)</f>
        <v>0.05510142168</v>
      </c>
      <c r="E95" s="67" t="s">
        <v>1673</v>
      </c>
    </row>
    <row r="96" spans="1:5" x14ac:dyDescent="0.2">
      <c r="A96" t="s">
        <v>1674</v>
      </c>
      <c r="B96" s="18" t="s">
        <v>1675</v>
      </c>
      <c r="C96" s="19" t="s">
        <v>1270</v>
      </c>
      <c r="D96" s="22">
        <f>r_H2O2</f>
        <v>0.813296984002</v>
      </c>
      <c r="E96" s="67" t="s">
        <v>1676</v>
      </c>
    </row>
    <row r="97" spans="1:5" ht="60" x14ac:dyDescent="0.2">
      <c r="A97" t="s">
        <v>1677</v>
      </c>
      <c r="B97" s="18" t="s">
        <v>1678</v>
      </c>
      <c r="C97" s="19" t="s">
        <v>1270</v>
      </c>
      <c r="D97" s="52">
        <v>0.17</v>
      </c>
      <c r="E97" s="67" t="s">
        <v>1679</v>
      </c>
    </row>
    <row r="98" spans="1:5" ht="24" x14ac:dyDescent="0.2">
      <c r="A98" t="s">
        <v>1680</v>
      </c>
      <c r="B98" s="18" t="s">
        <v>1681</v>
      </c>
      <c r="C98" s="19" t="s">
        <v>962</v>
      </c>
      <c r="D98" s="22">
        <f>IF(r_H2O2&gt;0,H2O2_thresh/r_H2O2*60,NA())</f>
        <v>12.541544110741</v>
      </c>
      <c r="E98" s="67" t="s">
        <v>1682</v>
      </c>
    </row>
    <row r="99" spans="1:5" ht="48" x14ac:dyDescent="0.2">
      <c r="A99" t="s">
        <v>1683</v>
      </c>
      <c r="B99" s="18" t="s">
        <v>1684</v>
      </c>
      <c r="C99" s="19" t="s">
        <v>1274</v>
      </c>
      <c r="D99" s="22"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22">
        <f>Chemistry!$D$133</f>
        <v>0.0001417839262056</v>
      </c>
      <c r="E101" s="67" t="s">
        <v>1689</v>
      </c>
    </row>
    <row r="102" spans="1:5" x14ac:dyDescent="0.2">
      <c r="A102" t="s">
        <v>1690</v>
      </c>
      <c r="B102" s="18" t="s">
        <v>1691</v>
      </c>
      <c r="C102" s="19" t="s">
        <v>1274</v>
      </c>
      <c r="D102" s="22">
        <f>Chemistry!$D$158</f>
        <v>0.0</v>
      </c>
      <c r="E102" s="70" t="s">
        <v>1692</v>
      </c>
    </row>
    <row r="103" spans="1:5" ht="36" x14ac:dyDescent="0.2">
      <c r="A103" t="s">
        <v>1693</v>
      </c>
      <c r="B103" s="18" t="s">
        <v>1694</v>
      </c>
      <c r="C103" s="19" t="s">
        <v>1274</v>
      </c>
      <c r="D103" s="22">
        <f>ec_I_Cl/I_app</f>
        <v>0.024918088964</v>
      </c>
      <c r="E103" s="67" t="s">
        <v>1695</v>
      </c>
    </row>
    <row r="104" spans="1:5" ht="36" x14ac:dyDescent="0.2">
      <c r="A104" t="s">
        <v>1696</v>
      </c>
      <c r="B104" s="18" t="s">
        <v>1697</v>
      </c>
      <c r="C104" s="19" t="s">
        <v>1274</v>
      </c>
      <c r="D104" s="22">
        <f>MAX(0,1-f_Cl_anode-IF(ISNUMBER(ec_corr_I),ec_corr_I,0))</f>
        <v>0.975081911036</v>
      </c>
      <c r="E104" s="67" t="s">
        <v>1698</v>
      </c>
    </row>
    <row r="105" spans="1:5" x14ac:dyDescent="0.2">
      <c r="A105" s="5" t="s">
        <v>1699</v>
      </c>
    </row>
    <row r="106" spans="1:5" ht="24" x14ac:dyDescent="0.2">
      <c r="A106" t="s">
        <v>1700</v>
      </c>
      <c r="B106" s="18" t="s">
        <v>1701</v>
      </c>
      <c r="C106" s="19" t="s">
        <v>1595</v>
      </c>
      <c r="D106" s="22">
        <f>Chemistry!$D$201</f>
        <v>1.229</v>
      </c>
      <c r="E106" s="99" t="s">
        <v>1702</v>
      </c>
    </row>
    <row r="107" spans="1:5" ht="48" x14ac:dyDescent="0.2">
      <c r="A107" t="s">
        <v>1703</v>
      </c>
      <c r="B107" s="18" t="s">
        <v>1704</v>
      </c>
      <c r="C107" s="19" t="s">
        <v>1705</v>
      </c>
      <c r="D107" s="36">
        <v>0.12</v>
      </c>
      <c r="E107" s="75" t="s">
        <v>1706</v>
      </c>
    </row>
    <row r="108" spans="1:5" ht="48" x14ac:dyDescent="0.2">
      <c r="A108" t="s">
        <v>1707</v>
      </c>
      <c r="B108" s="18" t="s">
        <v>1708</v>
      </c>
      <c r="C108" s="19" t="s">
        <v>1709</v>
      </c>
      <c r="D108" s="36">
        <v>1E-10</v>
      </c>
      <c r="E108" s="41" t="s">
        <v>1710</v>
      </c>
    </row>
    <row r="109" spans="1:5" ht="36" x14ac:dyDescent="0.2">
      <c r="A109" t="s">
        <v>1711</v>
      </c>
      <c r="B109" s="18" t="s">
        <v>1712</v>
      </c>
      <c r="C109" s="19" t="s">
        <v>1705</v>
      </c>
      <c r="D109" s="36">
        <v>0.14000000000000001</v>
      </c>
      <c r="E109" s="67" t="s">
        <v>1713</v>
      </c>
    </row>
    <row r="110" spans="1:5" ht="24" x14ac:dyDescent="0.2">
      <c r="A110" t="s">
        <v>1714</v>
      </c>
      <c r="B110" s="18" t="s">
        <v>1715</v>
      </c>
      <c r="C110" s="19" t="s">
        <v>1709</v>
      </c>
      <c r="D110" s="36">
        <v>1.5E-6</v>
      </c>
      <c r="E110" s="67" t="s">
        <v>1716</v>
      </c>
    </row>
    <row r="111" spans="1:5" x14ac:dyDescent="0.2">
      <c r="A111" t="s">
        <v>1717</v>
      </c>
      <c r="B111" s="18" t="s">
        <v>1718</v>
      </c>
      <c r="C111" s="19" t="s">
        <v>1595</v>
      </c>
      <c r="D111" s="22">
        <f>b_anode*LOG10(j_anode/1000/j0_anode)</f>
        <v>0.894142423496</v>
      </c>
      <c r="E111" s="67" t="s">
        <v>1719</v>
      </c>
    </row>
    <row r="112" spans="1:5" x14ac:dyDescent="0.2">
      <c r="A112" t="s">
        <v>1720</v>
      </c>
      <c r="B112" s="18" t="s">
        <v>1721</v>
      </c>
      <c r="C112" s="19" t="s">
        <v>1595</v>
      </c>
      <c r="D112" s="22">
        <f>b_cath*LOG10(j_cathode/1000/j0_cath)</f>
        <v>0.458513384477</v>
      </c>
      <c r="E112" s="67" t="s">
        <v>1722</v>
      </c>
    </row>
    <row r="113" spans="1:5" ht="72" x14ac:dyDescent="0.2">
      <c r="A113" t="s">
        <v>1723</v>
      </c>
      <c r="B113" s="18" t="s">
        <v>1724</v>
      </c>
      <c r="C113" s="19" t="s">
        <v>1595</v>
      </c>
      <c r="D113" s="36">
        <v>-0.15</v>
      </c>
      <c r="E113" s="75" t="s">
        <v>1725</v>
      </c>
    </row>
    <row r="114" spans="1:5" x14ac:dyDescent="0.2">
      <c r="A114" t="s">
        <v>1726</v>
      </c>
      <c r="B114" s="18" t="s">
        <v>1727</v>
      </c>
      <c r="C114" s="19" t="s">
        <v>1507</v>
      </c>
      <c r="D114" s="22">
        <f>Chemistry!$D$180</f>
        <v>0.706946657056</v>
      </c>
      <c r="E114" s="67" t="s">
        <v>1728</v>
      </c>
    </row>
    <row r="115" spans="1:5" x14ac:dyDescent="0.2">
      <c r="A115" t="s">
        <v>1729</v>
      </c>
      <c r="B115" s="18" t="s">
        <v>1730</v>
      </c>
      <c r="C115" s="19" t="s">
        <v>146</v>
      </c>
      <c r="D115" s="22">
        <f>Geometry!$D$92</f>
        <v>14.0</v>
      </c>
      <c r="E115" s="70" t="s">
        <v>1731</v>
      </c>
    </row>
    <row r="116" spans="1:5" ht="48" x14ac:dyDescent="0.2">
      <c r="A116" t="s">
        <v>1732</v>
      </c>
      <c r="B116" s="18" t="s">
        <v>1733</v>
      </c>
      <c r="C116" s="19" t="s">
        <v>1274</v>
      </c>
      <c r="D116" s="36">
        <v>2</v>
      </c>
      <c r="E116" s="75" t="s">
        <v>1734</v>
      </c>
    </row>
    <row r="117" spans="1:5" ht="24" x14ac:dyDescent="0.2">
      <c r="A117" t="s">
        <v>1735</v>
      </c>
      <c r="B117" s="18" t="s">
        <v>1736</v>
      </c>
      <c r="C117" s="19" t="s">
        <v>1737</v>
      </c>
      <c r="D117" s="22">
        <f>k_geom*ACOSH(ec_gap/anode_dia)/(PI()*ec_kappa*(L_sub/1000))</f>
        <v>146.239829708796</v>
      </c>
      <c r="E117" s="67" t="s">
        <v>1738</v>
      </c>
    </row>
    <row r="118" spans="1:5" ht="24" x14ac:dyDescent="0.2">
      <c r="A118" t="s">
        <v>1739</v>
      </c>
      <c r="B118" s="18" t="s">
        <v>1740</v>
      </c>
      <c r="C118" s="19" t="s">
        <v>1595</v>
      </c>
      <c r="D118" s="22">
        <f>I_app*R_cell</f>
        <v>0.832104631043</v>
      </c>
      <c r="E118" s="67" t="s">
        <v>1741</v>
      </c>
    </row>
    <row r="119" spans="1:5" ht="36" x14ac:dyDescent="0.2">
      <c r="A119" t="s">
        <v>1742</v>
      </c>
      <c r="B119" s="18" t="s">
        <v>1743</v>
      </c>
      <c r="C119" s="19" t="s">
        <v>1595</v>
      </c>
      <c r="D119" s="22">
        <f>ec_E_rev+eta_anode+eta_cath+pcet_credit+V_IR</f>
        <v>3.263760439016</v>
      </c>
      <c r="E119" s="67" t="s">
        <v>1744</v>
      </c>
    </row>
    <row r="120" spans="1:5" ht="24" x14ac:dyDescent="0.2">
      <c r="A120" t="s">
        <v>1745</v>
      </c>
      <c r="B120" s="18" t="s">
        <v>1746</v>
      </c>
      <c r="C120" s="19" t="s">
        <v>1595</v>
      </c>
      <c r="D120" s="52">
        <v>5</v>
      </c>
      <c r="E120" s="67" t="s">
        <v>1747</v>
      </c>
    </row>
    <row r="121" spans="1:5" x14ac:dyDescent="0.2">
      <c r="A121" t="s">
        <v>1748</v>
      </c>
      <c r="B121" s="18" t="s">
        <v>1749</v>
      </c>
      <c r="C121" s="19" t="s">
        <v>1595</v>
      </c>
      <c r="D121" s="22">
        <f>V_rail-V_cell_est</f>
        <v>1.736239560984</v>
      </c>
      <c r="E121" s="67" t="s">
        <v>1750</v>
      </c>
    </row>
    <row r="122" spans="1:5" ht="24" x14ac:dyDescent="0.2">
      <c r="A122" t="s">
        <v>1751</v>
      </c>
      <c r="B122" s="18" t="s">
        <v>1752</v>
      </c>
      <c r="C122" s="19" t="s">
        <v>1274</v>
      </c>
      <c r="D122" s="22" t="str">
        <f>IF(V_headroom&lt;0,"OVER RAIL — the drive cannot deliver this current; the linear current law will not hold",IF(V_headroom&lt;1,"watch — within 1 V of the rail ("&amp;TEXT(V_cell_est,"0.00")&amp;" V of "&amp;TEXT(V_rail,"0")&amp;" V); expect the current law to bend","OK — "&amp;TEXT(V_cell_est,"0.00")&amp;" V estimated against a "&amp;TEXT(V_rail,"0")&amp;" V rail"))</f>
        <v>OK — 3.26 V estimated against a 5 V rail</v>
      </c>
      <c r="E122" s="67" t="s">
        <v>1753</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s">
        <v>845</v>
      </c>
      <c r="B5" s="18" t="s">
        <v>846</v>
      </c>
      <c r="C5" s="19" t="s">
        <v>847</v>
      </c>
      <c r="D5" s="64">
        <f>'Mass Transfer'!$D$162</f>
        <v>0.008590210622</v>
      </c>
      <c r="E5" s="51" t="s">
        <v>1158</v>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52">
        <f>'Mass Transfer'!$D$101</f>
        <v>8.314462618</v>
      </c>
      <c r="E9" s="84" t="s">
        <v>1900</v>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 t="shared" ref="D13:D20" si="0">B13*EXP(-C13*1000/R_gas*(1/TKc-1/298.15))</f>
        <v>4.45e-07</v>
      </c>
      <c r="E13" s="84" t="s">
        <v>870</v>
      </c>
    </row>
    <row r="14" spans="1:6" x14ac:dyDescent="0.2">
      <c r="A14" s="17" t="s">
        <v>872</v>
      </c>
      <c r="B14" s="52">
        <v>4.6900000000000001E-11</v>
      </c>
      <c r="C14" s="52">
        <v>14.9</v>
      </c>
      <c r="D14" s="64">
        <f t="shared" si="0"/>
        <v>4.69e-11</v>
      </c>
      <c r="E14" s="84" t="s">
        <v>870</v>
      </c>
    </row>
    <row r="15" spans="1:6" x14ac:dyDescent="0.2">
      <c r="A15" s="17" t="s">
        <v>873</v>
      </c>
      <c r="B15" s="52">
        <v>7.1000000000000004E-3</v>
      </c>
      <c r="C15" s="52">
        <v>-8</v>
      </c>
      <c r="D15" s="64">
        <f t="shared" si="0"/>
        <v>0.0071</v>
      </c>
      <c r="E15" s="84" t="s">
        <v>870</v>
      </c>
    </row>
    <row r="16" spans="1:6" x14ac:dyDescent="0.2">
      <c r="A16" s="17" t="s">
        <v>874</v>
      </c>
      <c r="B16" s="52">
        <v>6.3100000000000003E-8</v>
      </c>
      <c r="C16" s="52">
        <v>3.6</v>
      </c>
      <c r="D16" s="64">
        <f t="shared" si="0"/>
        <v>6.31e-08</v>
      </c>
      <c r="E16" s="84" t="s">
        <v>870</v>
      </c>
    </row>
    <row r="17" spans="1:6" x14ac:dyDescent="0.2">
      <c r="A17" s="17" t="s">
        <v>1007</v>
      </c>
      <c r="B17" s="52">
        <v>4.1999999999999998E-13</v>
      </c>
      <c r="C17" s="52">
        <v>16</v>
      </c>
      <c r="D17" s="64">
        <f t="shared" si="0"/>
        <v>4.2e-13</v>
      </c>
      <c r="E17" s="84" t="s">
        <v>870</v>
      </c>
    </row>
    <row r="18" spans="1:6" x14ac:dyDescent="0.2">
      <c r="A18" s="17" t="s">
        <v>875</v>
      </c>
      <c r="B18" s="52">
        <v>5.6000000000000003E-10</v>
      </c>
      <c r="C18" s="52">
        <v>52.2</v>
      </c>
      <c r="D18" s="64">
        <f t="shared" si="0"/>
        <v>5.6e-10</v>
      </c>
      <c r="E18" s="84" t="s">
        <v>870</v>
      </c>
    </row>
    <row r="19" spans="1:6" x14ac:dyDescent="0.2">
      <c r="A19" s="17" t="s">
        <v>876</v>
      </c>
      <c r="B19" s="52">
        <v>1E-14</v>
      </c>
      <c r="C19" s="52">
        <v>55.8</v>
      </c>
      <c r="D19" s="64">
        <f t="shared" si="0"/>
        <v>1e-14</v>
      </c>
      <c r="E19" s="84" t="s">
        <v>870</v>
      </c>
    </row>
    <row r="20" spans="1:6" x14ac:dyDescent="0.2">
      <c r="A20" s="17" t="s">
        <v>877</v>
      </c>
      <c r="B20" s="52">
        <v>2.8840315031266057E-8</v>
      </c>
      <c r="C20" s="52">
        <v>13.8</v>
      </c>
      <c r="D20" s="64">
        <f t="shared" si="0"/>
        <v>2.884031503127e-08</v>
      </c>
      <c r="E20" s="84" t="s">
        <v>870</v>
      </c>
    </row>
    <row r="21" spans="1:6" x14ac:dyDescent="0.2">
      <c r="A21" s="17" t="s">
        <v>878</v>
      </c>
      <c r="B21" s="18" t="s">
        <v>879</v>
      </c>
      <c r="C21" s="19" t="s">
        <v>880</v>
      </c>
      <c r="D21" s="62">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52">
        <v>2.2999999999999998</v>
      </c>
      <c r="E25" s="51" t="s">
        <v>884</v>
      </c>
    </row>
    <row r="26" spans="1:6" x14ac:dyDescent="0.2">
      <c r="A26" s="17" t="s">
        <v>892</v>
      </c>
      <c r="B26" s="52">
        <v>141.96</v>
      </c>
      <c r="C26" s="52">
        <v>2.895</v>
      </c>
      <c r="D26" s="52">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52">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52">
        <v>0.5</v>
      </c>
      <c r="E31" s="51" t="s">
        <v>885</v>
      </c>
    </row>
    <row r="32" spans="1:6" x14ac:dyDescent="0.2">
      <c r="A32" s="17" t="s">
        <v>898</v>
      </c>
      <c r="B32" s="52">
        <v>132.13999999999999</v>
      </c>
      <c r="C32" s="52">
        <v>0.94299999999999995</v>
      </c>
      <c r="D32" s="52">
        <v>0.47</v>
      </c>
      <c r="E32" s="51" t="s">
        <v>885</v>
      </c>
    </row>
    <row r="33" spans="1:5" ht="24" x14ac:dyDescent="0.2">
      <c r="A33" s="17" t="s">
        <v>899</v>
      </c>
      <c r="B33" s="52">
        <v>110.98</v>
      </c>
      <c r="C33" s="20">
        <v>0</v>
      </c>
      <c r="D33" s="52">
        <v>0.01</v>
      </c>
      <c r="E33" s="51" t="s">
        <v>1062</v>
      </c>
    </row>
    <row r="35" spans="1:5" x14ac:dyDescent="0.2">
      <c r="A35" s="17" t="s">
        <v>900</v>
      </c>
      <c r="B35" s="18" t="s">
        <v>901</v>
      </c>
      <c r="C35" s="19" t="s">
        <v>902</v>
      </c>
      <c r="D35" s="62">
        <f>mc_Na2HPO4/MW_Na2HPO4+mc_NaH2PO4_2H2O/MW_NaH2PO4_2H2O</f>
        <v>0.04000719577</v>
      </c>
      <c r="E35" s="51" t="s">
        <v>903</v>
      </c>
    </row>
    <row r="36" spans="1:5" x14ac:dyDescent="0.2">
      <c r="A36" s="17" t="s">
        <v>904</v>
      </c>
      <c r="B36" s="18" t="s">
        <v>905</v>
      </c>
      <c r="C36" s="19" t="s">
        <v>906</v>
      </c>
      <c r="D36" s="62">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62">
        <f>2*mc_NH42SO4/MW_NH42SO4</f>
        <v>0.014272741032</v>
      </c>
      <c r="E37" s="51" t="s">
        <v>911</v>
      </c>
    </row>
    <row r="38" spans="1:5" x14ac:dyDescent="0.2">
      <c r="A38" s="17" t="s">
        <v>912</v>
      </c>
      <c r="B38" s="18" t="s">
        <v>913</v>
      </c>
      <c r="C38" s="19" t="s">
        <v>914</v>
      </c>
      <c r="D38" s="62">
        <f>0</f>
        <v>0.0</v>
      </c>
      <c r="E38" s="51" t="s">
        <v>915</v>
      </c>
    </row>
    <row r="39" spans="1:5" x14ac:dyDescent="0.2">
      <c r="A39" s="17" t="s">
        <v>916</v>
      </c>
      <c r="B39" s="18" t="s">
        <v>917</v>
      </c>
      <c r="C39" s="19" t="s">
        <v>918</v>
      </c>
      <c r="D39" s="62">
        <f>udg_KH2PO4/MW_KH2PO4+udg_Na2HPO4/MW_Na2HPO4</f>
        <v>0.037329366919</v>
      </c>
      <c r="E39" s="51" t="s">
        <v>919</v>
      </c>
    </row>
    <row r="40" spans="1:5" x14ac:dyDescent="0.2">
      <c r="A40" s="17" t="s">
        <v>920</v>
      </c>
      <c r="B40" s="18" t="s">
        <v>921</v>
      </c>
      <c r="C40" s="19" t="s">
        <v>922</v>
      </c>
      <c r="D40" s="62">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62">
        <f>2*udg_NH42SO4/MW_NH42SO4</f>
        <v>0.007113667323</v>
      </c>
      <c r="E41" s="51" t="s">
        <v>927</v>
      </c>
    </row>
    <row r="42" spans="1:5" x14ac:dyDescent="0.2">
      <c r="A42" s="17" t="s">
        <v>928</v>
      </c>
      <c r="B42" s="18" t="s">
        <v>929</v>
      </c>
      <c r="C42" s="19" t="s">
        <v>930</v>
      </c>
      <c r="D42" s="62">
        <f>2*udg_CaCl2/MW_CaCl2</f>
        <v>0.0001802126509281</v>
      </c>
      <c r="E42" s="51" t="s">
        <v>931</v>
      </c>
    </row>
    <row r="44" spans="1:5" x14ac:dyDescent="0.2">
      <c r="A44" s="17" t="s">
        <v>932</v>
      </c>
      <c r="B44" s="18" t="s">
        <v>933</v>
      </c>
      <c r="C44" s="19" t="s">
        <v>934</v>
      </c>
      <c r="D44" s="62">
        <f>IF(Summary!$D$5="MC02",SID_mc02,IF(Summary!$D$5="UdG phosphate",SID_udg,NA()))</f>
        <v>0.063142947676</v>
      </c>
      <c r="E44" s="51" t="s">
        <v>935</v>
      </c>
    </row>
    <row r="45" spans="1:5" x14ac:dyDescent="0.2">
      <c r="A45" s="17" t="s">
        <v>936</v>
      </c>
      <c r="B45" s="18" t="s">
        <v>937</v>
      </c>
      <c r="C45" s="19" t="s">
        <v>938</v>
      </c>
      <c r="D45" s="62">
        <f>IF(Summary!$D$5="MC02",PT_mc02,IF(Summary!$D$5="UdG phosphate",PT_udg,NA()))</f>
        <v>0.037329366919</v>
      </c>
      <c r="E45" s="51" t="s">
        <v>939</v>
      </c>
    </row>
    <row r="46" spans="1:5" x14ac:dyDescent="0.2">
      <c r="A46" s="17" t="s">
        <v>940</v>
      </c>
      <c r="B46" s="18" t="s">
        <v>941</v>
      </c>
      <c r="C46" s="19" t="s">
        <v>942</v>
      </c>
      <c r="D46" s="62">
        <f>IF(Summary!$D$5="MC02",NT_mc02,IF(Summary!$D$5="UdG phosphate",NT_udg,NA()))</f>
        <v>0.007113667323</v>
      </c>
      <c r="E46" s="51" t="s">
        <v>943</v>
      </c>
    </row>
    <row r="47" spans="1:5" x14ac:dyDescent="0.2">
      <c r="A47" s="17" t="s">
        <v>944</v>
      </c>
      <c r="B47" s="18" t="s">
        <v>945</v>
      </c>
      <c r="C47" s="19" t="s">
        <v>946</v>
      </c>
      <c r="D47" s="62">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 t="shared" ref="C50:C81" si="2">IF(AND(B50&gt;=0,B51&lt;0),A50+0.1*B50/(B50-B51),0)</f>
        <v>0.0</v>
      </c>
    </row>
    <row r="51" spans="1:3" x14ac:dyDescent="0.2">
      <c r="A51" s="20">
        <v>4.0999999999999996</v>
      </c>
      <c r="B51" s="64">
        <f t="shared" si="1"/>
        <v>0.033095991179</v>
      </c>
      <c r="C51" s="64">
        <f t="shared" si="2"/>
        <v>0.0</v>
      </c>
    </row>
    <row r="52" spans="1:3" x14ac:dyDescent="0.2">
      <c r="A52" s="20">
        <v>4.2</v>
      </c>
      <c r="B52" s="64">
        <f t="shared" si="1"/>
        <v>0.032986799309</v>
      </c>
      <c r="C52" s="64">
        <f t="shared" si="2"/>
        <v>0.0</v>
      </c>
    </row>
    <row r="53" spans="1:3" x14ac:dyDescent="0.2">
      <c r="A53" s="20">
        <v>4.3</v>
      </c>
      <c r="B53" s="64">
        <f t="shared" si="1"/>
        <v>0.032880652062</v>
      </c>
      <c r="C53" s="64">
        <f t="shared" si="2"/>
        <v>0.0</v>
      </c>
    </row>
    <row r="54" spans="1:3" x14ac:dyDescent="0.2">
      <c r="A54" s="20">
        <v>4.4000000000000004</v>
      </c>
      <c r="B54" s="64">
        <f t="shared" si="1"/>
        <v>0.032771986272</v>
      </c>
      <c r="C54" s="64">
        <f t="shared" si="2"/>
        <v>0.0</v>
      </c>
    </row>
    <row r="55" spans="1:3" x14ac:dyDescent="0.2">
      <c r="A55" s="20">
        <v>4.5</v>
      </c>
      <c r="B55" s="64">
        <f t="shared" si="1"/>
        <v>0.032655096798</v>
      </c>
      <c r="C55" s="64">
        <f t="shared" si="2"/>
        <v>0.0</v>
      </c>
    </row>
    <row r="56" spans="1:3" x14ac:dyDescent="0.2">
      <c r="A56" s="20">
        <v>4.5999999999999996</v>
      </c>
      <c r="B56" s="64">
        <f t="shared" si="1"/>
        <v>0.032523849984</v>
      </c>
      <c r="C56" s="64">
        <f t="shared" si="2"/>
        <v>0.0</v>
      </c>
    </row>
    <row r="57" spans="1:3" x14ac:dyDescent="0.2">
      <c r="A57" s="20">
        <v>4.7</v>
      </c>
      <c r="B57" s="64">
        <f t="shared" si="1"/>
        <v>0.032371376227</v>
      </c>
      <c r="C57" s="64">
        <f t="shared" si="2"/>
        <v>0.0</v>
      </c>
    </row>
    <row r="58" spans="1:3" x14ac:dyDescent="0.2">
      <c r="A58" s="20">
        <v>4.8</v>
      </c>
      <c r="B58" s="64">
        <f t="shared" si="1"/>
        <v>0.032189729231</v>
      </c>
      <c r="C58" s="64">
        <f t="shared" si="2"/>
        <v>0.0</v>
      </c>
    </row>
    <row r="59" spans="1:3" x14ac:dyDescent="0.2">
      <c r="A59" s="20">
        <v>4.9000000000000004</v>
      </c>
      <c r="B59" s="64">
        <f t="shared" si="1"/>
        <v>0.031969498815</v>
      </c>
      <c r="C59" s="64">
        <f t="shared" si="2"/>
        <v>0.0</v>
      </c>
    </row>
    <row r="60" spans="1:3" x14ac:dyDescent="0.2">
      <c r="A60" s="20">
        <v>5</v>
      </c>
      <c r="B60" s="64">
        <f t="shared" si="1"/>
        <v>0.031699363744</v>
      </c>
      <c r="C60" s="64">
        <f t="shared" si="2"/>
        <v>0.0</v>
      </c>
    </row>
    <row r="61" spans="1:3" x14ac:dyDescent="0.2">
      <c r="A61" s="20">
        <v>5.0999999999999996</v>
      </c>
      <c r="B61" s="64">
        <f t="shared" si="1"/>
        <v>0.031365571066</v>
      </c>
      <c r="C61" s="64">
        <f t="shared" si="2"/>
        <v>0.0</v>
      </c>
    </row>
    <row r="62" spans="1:3" x14ac:dyDescent="0.2">
      <c r="A62" s="20">
        <v>5.2</v>
      </c>
      <c r="B62" s="64">
        <f t="shared" si="1"/>
        <v>0.030951329376</v>
      </c>
      <c r="C62" s="64">
        <f t="shared" si="2"/>
        <v>0.0</v>
      </c>
    </row>
    <row r="63" spans="1:3" x14ac:dyDescent="0.2">
      <c r="A63" s="20">
        <v>5.3</v>
      </c>
      <c r="B63" s="64">
        <f t="shared" si="1"/>
        <v>0.030436105853</v>
      </c>
      <c r="C63" s="64">
        <f t="shared" si="2"/>
        <v>0.0</v>
      </c>
    </row>
    <row r="64" spans="1:3" x14ac:dyDescent="0.2">
      <c r="A64" s="20">
        <v>5.4</v>
      </c>
      <c r="B64" s="64">
        <f t="shared" si="1"/>
        <v>0.029794821411</v>
      </c>
      <c r="C64" s="64">
        <f t="shared" si="2"/>
        <v>0.0</v>
      </c>
    </row>
    <row r="65" spans="1:3" x14ac:dyDescent="0.2">
      <c r="A65" s="20">
        <v>5.5</v>
      </c>
      <c r="B65" s="64">
        <f t="shared" si="1"/>
        <v>0.028996945562</v>
      </c>
      <c r="C65" s="64">
        <f t="shared" si="2"/>
        <v>0.0</v>
      </c>
    </row>
    <row r="66" spans="1:3" x14ac:dyDescent="0.2">
      <c r="A66" s="20">
        <v>5.6</v>
      </c>
      <c r="B66" s="64">
        <f t="shared" si="1"/>
        <v>0.028005502639</v>
      </c>
      <c r="C66" s="64">
        <f t="shared" si="2"/>
        <v>0.0</v>
      </c>
    </row>
    <row r="67" spans="1:3" x14ac:dyDescent="0.2">
      <c r="A67" s="20">
        <v>5.7</v>
      </c>
      <c r="B67" s="64">
        <f t="shared" si="1"/>
        <v>0.026776012764</v>
      </c>
      <c r="C67" s="64">
        <f t="shared" si="2"/>
        <v>0.0</v>
      </c>
    </row>
    <row r="68" spans="1:3" x14ac:dyDescent="0.2">
      <c r="A68" s="20">
        <v>5.8</v>
      </c>
      <c r="B68" s="64">
        <f t="shared" si="1"/>
        <v>0.025255400836</v>
      </c>
      <c r="C68" s="64">
        <f t="shared" si="2"/>
        <v>0.0</v>
      </c>
    </row>
    <row r="69" spans="1:3" x14ac:dyDescent="0.2">
      <c r="A69" s="20">
        <v>5.9</v>
      </c>
      <c r="B69" s="64">
        <f t="shared" si="1"/>
        <v>0.02338090709</v>
      </c>
      <c r="C69" s="64">
        <f t="shared" si="2"/>
        <v>0.0</v>
      </c>
    </row>
    <row r="70" spans="1:3" x14ac:dyDescent="0.2">
      <c r="A70" s="20">
        <v>6</v>
      </c>
      <c r="B70" s="64">
        <f t="shared" si="1"/>
        <v>0.021079010121</v>
      </c>
      <c r="C70" s="64">
        <f t="shared" si="2"/>
        <v>0.0</v>
      </c>
    </row>
    <row r="71" spans="1:3" x14ac:dyDescent="0.2">
      <c r="A71" s="20">
        <v>6.1</v>
      </c>
      <c r="B71" s="64">
        <f t="shared" si="1"/>
        <v>0.01826430841</v>
      </c>
      <c r="C71" s="64">
        <f t="shared" si="2"/>
        <v>0.0</v>
      </c>
    </row>
    <row r="72" spans="1:3" x14ac:dyDescent="0.2">
      <c r="A72" s="20">
        <v>6.2</v>
      </c>
      <c r="B72" s="64">
        <f t="shared" si="1"/>
        <v>0.014838178095</v>
      </c>
      <c r="C72" s="64">
        <f t="shared" si="2"/>
        <v>0.0</v>
      </c>
    </row>
    <row r="73" spans="1:3" x14ac:dyDescent="0.2">
      <c r="A73" s="20">
        <v>6.3</v>
      </c>
      <c r="B73" s="64">
        <f t="shared" si="1"/>
        <v>0.010686819787</v>
      </c>
      <c r="C73" s="64">
        <f t="shared" si="2"/>
        <v>0.0</v>
      </c>
    </row>
    <row r="74" spans="1:3" x14ac:dyDescent="0.2">
      <c r="A74" s="20">
        <v>6.4</v>
      </c>
      <c r="B74" s="64">
        <f t="shared" si="1"/>
        <v>0.005678038225</v>
      </c>
      <c r="C74" s="64">
        <f t="shared" si="2"/>
        <v>6.494284837612</v>
      </c>
    </row>
    <row r="75" spans="1:3" x14ac:dyDescent="0.2">
      <c r="A75" s="20">
        <v>6.5</v>
      </c>
      <c r="B75" s="64">
        <f t="shared" si="1"/>
        <v>-0.0003441795237407</v>
      </c>
      <c r="C75" s="64">
        <f t="shared" si="2"/>
        <v>0.0</v>
      </c>
    </row>
    <row r="76" spans="1:3" x14ac:dyDescent="0.2">
      <c r="A76" s="20">
        <v>6.6</v>
      </c>
      <c r="B76" s="64">
        <f t="shared" si="1"/>
        <v>-0.00756840932</v>
      </c>
      <c r="C76" s="64">
        <f t="shared" si="2"/>
        <v>0.0</v>
      </c>
    </row>
    <row r="77" spans="1:3" x14ac:dyDescent="0.2">
      <c r="A77" s="20">
        <v>6.7</v>
      </c>
      <c r="B77" s="64">
        <f t="shared" si="1"/>
        <v>-0.016228970854</v>
      </c>
      <c r="C77" s="64">
        <f t="shared" si="2"/>
        <v>0.0</v>
      </c>
    </row>
    <row r="78" spans="1:3" x14ac:dyDescent="0.2">
      <c r="A78" s="20">
        <v>6.8</v>
      </c>
      <c r="B78" s="64">
        <f t="shared" si="1"/>
        <v>-0.02662440719</v>
      </c>
      <c r="C78" s="64">
        <f t="shared" si="2"/>
        <v>0.0</v>
      </c>
    </row>
    <row r="79" spans="1:3" x14ac:dyDescent="0.2">
      <c r="A79" s="20">
        <v>6.9</v>
      </c>
      <c r="B79" s="64">
        <f t="shared" si="1"/>
        <v>-0.039141735033</v>
      </c>
      <c r="C79" s="64">
        <f t="shared" si="2"/>
        <v>0.0</v>
      </c>
    </row>
    <row r="80" spans="1:3" x14ac:dyDescent="0.2">
      <c r="A80" s="20">
        <v>7</v>
      </c>
      <c r="B80" s="64">
        <f t="shared" si="1"/>
        <v>-0.054286645726</v>
      </c>
      <c r="C80" s="64">
        <f t="shared" si="2"/>
        <v>0.0</v>
      </c>
    </row>
    <row r="81" spans="1:3" x14ac:dyDescent="0.2">
      <c r="A81" s="20">
        <v>7.1</v>
      </c>
      <c r="B81" s="64">
        <f t="shared" si="1"/>
        <v>-0.072719923595</v>
      </c>
      <c r="C81" s="64">
        <f t="shared" si="2"/>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 t="shared" ref="C82:C99" si="4">IF(AND(B82&gt;=0,B83&lt;0),A82+0.1*B82/(B82-B83),0)</f>
        <v>0.0</v>
      </c>
    </row>
    <row r="83" spans="1:3" x14ac:dyDescent="0.2">
      <c r="A83" s="20">
        <v>7.3</v>
      </c>
      <c r="B83" s="64">
        <f t="shared" si="3"/>
        <v>-0.123140508482</v>
      </c>
      <c r="C83" s="64">
        <f t="shared" si="4"/>
        <v>0.0</v>
      </c>
    </row>
    <row r="84" spans="1:3" x14ac:dyDescent="0.2">
      <c r="A84" s="20">
        <v>7.4</v>
      </c>
      <c r="B84" s="64">
        <f t="shared" si="3"/>
        <v>-0.157665823938</v>
      </c>
      <c r="C84" s="64">
        <f t="shared" si="4"/>
        <v>0.0</v>
      </c>
    </row>
    <row r="85" spans="1:3" x14ac:dyDescent="0.2">
      <c r="A85" s="20">
        <v>7.5</v>
      </c>
      <c r="B85" s="64">
        <f t="shared" si="3"/>
        <v>-0.200703923131</v>
      </c>
      <c r="C85" s="64">
        <f t="shared" si="4"/>
        <v>0.0</v>
      </c>
    </row>
    <row r="86" spans="1:3" x14ac:dyDescent="0.2">
      <c r="A86" s="20">
        <v>7.6</v>
      </c>
      <c r="B86" s="64">
        <f t="shared" si="3"/>
        <v>-0.2545894166</v>
      </c>
      <c r="C86" s="64">
        <f t="shared" si="4"/>
        <v>0.0</v>
      </c>
    </row>
    <row r="87" spans="1:3" x14ac:dyDescent="0.2">
      <c r="A87" s="20">
        <v>7.7</v>
      </c>
      <c r="B87" s="64">
        <f t="shared" si="3"/>
        <v>-0.322306667774</v>
      </c>
      <c r="C87" s="64">
        <f t="shared" si="4"/>
        <v>0.0</v>
      </c>
    </row>
    <row r="88" spans="1:3" x14ac:dyDescent="0.2">
      <c r="A88" s="20">
        <v>7.8</v>
      </c>
      <c r="B88" s="64">
        <f t="shared" si="3"/>
        <v>-0.407678885978</v>
      </c>
      <c r="C88" s="64">
        <f t="shared" si="4"/>
        <v>0.0</v>
      </c>
    </row>
    <row r="89" spans="1:3" x14ac:dyDescent="0.2">
      <c r="A89" s="20">
        <v>7.9</v>
      </c>
      <c r="B89" s="64">
        <f t="shared" si="3"/>
        <v>-0.515621824235</v>
      </c>
      <c r="C89" s="64">
        <f t="shared" si="4"/>
        <v>0.0</v>
      </c>
    </row>
    <row r="90" spans="1:3" x14ac:dyDescent="0.2">
      <c r="A90" s="20">
        <v>8</v>
      </c>
      <c r="B90" s="64">
        <f t="shared" si="3"/>
        <v>-0.65248719742</v>
      </c>
      <c r="C90" s="64">
        <f t="shared" si="4"/>
        <v>0.0</v>
      </c>
    </row>
    <row r="91" spans="1:3" x14ac:dyDescent="0.2">
      <c r="A91" s="20">
        <v>8.1</v>
      </c>
      <c r="B91" s="64">
        <f t="shared" si="3"/>
        <v>-0.826532271905</v>
      </c>
      <c r="C91" s="64">
        <f t="shared" si="4"/>
        <v>0.0</v>
      </c>
    </row>
    <row r="92" spans="1:3" x14ac:dyDescent="0.2">
      <c r="A92" s="20">
        <v>8.1999999999999993</v>
      </c>
      <c r="B92" s="64">
        <f t="shared" si="3"/>
        <v>-1.048569336646</v>
      </c>
      <c r="C92" s="64">
        <f t="shared" si="4"/>
        <v>0.0</v>
      </c>
    </row>
    <row r="93" spans="1:3" x14ac:dyDescent="0.2">
      <c r="A93" s="20">
        <v>8.3000000000000007</v>
      </c>
      <c r="B93" s="64">
        <f t="shared" si="3"/>
        <v>-1.332875144027</v>
      </c>
      <c r="C93" s="64">
        <f t="shared" si="4"/>
        <v>0.0</v>
      </c>
    </row>
    <row r="94" spans="1:3" x14ac:dyDescent="0.2">
      <c r="A94" s="20">
        <v>8.4</v>
      </c>
      <c r="B94" s="64">
        <f t="shared" si="3"/>
        <v>-1.698480927379</v>
      </c>
      <c r="C94" s="64">
        <f t="shared" si="4"/>
        <v>0.0</v>
      </c>
    </row>
    <row r="95" spans="1:3" x14ac:dyDescent="0.2">
      <c r="A95" s="20">
        <v>8.5</v>
      </c>
      <c r="B95" s="64">
        <f t="shared" si="3"/>
        <v>-2.171026165161</v>
      </c>
      <c r="C95" s="64">
        <f t="shared" si="4"/>
        <v>0.0</v>
      </c>
    </row>
    <row r="96" spans="1:3" x14ac:dyDescent="0.2">
      <c r="A96" s="20">
        <v>8.6</v>
      </c>
      <c r="B96" s="64">
        <f t="shared" si="3"/>
        <v>-2.785456321043</v>
      </c>
      <c r="C96" s="64">
        <f t="shared" si="4"/>
        <v>0.0</v>
      </c>
    </row>
    <row r="97" spans="1:7" x14ac:dyDescent="0.2">
      <c r="A97" s="20">
        <v>8.6999999999999993</v>
      </c>
      <c r="B97" s="64">
        <f t="shared" si="3"/>
        <v>-3.589995975505</v>
      </c>
      <c r="C97" s="64">
        <f t="shared" si="4"/>
        <v>0.0</v>
      </c>
    </row>
    <row r="98" spans="1:7" x14ac:dyDescent="0.2">
      <c r="A98" s="20">
        <v>8.8000000000000007</v>
      </c>
      <c r="B98" s="64">
        <f t="shared" si="3"/>
        <v>-4.652065051273</v>
      </c>
      <c r="C98" s="64">
        <f t="shared" si="4"/>
        <v>0.0</v>
      </c>
    </row>
    <row r="99" spans="1:7" x14ac:dyDescent="0.2">
      <c r="A99" s="20">
        <v>8.9</v>
      </c>
      <c r="B99" s="64">
        <f t="shared" si="3"/>
        <v>-6.067176130696</v>
      </c>
      <c r="C99" s="64">
        <f t="shared" si="4"/>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s">
        <v>950</v>
      </c>
      <c r="B103" s="18" t="s">
        <v>951</v>
      </c>
      <c r="C103" s="19" t="s">
        <v>952</v>
      </c>
      <c r="D103" s="62">
        <f>IF(n_cross=1,SUM(C50:C100),NA())</f>
        <v>6.494284837612</v>
      </c>
      <c r="E103" s="51" t="s">
        <v>1878</v>
      </c>
      <c r="F103" s="101" t="s">
        <v>953</v>
      </c>
    </row>
    <row r="104" spans="1:7" ht="36" x14ac:dyDescent="0.2">
      <c r="A104" s="17" t="s">
        <v>954</v>
      </c>
      <c r="B104" s="18" t="s">
        <v>955</v>
      </c>
      <c r="C104" s="19" t="s">
        <v>956</v>
      </c>
      <c r="D104" s="62">
        <f>1/(1+10^(pH_meas-pKa_HOCl))</f>
        <v>0.896166326878</v>
      </c>
      <c r="E104" s="51" t="s">
        <v>1879</v>
      </c>
    </row>
    <row r="105" spans="1:7" ht="36" x14ac:dyDescent="0.2">
      <c r="A105" s="17" t="s">
        <v>1003</v>
      </c>
      <c r="B105" s="18" t="s">
        <v>1004</v>
      </c>
      <c r="C105" s="19" t="s">
        <v>1005</v>
      </c>
      <c r="D105" s="62">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62">
        <f>Iappc/(2*Fcc)*M_HOCl*3600/VLc</f>
        <v>371.244905447914</v>
      </c>
      <c r="E107" s="51" t="s">
        <v>1459</v>
      </c>
      <c r="G107" s="69" t="s">
        <v>1009</v>
      </c>
    </row>
    <row r="108" spans="1:7" ht="284" x14ac:dyDescent="0.2">
      <c r="A108" s="17" t="s">
        <v>960</v>
      </c>
      <c r="B108" s="18" t="s">
        <v>961</v>
      </c>
      <c r="C108" s="19" t="s">
        <v>962</v>
      </c>
      <c r="D108" s="62">
        <f>1/(bleach_rate)*60</f>
        <v>0.161618379457</v>
      </c>
      <c r="E108" s="51" t="s">
        <v>963</v>
      </c>
      <c r="G108" s="69" t="s">
        <v>1010</v>
      </c>
    </row>
    <row r="109" spans="1:7" ht="204" x14ac:dyDescent="0.2">
      <c r="A109" s="17" t="s">
        <v>964</v>
      </c>
      <c r="B109" s="18" t="s">
        <v>965</v>
      </c>
      <c r="C109" s="19" t="s">
        <v>966</v>
      </c>
      <c r="D109" s="64" t="str">
        <f>IF(C_eff&lt;Cl_onset,"negligible free chlorine ("&amp;TEXT(C_eff,"0.00")&amp;" mg/L &lt; onset); does NOT account for the Exp-2 death - see metal_flag",IF(C_eff&lt;Cl_kill,"sub-lethal "&amp;TEXT(C_eff,"0.00")&amp;" mg/L (band "&amp;TEXT(C_eff_lo,"0.00")&amp;"-"&amp;TEXT(C_eff_hi,"0.00")&amp;"); chloride-pool-bounded, cannot reach the kill threshold in this medium; does NOT explain the death - see metal_flag","SEVERE free chlorine: "&amp;TEXT(C_eff,"0.0")&amp;" mg/L biofilm/electrode damage (Baek 2021)"))</f>
        <v>sub-lethal 0.37 mg/L (band 0.00-0.53);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IF(pH_meas&lt;6.5,"pH BELOW HOB optimum (&lt;6.5) — reduce the CO₂ dose or lengthen the interval",IF(pH_meas&gt;7.5,"pH above optimum (&gt;7.5)","pH in HOB band 6.5–7.5"))</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62">
        <f>pH_Cl*pH_fHOCl*M_HOCl</f>
        <v>8.472316725176</v>
      </c>
      <c r="E125" s="51" t="s">
        <v>1460</v>
      </c>
    </row>
    <row r="127" spans="1:5" ht="16" x14ac:dyDescent="0.2">
      <c r="A127" s="104" t="s">
        <v>1064</v>
      </c>
    </row>
    <row r="128" spans="1:5" ht="60" x14ac:dyDescent="0.2">
      <c r="A128" s="17" t="s">
        <v>1065</v>
      </c>
      <c r="B128" s="18" t="s">
        <v>1066</v>
      </c>
      <c r="C128" s="19" t="s">
        <v>1067</v>
      </c>
      <c r="D128" s="52">
        <v>0.5</v>
      </c>
      <c r="E128" s="51" t="s">
        <v>1461</v>
      </c>
    </row>
    <row r="129" spans="1:5" ht="48" x14ac:dyDescent="0.2">
      <c r="A129" s="17" t="s">
        <v>1068</v>
      </c>
      <c r="B129" s="18" t="s">
        <v>1069</v>
      </c>
      <c r="C129" s="19" t="s">
        <v>1070</v>
      </c>
      <c r="D129" s="52">
        <v>4.0499999999999998E-3</v>
      </c>
      <c r="E129" s="51" t="s">
        <v>1756</v>
      </c>
    </row>
    <row r="130" spans="1:5" ht="24" x14ac:dyDescent="0.2">
      <c r="A130" s="17" t="s">
        <v>1071</v>
      </c>
      <c r="B130" s="18" t="s">
        <v>1072</v>
      </c>
      <c r="C130" s="19" t="s">
        <v>1073</v>
      </c>
      <c r="D130" s="22">
        <f>Electrochemistry!$D$46</f>
        <v>2.01337839464</v>
      </c>
      <c r="E130" s="51" t="s">
        <v>1392</v>
      </c>
    </row>
    <row r="131" spans="1:5" x14ac:dyDescent="0.2">
      <c r="A131" s="17" t="s">
        <v>1074</v>
      </c>
      <c r="B131" s="18" t="s">
        <v>1075</v>
      </c>
      <c r="C131" s="19" t="s">
        <v>1076</v>
      </c>
      <c r="D131" s="62">
        <f>Iappc*FE_CER</f>
        <v>0.002845</v>
      </c>
      <c r="E131" s="51" t="s">
        <v>1077</v>
      </c>
    </row>
    <row r="132" spans="1:5" ht="48" x14ac:dyDescent="0.2">
      <c r="A132" s="17" t="s">
        <v>1078</v>
      </c>
      <c r="B132" s="18" t="s">
        <v>1079</v>
      </c>
      <c r="C132" s="19" t="s">
        <v>1076</v>
      </c>
      <c r="D132" s="62">
        <f>Fcc*km_Cl*(pH_Cl/1000)*A_anode</f>
        <v>0.0001417839262056</v>
      </c>
      <c r="E132" s="51" t="s">
        <v>1462</v>
      </c>
    </row>
    <row r="133" spans="1:5" x14ac:dyDescent="0.2">
      <c r="A133" s="17" t="s">
        <v>1080</v>
      </c>
      <c r="B133" s="18" t="s">
        <v>1081</v>
      </c>
      <c r="C133" s="19" t="s">
        <v>1076</v>
      </c>
      <c r="D133" s="62">
        <f>MIN(I_Cl_FE,I_Cl_mt)</f>
        <v>0.0001417839262056</v>
      </c>
      <c r="E133" s="51" t="s">
        <v>1082</v>
      </c>
    </row>
    <row r="134" spans="1:5" x14ac:dyDescent="0.2">
      <c r="A134" s="17" t="s">
        <v>1083</v>
      </c>
      <c r="B134" s="18" t="s">
        <v>1084</v>
      </c>
      <c r="C134" s="19" t="s">
        <v>1085</v>
      </c>
      <c r="D134" s="62">
        <f>I_Cl/(n_e_Cl*Fcc*VLc)</f>
        <v>4.898289480563e-08</v>
      </c>
      <c r="E134" s="51" t="s">
        <v>1463</v>
      </c>
    </row>
    <row r="135" spans="1:5" x14ac:dyDescent="0.2">
      <c r="A135" s="17" t="s">
        <v>1086</v>
      </c>
      <c r="B135" s="18" t="s">
        <v>1087</v>
      </c>
      <c r="C135" s="19" t="s">
        <v>1088</v>
      </c>
      <c r="D135" s="62">
        <f>pH_NT*MW_N</f>
        <v>99.641138186772</v>
      </c>
      <c r="E135" s="51" t="s">
        <v>1089</v>
      </c>
    </row>
    <row r="136" spans="1:5" ht="36" x14ac:dyDescent="0.2">
      <c r="A136" s="17" t="s">
        <v>1090</v>
      </c>
      <c r="B136" s="18" t="s">
        <v>1091</v>
      </c>
      <c r="C136" s="19" t="s">
        <v>1092</v>
      </c>
      <c r="D136" s="52">
        <v>4200000</v>
      </c>
      <c r="E136" s="51" t="s">
        <v>1093</v>
      </c>
    </row>
    <row r="137" spans="1:5" ht="48" x14ac:dyDescent="0.2">
      <c r="A137" s="17" t="s">
        <v>1094</v>
      </c>
      <c r="B137" s="18" t="s">
        <v>1095</v>
      </c>
      <c r="C137" s="19" t="s">
        <v>1067</v>
      </c>
      <c r="D137" s="52">
        <f>-LOG10(Ka_NH4)</f>
        <v>9.251811972994</v>
      </c>
      <c r="E137" s="51" t="s">
        <v>1481</v>
      </c>
    </row>
    <row r="138" spans="1:5" ht="24" x14ac:dyDescent="0.2">
      <c r="A138" s="17" t="s">
        <v>1096</v>
      </c>
      <c r="B138" s="18" t="s">
        <v>1097</v>
      </c>
      <c r="C138" s="19" t="s">
        <v>1098</v>
      </c>
      <c r="D138" s="62">
        <f>pH_NT/(1+10^(pKa_NH4-pH_meas))</f>
        <v>1.5968172298e-05</v>
      </c>
      <c r="E138" s="51" t="s">
        <v>1099</v>
      </c>
    </row>
    <row r="139" spans="1:5" ht="24" x14ac:dyDescent="0.2">
      <c r="A139" s="17" t="s">
        <v>1100</v>
      </c>
      <c r="B139" s="18" t="s">
        <v>1101</v>
      </c>
      <c r="C139" s="19" t="s">
        <v>1098</v>
      </c>
      <c r="D139" s="62">
        <f>P_HOCl/(k1_NH2Cl*NH3_free)</f>
        <v>7.303649900372e-10</v>
      </c>
      <c r="E139" s="51" t="s">
        <v>1102</v>
      </c>
    </row>
    <row r="140" spans="1:5" ht="24" x14ac:dyDescent="0.2">
      <c r="A140" s="17" t="s">
        <v>1103</v>
      </c>
      <c r="B140" s="18" t="s">
        <v>1104</v>
      </c>
      <c r="C140" s="19" t="s">
        <v>1088</v>
      </c>
      <c r="D140" s="62">
        <f>HOCl_ss*M_HOCl</f>
        <v>3.831494737735e-05</v>
      </c>
      <c r="E140" s="51" t="s">
        <v>1105</v>
      </c>
    </row>
    <row r="141" spans="1:5" ht="48" x14ac:dyDescent="0.2">
      <c r="A141" s="17" t="s">
        <v>1106</v>
      </c>
      <c r="B141" s="18" t="s">
        <v>1107</v>
      </c>
      <c r="C141" s="19" t="s">
        <v>1067</v>
      </c>
      <c r="D141" s="52">
        <v>10</v>
      </c>
      <c r="E141" s="51" t="s">
        <v>1108</v>
      </c>
    </row>
    <row r="142" spans="1:5" ht="36" x14ac:dyDescent="0.2">
      <c r="A142" s="17" t="s">
        <v>1109</v>
      </c>
      <c r="B142" s="18" t="s">
        <v>1110</v>
      </c>
      <c r="C142" s="19" t="s">
        <v>1111</v>
      </c>
      <c r="D142" s="52">
        <v>1</v>
      </c>
      <c r="E142" s="51" t="s">
        <v>1112</v>
      </c>
    </row>
    <row r="143" spans="1:5" ht="36" x14ac:dyDescent="0.2">
      <c r="A143" s="17" t="s">
        <v>1113</v>
      </c>
      <c r="B143" s="18" t="s">
        <v>1114</v>
      </c>
      <c r="C143" s="19" t="s">
        <v>1088</v>
      </c>
      <c r="D143" s="62">
        <f>MIN(P_HOCl*tau_NH2Cl*3600*M_HOCl,cl_per_N*NH3_N,Cl_pool_mgL)</f>
        <v>9.250713581411</v>
      </c>
      <c r="E143" s="51" t="s">
        <v>1115</v>
      </c>
    </row>
    <row r="144" spans="1:5" ht="36" x14ac:dyDescent="0.2">
      <c r="A144" s="17" t="s">
        <v>1116</v>
      </c>
      <c r="B144" s="18" t="s">
        <v>1117</v>
      </c>
      <c r="C144" s="19" t="s">
        <v>1067</v>
      </c>
      <c r="D144" s="52">
        <v>25</v>
      </c>
      <c r="E144" s="51" t="s">
        <v>1118</v>
      </c>
    </row>
    <row r="145" spans="1:5" ht="60" x14ac:dyDescent="0.2">
      <c r="A145" s="17" t="s">
        <v>1119</v>
      </c>
      <c r="B145" s="18" t="s">
        <v>1120</v>
      </c>
      <c r="C145" s="19" t="s">
        <v>1088</v>
      </c>
      <c r="D145" s="62">
        <f>f_local*HOCl_ss_mgL+NH2Cl_mgL/R_chloramine</f>
        <v>0.37041169273</v>
      </c>
      <c r="E145" s="51" t="s">
        <v>1464</v>
      </c>
    </row>
    <row r="146" spans="1:5" ht="36" x14ac:dyDescent="0.2">
      <c r="A146" s="17" t="s">
        <v>1121</v>
      </c>
      <c r="B146" s="18" t="s">
        <v>1122</v>
      </c>
      <c r="C146" s="19" t="s">
        <v>1088</v>
      </c>
      <c r="D146" s="52">
        <v>0.1</v>
      </c>
      <c r="E146" s="51" t="s">
        <v>1123</v>
      </c>
    </row>
    <row r="147" spans="1:5" ht="24" x14ac:dyDescent="0.2">
      <c r="A147" s="17" t="s">
        <v>1124</v>
      </c>
      <c r="B147" s="18" t="s">
        <v>1125</v>
      </c>
      <c r="C147" s="19" t="s">
        <v>1088</v>
      </c>
      <c r="D147" s="52">
        <v>2</v>
      </c>
      <c r="E147" s="51" t="s">
        <v>1126</v>
      </c>
    </row>
    <row r="148" spans="1:5" ht="72" x14ac:dyDescent="0.2">
      <c r="A148" s="17" t="s">
        <v>1213</v>
      </c>
      <c r="B148" s="18" t="s">
        <v>1214</v>
      </c>
      <c r="C148" s="19" t="s">
        <v>1215</v>
      </c>
      <c r="D148" s="62">
        <f>2</f>
        <v>2.0</v>
      </c>
      <c r="E148" s="51" t="s">
        <v>1480</v>
      </c>
    </row>
    <row r="149" spans="1:5" ht="36" x14ac:dyDescent="0.2">
      <c r="A149" s="17" t="s">
        <v>1216</v>
      </c>
      <c r="B149" s="18" t="s">
        <v>1217</v>
      </c>
      <c r="C149" s="19" t="s">
        <v>1218</v>
      </c>
      <c r="D149" s="62">
        <f>pH_Cl*M_HOCl</f>
        <v>9.453955667688</v>
      </c>
      <c r="E149" s="51" t="s">
        <v>1219</v>
      </c>
    </row>
    <row r="150" spans="1:5" ht="24" x14ac:dyDescent="0.2">
      <c r="A150" s="17" t="s">
        <v>1220</v>
      </c>
      <c r="B150" s="18" t="s">
        <v>1221</v>
      </c>
      <c r="C150" s="19" t="s">
        <v>1222</v>
      </c>
      <c r="D150" s="52">
        <v>1.6666666666666666E-2</v>
      </c>
      <c r="E150" s="75" t="s">
        <v>1223</v>
      </c>
    </row>
    <row r="151" spans="1:5" ht="24" x14ac:dyDescent="0.2">
      <c r="A151" s="17" t="s">
        <v>1224</v>
      </c>
      <c r="B151" s="18" t="s">
        <v>1225</v>
      </c>
      <c r="C151" s="19" t="s">
        <v>1226</v>
      </c>
      <c r="D151" s="52">
        <v>5</v>
      </c>
      <c r="E151" s="75" t="s">
        <v>1227</v>
      </c>
    </row>
    <row r="152" spans="1:5" ht="24" x14ac:dyDescent="0.2">
      <c r="A152" s="17" t="s">
        <v>1228</v>
      </c>
      <c r="B152" s="18" t="s">
        <v>1229</v>
      </c>
      <c r="C152" s="19" t="s">
        <v>1230</v>
      </c>
      <c r="D152" s="52">
        <v>18</v>
      </c>
      <c r="E152" s="75" t="s">
        <v>1231</v>
      </c>
    </row>
    <row r="153" spans="1:5" x14ac:dyDescent="0.2">
      <c r="A153" s="17" t="s">
        <v>1232</v>
      </c>
      <c r="B153" s="18" t="s">
        <v>1233</v>
      </c>
      <c r="C153" s="19" t="s">
        <v>1234</v>
      </c>
      <c r="D153" s="52">
        <v>70</v>
      </c>
      <c r="E153" s="75" t="s">
        <v>1235</v>
      </c>
    </row>
    <row r="154" spans="1:5" x14ac:dyDescent="0.2">
      <c r="A154" s="17" t="s">
        <v>1236</v>
      </c>
      <c r="B154" s="18" t="s">
        <v>1237</v>
      </c>
      <c r="C154" s="19" t="s">
        <v>1238</v>
      </c>
      <c r="D154" s="62">
        <f>MIN(P_HOCl*tau_NH2Cl_lo*3600*M_HOCl,cl_per_N*NH3_N,Cl_pool_mgL)</f>
        <v>0.15417855969</v>
      </c>
      <c r="E154" s="51" t="s">
        <v>1239</v>
      </c>
    </row>
    <row r="155" spans="1:5" x14ac:dyDescent="0.2">
      <c r="A155" s="17" t="s">
        <v>1240</v>
      </c>
      <c r="B155" s="18" t="s">
        <v>1241</v>
      </c>
      <c r="C155" s="19" t="s">
        <v>1242</v>
      </c>
      <c r="D155" s="62">
        <f>MIN(P_HOCl*tau_NH2Cl_hi*3600*M_HOCl,cl_per_N*NH3_N,Cl_pool_mgL)</f>
        <v>9.453955667688</v>
      </c>
      <c r="E155" s="51" t="s">
        <v>1243</v>
      </c>
    </row>
    <row r="156" spans="1:5" x14ac:dyDescent="0.2">
      <c r="A156" s="17" t="s">
        <v>1244</v>
      </c>
      <c r="B156" s="18" t="s">
        <v>1245</v>
      </c>
      <c r="C156" s="19" t="s">
        <v>1246</v>
      </c>
      <c r="D156" s="62">
        <f>f_local*HOCl_ss_mgL+NH2Cl_lo/R_chloramine_hi</f>
        <v>0.002585700326</v>
      </c>
      <c r="E156" s="51" t="s">
        <v>1247</v>
      </c>
    </row>
    <row r="157" spans="1:5" ht="24" x14ac:dyDescent="0.2">
      <c r="A157" s="17" t="s">
        <v>1248</v>
      </c>
      <c r="B157" s="18" t="s">
        <v>1249</v>
      </c>
      <c r="C157" s="19" t="s">
        <v>1250</v>
      </c>
      <c r="D157" s="62">
        <f>f_local*HOCl_ss_mgL+NH2Cl_hi/R_chloramine_lo</f>
        <v>0.52560290879</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52">
        <v>63.55</v>
      </c>
      <c r="E159" s="51" t="s">
        <v>1259</v>
      </c>
    </row>
    <row r="160" spans="1:5" x14ac:dyDescent="0.2">
      <c r="A160" s="17" t="s">
        <v>1260</v>
      </c>
      <c r="B160" s="18" t="s">
        <v>1261</v>
      </c>
      <c r="C160" s="19" t="s">
        <v>1262</v>
      </c>
      <c r="D160" s="52">
        <v>2</v>
      </c>
      <c r="E160" s="51" t="s">
        <v>1263</v>
      </c>
    </row>
    <row r="161" spans="1:5" ht="24" x14ac:dyDescent="0.2">
      <c r="A161" s="17" t="s">
        <v>1264</v>
      </c>
      <c r="B161" s="18" t="s">
        <v>1265</v>
      </c>
      <c r="C161" s="19" t="s">
        <v>1266</v>
      </c>
      <c r="D161" s="62" t="e">
        <f>IF(ISNUMBER(corr_I_frac),corr_I_frac*Iappc/(metal_z*Fcc)*metal_MW*1000*3600/VLc,NA())</f>
        <v>#N/A</v>
      </c>
      <c r="E161" s="57" t="s">
        <v>1267</v>
      </c>
    </row>
    <row r="162" spans="1:5" ht="24" x14ac:dyDescent="0.2">
      <c r="A162" s="17" t="s">
        <v>1268</v>
      </c>
      <c r="B162" s="18" t="s">
        <v>1269</v>
      </c>
      <c r="C162" s="19" t="s">
        <v>1270</v>
      </c>
      <c r="D162" s="52">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52">
        <v>50.08</v>
      </c>
      <c r="E166" s="99" t="s">
        <v>1486</v>
      </c>
    </row>
    <row r="167" spans="1:5" ht="36" x14ac:dyDescent="0.2">
      <c r="A167" t="s">
        <v>1487</v>
      </c>
      <c r="B167" s="18" t="s">
        <v>1488</v>
      </c>
      <c r="C167" s="19" t="s">
        <v>1485</v>
      </c>
      <c r="D167" s="52">
        <v>73.48</v>
      </c>
      <c r="E167" s="99" t="s">
        <v>1486</v>
      </c>
    </row>
    <row r="168" spans="1:5" ht="36" x14ac:dyDescent="0.2">
      <c r="A168" t="s">
        <v>1489</v>
      </c>
      <c r="B168" s="18" t="s">
        <v>1490</v>
      </c>
      <c r="C168" s="19" t="s">
        <v>1485</v>
      </c>
      <c r="D168" s="52">
        <v>73.5</v>
      </c>
      <c r="E168" s="99" t="s">
        <v>1486</v>
      </c>
    </row>
    <row r="169" spans="1:5" ht="36" x14ac:dyDescent="0.2">
      <c r="A169" t="s">
        <v>1491</v>
      </c>
      <c r="B169" s="18" t="s">
        <v>1492</v>
      </c>
      <c r="C169" s="19" t="s">
        <v>1485</v>
      </c>
      <c r="D169" s="52">
        <v>106</v>
      </c>
      <c r="E169" s="99" t="s">
        <v>1486</v>
      </c>
    </row>
    <row r="170" spans="1:5" ht="36" x14ac:dyDescent="0.2">
      <c r="A170" t="s">
        <v>1493</v>
      </c>
      <c r="B170" s="18" t="s">
        <v>1494</v>
      </c>
      <c r="C170" s="19" t="s">
        <v>1485</v>
      </c>
      <c r="D170" s="52">
        <v>118.94</v>
      </c>
      <c r="E170" s="99" t="s">
        <v>1486</v>
      </c>
    </row>
    <row r="171" spans="1:5" ht="36" x14ac:dyDescent="0.2">
      <c r="A171" t="s">
        <v>1495</v>
      </c>
      <c r="B171" s="18" t="s">
        <v>1496</v>
      </c>
      <c r="C171" s="19" t="s">
        <v>1485</v>
      </c>
      <c r="D171" s="52">
        <v>36</v>
      </c>
      <c r="E171" s="99" t="s">
        <v>1486</v>
      </c>
    </row>
    <row r="172" spans="1:5" ht="36" x14ac:dyDescent="0.2">
      <c r="A172" t="s">
        <v>1497</v>
      </c>
      <c r="B172" s="18" t="s">
        <v>1498</v>
      </c>
      <c r="C172" s="19" t="s">
        <v>1485</v>
      </c>
      <c r="D172" s="52">
        <v>114</v>
      </c>
      <c r="E172" s="99" t="s">
        <v>1486</v>
      </c>
    </row>
    <row r="173" spans="1:5" ht="36" x14ac:dyDescent="0.2">
      <c r="A173" t="s">
        <v>1499</v>
      </c>
      <c r="B173" s="18" t="s">
        <v>1500</v>
      </c>
      <c r="C173" s="19" t="s">
        <v>1485</v>
      </c>
      <c r="D173" s="52">
        <v>160</v>
      </c>
      <c r="E173" s="99" t="s">
        <v>1486</v>
      </c>
    </row>
    <row r="174" spans="1:5" ht="36" x14ac:dyDescent="0.2">
      <c r="A174" t="s">
        <v>1501</v>
      </c>
      <c r="B174" s="18" t="s">
        <v>1502</v>
      </c>
      <c r="C174" s="19" t="s">
        <v>1485</v>
      </c>
      <c r="D174" s="52">
        <v>44.5</v>
      </c>
      <c r="E174" s="99" t="s">
        <v>1486</v>
      </c>
    </row>
    <row r="175" spans="1:5" ht="36" x14ac:dyDescent="0.2">
      <c r="A175" t="s">
        <v>1503</v>
      </c>
      <c r="B175" s="18" t="s">
        <v>1504</v>
      </c>
      <c r="C175" s="19" t="s">
        <v>1485</v>
      </c>
      <c r="D175" s="52">
        <v>76.31</v>
      </c>
      <c r="E175" s="99" t="s">
        <v>1486</v>
      </c>
    </row>
    <row r="176" spans="1:5" ht="36" x14ac:dyDescent="0.2">
      <c r="A176" t="s">
        <v>1505</v>
      </c>
      <c r="B176" s="18" t="s">
        <v>1506</v>
      </c>
      <c r="C176" s="19" t="s">
        <v>1507</v>
      </c>
      <c r="D176" s="22">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22">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52">
        <v>0.78</v>
      </c>
      <c r="E178" s="75" t="s">
        <v>1514</v>
      </c>
    </row>
    <row r="179" spans="1:5" ht="48" x14ac:dyDescent="0.2">
      <c r="A179" t="s">
        <v>1515</v>
      </c>
      <c r="B179" s="18" t="s">
        <v>1516</v>
      </c>
      <c r="C179" s="19" t="s">
        <v>1517</v>
      </c>
      <c r="D179" s="52">
        <v>0.02</v>
      </c>
      <c r="E179" s="67" t="s">
        <v>1518</v>
      </c>
    </row>
    <row r="180" spans="1:5" ht="24" x14ac:dyDescent="0.2">
      <c r="A180" t="s">
        <v>1519</v>
      </c>
      <c r="B180" s="18" t="s">
        <v>1520</v>
      </c>
      <c r="C180" s="19" t="s">
        <v>1507</v>
      </c>
      <c r="D180" s="22">
        <f>IF(Summary!$D$5="MC02",kappa0_mc02,IF(Summary!$D$5="UdG phosphate",kappa0_udg,NA()))*kappa_fI*(1+kappa_TC*(TKc-298.15))</f>
        <v>0.706946657056</v>
      </c>
      <c r="E180" s="67" t="s">
        <v>1521</v>
      </c>
    </row>
    <row r="182" spans="1:5" x14ac:dyDescent="0.2">
      <c r="A182" s="5" t="s">
        <v>1522</v>
      </c>
    </row>
    <row r="183" spans="1:5" ht="36" x14ac:dyDescent="0.2">
      <c r="A183" t="s">
        <v>1523</v>
      </c>
      <c r="B183" s="18" t="s">
        <v>1524</v>
      </c>
      <c r="C183" s="19" t="s">
        <v>1098</v>
      </c>
      <c r="D183" s="22">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22">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22">
        <f>IF(Summary!$D$5="MC02",I_mc02,IF(Summary!$D$5="UdG phosphate",I_udg,NA()))</f>
        <v>0.109739973238</v>
      </c>
      <c r="E185" s="67" t="s">
        <v>947</v>
      </c>
    </row>
    <row r="186" spans="1:5" ht="36" x14ac:dyDescent="0.2">
      <c r="A186" t="s">
        <v>1530</v>
      </c>
      <c r="B186" s="18" t="s">
        <v>1531</v>
      </c>
      <c r="C186" s="19" t="s">
        <v>1274</v>
      </c>
      <c r="D186" s="22">
        <f>1820000*(78.54*(298.15/TKc)^1.368)^-1.5*TKc^-1.5</f>
        <v>0.507905390447</v>
      </c>
      <c r="E186" s="67" t="s">
        <v>1532</v>
      </c>
    </row>
    <row r="187" spans="1:5" ht="36" x14ac:dyDescent="0.2">
      <c r="A187" t="s">
        <v>1533</v>
      </c>
      <c r="B187" s="18" t="s">
        <v>1534</v>
      </c>
      <c r="C187" s="19" t="s">
        <v>1274</v>
      </c>
      <c r="D187" s="22">
        <f>10^(-A_DH*1*(SQRT(I_ionic)/(1+SQRT(I_ionic))-0.3*I_ionic))</f>
        <v>0.776846550354</v>
      </c>
      <c r="E187" s="67" t="s">
        <v>1535</v>
      </c>
    </row>
    <row r="188" spans="1:5" ht="36" x14ac:dyDescent="0.2">
      <c r="A188" t="s">
        <v>1536</v>
      </c>
      <c r="B188" s="18" t="s">
        <v>1537</v>
      </c>
      <c r="C188" s="19" t="s">
        <v>1274</v>
      </c>
      <c r="D188" s="22">
        <f>10^(-A_DH*4*(SQRT(I_ionic)/(1+SQRT(I_ionic))-0.3*I_ionic))</f>
        <v>0.364200859384</v>
      </c>
      <c r="E188" s="67" t="s">
        <v>1535</v>
      </c>
    </row>
    <row r="189" spans="1:5" ht="36" x14ac:dyDescent="0.2">
      <c r="A189" t="s">
        <v>1538</v>
      </c>
      <c r="B189" s="18" t="s">
        <v>1539</v>
      </c>
      <c r="C189" s="19" t="s">
        <v>1274</v>
      </c>
      <c r="D189" s="22">
        <f>10^(-A_DH*9*(SQRT(I_ionic)/(1+SQRT(I_ionic))-0.3*I_ionic))</f>
        <v>0.103042686755</v>
      </c>
      <c r="E189" s="67" t="s">
        <v>1535</v>
      </c>
    </row>
    <row r="190" spans="1:5" ht="36" x14ac:dyDescent="0.2">
      <c r="A190" t="s">
        <v>1540</v>
      </c>
      <c r="B190" s="18" t="s">
        <v>1541</v>
      </c>
      <c r="C190" s="19" t="s">
        <v>1098</v>
      </c>
      <c r="D190" s="22">
        <f>Ka1c/gamma_1^2</f>
        <v>7.373768993803e-07</v>
      </c>
      <c r="E190" s="67" t="s">
        <v>1542</v>
      </c>
    </row>
    <row r="191" spans="1:5" ht="36" x14ac:dyDescent="0.2">
      <c r="A191" t="s">
        <v>1543</v>
      </c>
      <c r="B191" s="18" t="s">
        <v>1544</v>
      </c>
      <c r="C191" s="19" t="s">
        <v>1098</v>
      </c>
      <c r="D191" s="22">
        <f>Ka2c/gamma_2</f>
        <v>1.287750942688e-10</v>
      </c>
      <c r="E191" s="67" t="s">
        <v>1545</v>
      </c>
    </row>
    <row r="192" spans="1:5" ht="36" x14ac:dyDescent="0.2">
      <c r="A192" t="s">
        <v>1546</v>
      </c>
      <c r="B192" s="18" t="s">
        <v>1547</v>
      </c>
      <c r="C192" s="19" t="s">
        <v>1098</v>
      </c>
      <c r="D192" s="22">
        <f>Ka1p/gamma_1^2</f>
        <v>0.011764889855</v>
      </c>
      <c r="E192" s="67" t="s">
        <v>1548</v>
      </c>
    </row>
    <row r="193" spans="1:5" ht="60" x14ac:dyDescent="0.2">
      <c r="A193" t="s">
        <v>1549</v>
      </c>
      <c r="B193" s="18" t="s">
        <v>1550</v>
      </c>
      <c r="C193" s="19" t="s">
        <v>1098</v>
      </c>
      <c r="D193" s="22">
        <f>Ka2p/gamma_2</f>
        <v>1.732560436751e-07</v>
      </c>
      <c r="E193" s="67" t="s">
        <v>1551</v>
      </c>
    </row>
    <row r="194" spans="1:5" ht="36" x14ac:dyDescent="0.2">
      <c r="A194" t="s">
        <v>1552</v>
      </c>
      <c r="B194" s="18" t="s">
        <v>1553</v>
      </c>
      <c r="C194" s="19" t="s">
        <v>1098</v>
      </c>
      <c r="D194" s="22">
        <f>Ka3p*gamma_2/(gamma_1*gamma_3)</f>
        <v>1.910899474681e-12</v>
      </c>
      <c r="E194" s="67" t="s">
        <v>1554</v>
      </c>
    </row>
    <row r="195" spans="1:5" ht="24" x14ac:dyDescent="0.2">
      <c r="A195" t="s">
        <v>1555</v>
      </c>
      <c r="B195" s="18" t="s">
        <v>1556</v>
      </c>
      <c r="C195" s="19" t="s">
        <v>1098</v>
      </c>
      <c r="D195" s="22">
        <f>Kw_w/gamma_1^2</f>
        <v>1.65702674018e-14</v>
      </c>
      <c r="E195" s="67" t="s">
        <v>1557</v>
      </c>
    </row>
    <row r="196" spans="1:5" ht="36" x14ac:dyDescent="0.2">
      <c r="A196" t="s">
        <v>1558</v>
      </c>
      <c r="B196" s="18" t="s">
        <v>1559</v>
      </c>
      <c r="C196" s="19" t="s">
        <v>1098</v>
      </c>
      <c r="D196" s="22">
        <f>Ka_HOCl/gamma_1^2</f>
        <v>4.778917320203e-08</v>
      </c>
      <c r="E196" s="67" t="s">
        <v>1560</v>
      </c>
    </row>
    <row r="197" spans="1:5" ht="36" x14ac:dyDescent="0.2">
      <c r="A197" t="s">
        <v>1561</v>
      </c>
      <c r="B197" s="18" t="s">
        <v>1562</v>
      </c>
      <c r="C197" s="19" t="s">
        <v>1098</v>
      </c>
      <c r="D197" s="22">
        <f>Ka_NH4</f>
        <v>5.6e-10</v>
      </c>
      <c r="E197" s="99" t="s">
        <v>1563</v>
      </c>
    </row>
    <row r="199" spans="1:5" x14ac:dyDescent="0.2">
      <c r="A199" s="5" t="s">
        <v>1564</v>
      </c>
    </row>
    <row r="200" spans="1:5" x14ac:dyDescent="0.2">
      <c r="A200" t="s">
        <v>1565</v>
      </c>
      <c r="B200" s="18" t="s">
        <v>1566</v>
      </c>
      <c r="C200" s="19" t="s">
        <v>1567</v>
      </c>
      <c r="D200" s="22">
        <f>R_gas*TKc/Fcc*LN(10)</f>
        <v>0.059159349686</v>
      </c>
      <c r="E200" s="99" t="s">
        <v>1568</v>
      </c>
    </row>
    <row r="201" spans="1:5" ht="36" x14ac:dyDescent="0.2">
      <c r="A201" t="s">
        <v>1569</v>
      </c>
      <c r="B201" s="18" t="s">
        <v>1570</v>
      </c>
      <c r="C201" s="19" t="s">
        <v>1571</v>
      </c>
      <c r="D201" s="52">
        <v>1.2290000000000001</v>
      </c>
      <c r="E201" s="99" t="s">
        <v>1572</v>
      </c>
    </row>
    <row r="202" spans="1:5" ht="24" x14ac:dyDescent="0.2">
      <c r="A202" t="s">
        <v>1573</v>
      </c>
      <c r="B202" s="18" t="s">
        <v>1574</v>
      </c>
      <c r="C202" s="19" t="s">
        <v>1571</v>
      </c>
      <c r="D202" s="52">
        <v>0</v>
      </c>
      <c r="E202" s="99" t="s">
        <v>1575</v>
      </c>
    </row>
    <row r="203" spans="1:5" x14ac:dyDescent="0.2">
      <c r="A203" t="s">
        <v>1576</v>
      </c>
      <c r="B203" s="18" t="s">
        <v>1577</v>
      </c>
      <c r="C203" s="19" t="s">
        <v>1571</v>
      </c>
      <c r="D203" s="52">
        <v>1.3580000000000001</v>
      </c>
      <c r="E203" s="99" t="s">
        <v>1578</v>
      </c>
    </row>
    <row r="204" spans="1:5" x14ac:dyDescent="0.2">
      <c r="A204" t="s">
        <v>1579</v>
      </c>
      <c r="B204" s="18" t="s">
        <v>1580</v>
      </c>
      <c r="C204" s="19" t="s">
        <v>1571</v>
      </c>
      <c r="D204" s="52">
        <v>0.69499999999999995</v>
      </c>
      <c r="E204" s="99" t="s">
        <v>1581</v>
      </c>
    </row>
    <row r="205" spans="1:5" x14ac:dyDescent="0.2">
      <c r="A205" t="s">
        <v>1582</v>
      </c>
      <c r="B205" s="18" t="s">
        <v>1583</v>
      </c>
      <c r="C205" s="19" t="s">
        <v>1571</v>
      </c>
      <c r="D205" s="52">
        <v>0.34189999999999998</v>
      </c>
      <c r="E205" s="99" t="s">
        <v>1578</v>
      </c>
    </row>
    <row r="206" spans="1:5" ht="24" x14ac:dyDescent="0.2">
      <c r="A206" t="s">
        <v>1584</v>
      </c>
      <c r="B206" s="18" t="s">
        <v>1585</v>
      </c>
      <c r="C206" s="19" t="s">
        <v>1571</v>
      </c>
      <c r="D206" s="22">
        <f>E0_OER-nernst_slope*pH_meas</f>
        <v>0.83831463654</v>
      </c>
      <c r="E206" s="99" t="s">
        <v>1586</v>
      </c>
    </row>
    <row r="207" spans="1:5" x14ac:dyDescent="0.2">
      <c r="A207" t="s">
        <v>1587</v>
      </c>
      <c r="B207" s="18" t="s">
        <v>1588</v>
      </c>
      <c r="C207" s="19" t="s">
        <v>1571</v>
      </c>
      <c r="D207" s="22">
        <f>E0_HER-nernst_slope*pH_meas</f>
        <v>-0.39068536346</v>
      </c>
      <c r="E207" s="99" t="s">
        <v>1589</v>
      </c>
    </row>
    <row r="208" spans="1:5" ht="24" x14ac:dyDescent="0.2">
      <c r="A208" t="s">
        <v>1590</v>
      </c>
      <c r="B208" s="18" t="s">
        <v>1591</v>
      </c>
      <c r="C208" s="19" t="s">
        <v>1571</v>
      </c>
      <c r="D208" s="22">
        <f>E0_Cl2+nernst_slope*(-LOG10(MAX(pH_Cl,0.000000000001)))</f>
        <v>1.579505308204</v>
      </c>
      <c r="E208" s="67" t="s">
        <v>1592</v>
      </c>
    </row>
    <row r="209" spans="1:5" ht="60" x14ac:dyDescent="0.2">
      <c r="A209" t="s">
        <v>1593</v>
      </c>
      <c r="B209" s="18" t="s">
        <v>1594</v>
      </c>
      <c r="C209" s="19" t="s">
        <v>1595</v>
      </c>
      <c r="D209" s="22">
        <f>E_Cl2-E_OER</f>
        <v>0.741190671663</v>
      </c>
      <c r="E209" s="67" t="s">
        <v>1596</v>
      </c>
    </row>
    <row r="210" spans="1:5" ht="48" x14ac:dyDescent="0.2">
      <c r="A210" t="s">
        <v>1597</v>
      </c>
      <c r="B210" s="18" t="s">
        <v>1598</v>
      </c>
      <c r="C210" s="19" t="s">
        <v>1571</v>
      </c>
      <c r="D210" s="22">
        <f>E0_ORR2-nernst_slope*pH_meas</f>
        <v>0.30431463654</v>
      </c>
      <c r="E210" s="67" t="s">
        <v>1599</v>
      </c>
    </row>
    <row r="211" spans="1:5" ht="48" x14ac:dyDescent="0.2">
      <c r="A211" t="s">
        <v>1600</v>
      </c>
      <c r="B211" s="18" t="s">
        <v>1601</v>
      </c>
      <c r="C211" s="19" t="s">
        <v>1595</v>
      </c>
      <c r="D211" s="22">
        <f>E_OER-E0_Cu</f>
        <v>0.49641463654</v>
      </c>
      <c r="E211" s="67" t="s">
        <v>1602</v>
      </c>
    </row>
    <row r="213" spans="1:5" x14ac:dyDescent="0.2">
      <c r="A213" s="5" t="s">
        <v>1603</v>
      </c>
    </row>
    <row r="214" spans="1:5" ht="24" x14ac:dyDescent="0.2">
      <c r="A214" t="s">
        <v>1604</v>
      </c>
      <c r="B214" s="18" t="s">
        <v>1605</v>
      </c>
      <c r="C214" s="19" t="s">
        <v>577</v>
      </c>
      <c r="D214" s="52">
        <v>7.5899999999999996E-10</v>
      </c>
      <c r="E214" s="99" t="s">
        <v>1606</v>
      </c>
    </row>
    <row r="215" spans="1:5" ht="60" x14ac:dyDescent="0.2">
      <c r="A215" t="s">
        <v>1607</v>
      </c>
      <c r="B215" s="18" t="s">
        <v>1608</v>
      </c>
      <c r="C215" s="19" t="s">
        <v>580</v>
      </c>
      <c r="D215" s="36">
        <v>40</v>
      </c>
      <c r="E215" s="75" t="s">
        <v>1609</v>
      </c>
    </row>
    <row r="216" spans="1:5" ht="60" x14ac:dyDescent="0.2">
      <c r="A216" t="s">
        <v>1610</v>
      </c>
      <c r="B216" s="18" t="s">
        <v>1611</v>
      </c>
      <c r="C216" s="19" t="s">
        <v>1282</v>
      </c>
      <c r="D216" s="22">
        <f>Fcc*D_HPO4*(pH_PT*(1-1/(1+10^(pH_meas-(-LOG10(Ka2p_c))))))*1000/(delta_diff/1000000)/10</f>
        <v>2.804749298695</v>
      </c>
      <c r="E216" s="67" t="s">
        <v>1612</v>
      </c>
    </row>
    <row r="217" spans="1:5" x14ac:dyDescent="0.2">
      <c r="A217" t="s">
        <v>1613</v>
      </c>
      <c r="B217" s="18" t="s">
        <v>1614</v>
      </c>
      <c r="C217" s="19" t="s">
        <v>1282</v>
      </c>
      <c r="D217" s="22">
        <f>Electrochemistry!$D$48</f>
        <v>2.826095688296</v>
      </c>
      <c r="E217" s="67" t="s">
        <v>1615</v>
      </c>
    </row>
    <row r="218" spans="1:5" ht="48" x14ac:dyDescent="0.2">
      <c r="A218" t="s">
        <v>1616</v>
      </c>
      <c r="B218" s="18" t="s">
        <v>1617</v>
      </c>
      <c r="C218" s="19" t="s">
        <v>1274</v>
      </c>
      <c r="D218" s="22">
        <f>j_anode_c/j_buffer_lim</f>
        <v>1.007610801297</v>
      </c>
      <c r="E218" s="67" t="s">
        <v>1618</v>
      </c>
    </row>
    <row r="219" spans="1:5" ht="48" x14ac:dyDescent="0.2">
      <c r="A219" t="s">
        <v>1619</v>
      </c>
      <c r="B219" s="18" t="s">
        <v>1620</v>
      </c>
      <c r="C219" s="19" t="s">
        <v>1274</v>
      </c>
      <c r="D219" s="22" t="str">
        <f>IF(j_buffer_ratio&gt;1,"BUFFER EXCEEDED — anode surface acidifies (local pH ~1 unit below bulk); the pH solved above is the bulk value only",IF(j_buffer_ratio&gt;0.5,"watch — running at "&amp;TEXT(j_buffer_ratio,"0%")&amp;" of the phosphate buffer limit; expect a 0.4–1.0 unit excursion at each electrode surface","OK — buffer holds the electrode surfaces at the bulk pH"))</f>
        <v>BUFFER EXCEEDED — anode surface acidifies (local pH ~1 unit below bulk); the pH solved above is the bulk value only</v>
      </c>
      <c r="E219" s="67" t="s">
        <v>1621</v>
      </c>
    </row>
    <row r="220" spans="1:5" ht="60" x14ac:dyDescent="0.2">
      <c r="A220" t="s">
        <v>1622</v>
      </c>
      <c r="B220" s="18" t="s">
        <v>1623</v>
      </c>
      <c r="C220" s="19" t="s">
        <v>1274</v>
      </c>
      <c r="D220" s="22">
        <f>pH_op-LOG10(gamma_1)</f>
        <v>6.603949596052</v>
      </c>
      <c r="E220" s="67" t="s">
        <v>1624</v>
      </c>
    </row>
    <row r="221" spans="1:5" x14ac:dyDescent="0.2">
      <c r="A221" s="5" t="s">
        <v>1882</v>
      </c>
    </row>
    <row r="222" spans="1:5" ht="48" x14ac:dyDescent="0.2">
      <c r="A222" t="s">
        <v>1883</v>
      </c>
      <c r="B222" s="18" t="s">
        <v>1884</v>
      </c>
      <c r="C222" s="19" t="s">
        <v>1885</v>
      </c>
      <c r="D222" s="52">
        <v>52460</v>
      </c>
      <c r="E222" s="99" t="s">
        <v>1886</v>
      </c>
    </row>
    <row r="223" spans="1:5" x14ac:dyDescent="0.2">
      <c r="A223" t="s">
        <v>1887</v>
      </c>
      <c r="B223" s="18" t="s">
        <v>1888</v>
      </c>
      <c r="C223" s="19" t="s">
        <v>1885</v>
      </c>
      <c r="D223" s="52">
        <v>70906</v>
      </c>
      <c r="E223" s="99" t="s">
        <v>1889</v>
      </c>
    </row>
    <row r="224" spans="1:5" ht="48" x14ac:dyDescent="0.2">
      <c r="A224" t="s">
        <v>1890</v>
      </c>
      <c r="B224" s="18" t="s">
        <v>1891</v>
      </c>
      <c r="C224" s="19" t="s">
        <v>1892</v>
      </c>
      <c r="D224" s="52">
        <v>5.0599999999999996</v>
      </c>
      <c r="E224" s="67" t="s">
        <v>1893</v>
      </c>
    </row>
    <row r="225" spans="1:5" x14ac:dyDescent="0.2">
      <c r="A225" t="s">
        <v>1894</v>
      </c>
      <c r="B225" s="18" t="s">
        <v>1895</v>
      </c>
      <c r="C225" s="19" t="s">
        <v>1885</v>
      </c>
      <c r="D225" s="52">
        <v>14007</v>
      </c>
      <c r="E225" s="99" t="s">
        <v>1896</v>
      </c>
    </row>
    <row r="226" spans="1:5" ht="48" x14ac:dyDescent="0.2">
      <c r="A226" t="s">
        <v>1897</v>
      </c>
      <c r="B226" s="18" t="s">
        <v>1898</v>
      </c>
      <c r="C226" s="19" t="s">
        <v>1270</v>
      </c>
      <c r="D226" s="22">
        <f>C_eff*M_Cl2/M_HOCl</f>
        <v>0.500655956628</v>
      </c>
      <c r="E226" s="67" t="s">
        <v>1899</v>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27">
        <f>Electrochemistry!$D$21</f>
        <v>0.000103759833633</v>
      </c>
      <c r="E4" s="23" t="str">
        <f>HYPERLINK("#Electrochemistry!D21","→ Electrochemistry")</f>
        <v>→ Electrochemistry</v>
      </c>
      <c r="F4" s="20"/>
    </row>
    <row r="5" spans="1:6" x14ac:dyDescent="0.2">
      <c r="A5" s="20" t="s">
        <v>404</v>
      </c>
      <c r="B5" s="18" t="s">
        <v>378</v>
      </c>
      <c r="C5" s="20" t="s">
        <v>354</v>
      </c>
      <c r="D5" s="27">
        <f>Electrochemistry!$D$29</f>
        <v>4.936187056172e-05</v>
      </c>
      <c r="E5" s="23" t="str">
        <f>HYPERLINK("#Electrochemistry!D29","→ Electrochemistry")</f>
        <v>→ Electrochemistry</v>
      </c>
      <c r="F5" s="20"/>
    </row>
    <row r="6" spans="1:6" x14ac:dyDescent="0.2">
      <c r="A6" s="20" t="s">
        <v>405</v>
      </c>
      <c r="B6" s="18" t="s">
        <v>228</v>
      </c>
      <c r="C6" s="20" t="s">
        <v>57</v>
      </c>
      <c r="D6" s="25">
        <f>Geometry!$D$41</f>
        <v>15.0</v>
      </c>
      <c r="E6" s="23" t="str">
        <f>HYPERLINK("#Geometry!D41","→ Geometry")</f>
        <v>→ Geometry</v>
      </c>
      <c r="F6" s="20"/>
    </row>
    <row r="7" spans="1:6" x14ac:dyDescent="0.2">
      <c r="A7" s="20" t="s">
        <v>406</v>
      </c>
      <c r="B7" s="18" t="s">
        <v>38</v>
      </c>
      <c r="C7" s="20"/>
      <c r="D7" s="38" t="str">
        <f>Summary!$D$4</f>
        <v>UdG (mixed)</v>
      </c>
      <c r="E7" s="23"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105">
        <f>IF(ISNUMBER(cal_knall_H2),cal_knall_H2,6)</f>
        <v>6.0</v>
      </c>
      <c r="E10" s="61" t="s">
        <v>409</v>
      </c>
      <c r="F10" s="20"/>
    </row>
    <row r="11" spans="1:6" x14ac:dyDescent="0.2">
      <c r="A11" s="17" t="s">
        <v>410</v>
      </c>
      <c r="B11" s="18" t="s">
        <v>411</v>
      </c>
      <c r="C11" s="19" t="s">
        <v>135</v>
      </c>
      <c r="D11" s="105">
        <f>IF(ISNUMBER(cal_knall_O2),cal_knall_O2,2)</f>
        <v>2.0</v>
      </c>
      <c r="E11" s="61" t="s">
        <v>412</v>
      </c>
      <c r="F11" s="20"/>
    </row>
    <row r="12" spans="1:6" x14ac:dyDescent="0.2">
      <c r="A12" s="17" t="s">
        <v>413</v>
      </c>
      <c r="B12" s="18" t="s">
        <v>414</v>
      </c>
      <c r="C12" s="19" t="s">
        <v>135</v>
      </c>
      <c r="D12" s="105">
        <f>IF(ISNUMBER(cal_knall_CO2),cal_knall_CO2,1)</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62">
        <f>Summary!$D$8</f>
        <v>25.0</v>
      </c>
      <c r="E17" s="37" t="s">
        <v>429</v>
      </c>
      <c r="F17" s="20"/>
    </row>
    <row r="18" spans="1:6" ht="24" customHeight="1" x14ac:dyDescent="0.2">
      <c r="A18" s="17" t="s">
        <v>430</v>
      </c>
      <c r="B18" s="18" t="s">
        <v>308</v>
      </c>
      <c r="C18" s="19" t="s">
        <v>309</v>
      </c>
      <c r="D18" s="42">
        <f>T_C+273.15</f>
        <v>298.15</v>
      </c>
      <c r="E18" s="99" t="s">
        <v>431</v>
      </c>
      <c r="F18" s="20"/>
    </row>
    <row r="19" spans="1:6" x14ac:dyDescent="0.2">
      <c r="A19" s="17" t="s">
        <v>432</v>
      </c>
      <c r="B19" s="18" t="s">
        <v>311</v>
      </c>
      <c r="C19" s="19" t="s">
        <v>62</v>
      </c>
      <c r="D19" s="63">
        <f>IF(Summary!$D$10&gt;0,Summary!$D$10,101325)</f>
        <v>101325.0</v>
      </c>
      <c r="E19" s="37" t="s">
        <v>433</v>
      </c>
      <c r="F19" s="20"/>
    </row>
    <row r="20" spans="1:6" x14ac:dyDescent="0.2">
      <c r="A20" s="17" t="s">
        <v>434</v>
      </c>
      <c r="B20" s="18" t="s">
        <v>435</v>
      </c>
      <c r="C20" s="19" t="s">
        <v>436</v>
      </c>
      <c r="D20" s="52">
        <v>101325</v>
      </c>
      <c r="E20" s="99" t="s">
        <v>437</v>
      </c>
      <c r="F20" s="20"/>
    </row>
    <row r="21" spans="1:6" x14ac:dyDescent="0.2">
      <c r="A21" s="17" t="s">
        <v>438</v>
      </c>
      <c r="B21" s="18" t="s">
        <v>439</v>
      </c>
      <c r="C21" s="19" t="s">
        <v>440</v>
      </c>
      <c r="D21" s="52">
        <v>1.2E-5</v>
      </c>
      <c r="E21" s="51" t="s">
        <v>441</v>
      </c>
      <c r="F21" s="20"/>
    </row>
    <row r="22" spans="1:6" x14ac:dyDescent="0.2">
      <c r="A22" s="17" t="s">
        <v>442</v>
      </c>
      <c r="B22" s="18" t="s">
        <v>443</v>
      </c>
      <c r="C22" s="19" t="s">
        <v>309</v>
      </c>
      <c r="D22" s="52">
        <v>1500</v>
      </c>
      <c r="E22" s="51" t="s">
        <v>444</v>
      </c>
      <c r="F22" s="20"/>
    </row>
    <row r="23" spans="1:6" x14ac:dyDescent="0.2">
      <c r="A23" s="17" t="s">
        <v>445</v>
      </c>
      <c r="B23" s="18" t="s">
        <v>446</v>
      </c>
      <c r="C23" s="19" t="s">
        <v>309</v>
      </c>
      <c r="D23" s="52">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52">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66">
        <v>3.3E-4</v>
      </c>
      <c r="E29" s="67" t="s">
        <v>1054</v>
      </c>
      <c r="F29" s="20"/>
    </row>
    <row r="30" spans="1:6" ht="24" customHeight="1" x14ac:dyDescent="0.2">
      <c r="A30" s="17" t="s">
        <v>467</v>
      </c>
      <c r="B30" s="18" t="s">
        <v>468</v>
      </c>
      <c r="C30" s="19" t="s">
        <v>309</v>
      </c>
      <c r="D30" s="66">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36">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66">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66">
        <v>7.7999999999999999E-6</v>
      </c>
      <c r="E38" s="67" t="s">
        <v>1055</v>
      </c>
      <c r="F38" s="20"/>
    </row>
    <row r="39" spans="1:6" x14ac:dyDescent="0.2">
      <c r="A39" s="17" t="s">
        <v>494</v>
      </c>
      <c r="B39" s="18" t="s">
        <v>495</v>
      </c>
      <c r="C39" s="19" t="s">
        <v>309</v>
      </c>
      <c r="D39" s="66">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s">
        <v>509</v>
      </c>
      <c r="B44" s="18" t="s">
        <v>510</v>
      </c>
      <c r="C44" s="19" t="s">
        <v>135</v>
      </c>
      <c r="D44" s="48" t="str">
        <f>IF(H2_turnover&gt;1,"EXPLOSIVE","watch")</f>
        <v>EXPLOSIVE</v>
      </c>
      <c r="E44" s="70" t="s">
        <v>511</v>
      </c>
      <c r="F44" s="101" t="s">
        <v>512</v>
      </c>
    </row>
    <row r="45" spans="1:6" x14ac:dyDescent="0.2">
      <c r="A45" s="20" t="s">
        <v>513</v>
      </c>
      <c r="B45" s="20" t="s">
        <v>514</v>
      </c>
      <c r="C45" s="20" t="s">
        <v>102</v>
      </c>
      <c r="D45" s="71" t="e">
        <f>IF(ISNUMBER(cal_DO_min),cal_DO_min,IF(ISNUMBER(VLOOKUP(organism_sel,$A$52:$F$57,2,FALSE)),VLOOKUP(organism_sel,$A$52:$F$57,2,FALSE),NA()))</f>
        <v>#N/A</v>
      </c>
      <c r="E45" s="20"/>
      <c r="F45" s="20"/>
    </row>
    <row r="46" spans="1:6" x14ac:dyDescent="0.2">
      <c r="A46" s="20" t="s">
        <v>515</v>
      </c>
      <c r="B46" s="20" t="s">
        <v>516</v>
      </c>
      <c r="C46" s="20" t="s">
        <v>102</v>
      </c>
      <c r="D46" s="24" t="e">
        <f>IF(ISNUMBER(cal_DO_opt),cal_DO_opt,IF(ISNUMBER(VLOOKUP(organism_sel,$A$52:$F$57,3,FALSE)),VLOOKUP(organism_sel,$A$52:$F$57,3,FALSE),NA()))</f>
        <v>#N/A</v>
      </c>
      <c r="E46" s="20"/>
      <c r="F46" s="20"/>
    </row>
    <row r="47" spans="1:6" x14ac:dyDescent="0.2">
      <c r="A47" s="20" t="s">
        <v>517</v>
      </c>
      <c r="B47" s="20" t="s">
        <v>518</v>
      </c>
      <c r="C47" s="20" t="s">
        <v>102</v>
      </c>
      <c r="D47" s="24" t="e">
        <f>IF(ISNUMBER(cal_DO_impair),cal_DO_impair,IF(ISNUMBER(VLOOKUP(organism_sel,$A$52:$F$57,4,FALSE)),VLOOKUP(organism_sel,$A$52:$F$57,4,FALSE),NA()))</f>
        <v>#N/A</v>
      </c>
      <c r="E47" s="20"/>
      <c r="F47" s="20"/>
    </row>
    <row r="48" spans="1:6" x14ac:dyDescent="0.2">
      <c r="A48" s="20" t="s">
        <v>519</v>
      </c>
      <c r="B48" s="20" t="s">
        <v>520</v>
      </c>
      <c r="C48" s="20" t="s">
        <v>102</v>
      </c>
      <c r="D48" s="24"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s">
        <v>1473</v>
      </c>
    </row>
    <row r="60" spans="1:6" ht="24" x14ac:dyDescent="0.2">
      <c r="A60" t="s">
        <v>1474</v>
      </c>
      <c r="B60" s="18" t="s">
        <v>1475</v>
      </c>
      <c r="C60" s="19" t="s">
        <v>1274</v>
      </c>
      <c r="D60" s="22">
        <f>IF(AND(ISNUMBER(DO_opt),ISNUMBER(DO_toxic)),DO_opt/DO_toxic,DO_frac_fallback)</f>
        <v>0.226086956522</v>
      </c>
      <c r="E60" s="67" t="s">
        <v>1476</v>
      </c>
    </row>
    <row r="61" spans="1:6" ht="48" x14ac:dyDescent="0.2">
      <c r="A61" t="s">
        <v>1477</v>
      </c>
      <c r="B61" s="18" t="s">
        <v>1478</v>
      </c>
      <c r="C61" s="19" t="s">
        <v>1274</v>
      </c>
      <c r="D61" s="52">
        <v>0.22608695652173899</v>
      </c>
      <c r="E61" s="68" t="s">
        <v>1928</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72">
        <f>Geometry!$D$52</f>
        <v>12.0</v>
      </c>
      <c r="E5" s="73" t="str">
        <f>HYPERLINK("#Geometry!D52","→ Geometry")</f>
        <v>→ Geometry</v>
      </c>
      <c r="F5" s="101" t="s">
        <v>540</v>
      </c>
    </row>
    <row r="6" spans="1:6" x14ac:dyDescent="0.2">
      <c r="A6" s="20" t="s">
        <v>541</v>
      </c>
      <c r="B6" s="20" t="s">
        <v>459</v>
      </c>
      <c r="C6" s="20" t="s">
        <v>460</v>
      </c>
      <c r="D6" s="26">
        <f>Biology!$D$27</f>
        <v>0.36477</v>
      </c>
      <c r="E6" s="23" t="str">
        <f>HYPERLINK("#Biology!D27","→ Biology")</f>
        <v>→ Biology</v>
      </c>
      <c r="F6" s="20"/>
    </row>
    <row r="7" spans="1:6" x14ac:dyDescent="0.2">
      <c r="A7" s="20" t="s">
        <v>542</v>
      </c>
      <c r="B7" s="20" t="s">
        <v>456</v>
      </c>
      <c r="C7" s="20" t="s">
        <v>62</v>
      </c>
      <c r="D7" s="26">
        <f>Biology!$D$26</f>
        <v>30397.5</v>
      </c>
      <c r="E7" s="23" t="str">
        <f>HYPERLINK("#Biology!D26","→ Biology")</f>
        <v>→ Biology</v>
      </c>
      <c r="F7" s="20"/>
    </row>
    <row r="8" spans="1:6" ht="24" customHeight="1" x14ac:dyDescent="0.2">
      <c r="A8" s="20" t="s">
        <v>307</v>
      </c>
      <c r="B8" s="20" t="s">
        <v>308</v>
      </c>
      <c r="C8" s="20" t="s">
        <v>309</v>
      </c>
      <c r="D8" s="26">
        <f>Biology!$D$18</f>
        <v>298.15</v>
      </c>
      <c r="E8" s="23" t="str">
        <f>HYPERLINK("#Biology!D18","→ Biology")</f>
        <v>→ Biology</v>
      </c>
      <c r="F8" s="20"/>
    </row>
    <row r="9" spans="1:6" x14ac:dyDescent="0.2">
      <c r="A9" s="20" t="s">
        <v>310</v>
      </c>
      <c r="B9" s="20" t="s">
        <v>311</v>
      </c>
      <c r="C9" s="20" t="s">
        <v>62</v>
      </c>
      <c r="D9" s="26">
        <f>Biology!$D$19</f>
        <v>101325.0</v>
      </c>
      <c r="E9" s="23" t="str">
        <f>HYPERLINK("#Biology!D19","→ Biology")</f>
        <v>→ Biology</v>
      </c>
      <c r="F9" s="20"/>
    </row>
    <row r="10" spans="1:6" x14ac:dyDescent="0.2">
      <c r="A10" s="20" t="s">
        <v>543</v>
      </c>
      <c r="B10" s="20" t="s">
        <v>423</v>
      </c>
      <c r="C10" s="20" t="s">
        <v>354</v>
      </c>
      <c r="D10" s="26">
        <f>Biology!$D$15</f>
        <v>1.72933056055e-05</v>
      </c>
      <c r="E10" s="23" t="str">
        <f>HYPERLINK("#Biology!D15","→ Biology")</f>
        <v>→ Biology</v>
      </c>
      <c r="F10" s="20"/>
    </row>
    <row r="11" spans="1:6" x14ac:dyDescent="0.2">
      <c r="A11" s="20" t="s">
        <v>544</v>
      </c>
      <c r="B11" s="20" t="s">
        <v>426</v>
      </c>
      <c r="C11" s="20" t="s">
        <v>354</v>
      </c>
      <c r="D11" s="26">
        <f>Biology!$D$16</f>
        <v>1.477525935072e-05</v>
      </c>
      <c r="E11" s="23" t="str">
        <f>HYPERLINK("#Biology!D16","→ Biology")</f>
        <v>→ Biology</v>
      </c>
      <c r="F11" s="20"/>
    </row>
    <row r="12" spans="1:6" x14ac:dyDescent="0.2">
      <c r="A12" s="20" t="s">
        <v>545</v>
      </c>
      <c r="B12" s="20" t="s">
        <v>449</v>
      </c>
      <c r="C12" s="20" t="s">
        <v>440</v>
      </c>
      <c r="D12" s="26">
        <f>Biology!$D$24</f>
        <v>1.2e-05</v>
      </c>
      <c r="E12" s="23" t="str">
        <f>HYPERLINK("#Biology!D24","→ Biology")</f>
        <v>→ Biology</v>
      </c>
      <c r="F12" s="20"/>
    </row>
    <row r="13" spans="1:6" x14ac:dyDescent="0.2">
      <c r="A13" s="20" t="s">
        <v>404</v>
      </c>
      <c r="B13" s="20" t="s">
        <v>378</v>
      </c>
      <c r="C13" s="20" t="s">
        <v>354</v>
      </c>
      <c r="D13" s="27">
        <f>Electrochemistry!$D$29</f>
        <v>4.936187056172e-05</v>
      </c>
      <c r="E13" s="23" t="str">
        <f>HYPERLINK("#Electrochemistry!D29","→ Electrochemistry")</f>
        <v>→ Electrochemistry</v>
      </c>
      <c r="F13" s="20"/>
    </row>
    <row r="14" spans="1:6" x14ac:dyDescent="0.2">
      <c r="A14" s="20" t="s">
        <v>546</v>
      </c>
      <c r="B14" s="20" t="s">
        <v>237</v>
      </c>
      <c r="C14" s="20" t="s">
        <v>172</v>
      </c>
      <c r="D14" s="25">
        <f>Geometry!$D$44</f>
        <v>429.547725140567</v>
      </c>
      <c r="E14" s="23" t="str">
        <f>HYPERLINK("#Geometry!D44","→ Geometry")</f>
        <v>→ Geometry</v>
      </c>
      <c r="F14" s="20"/>
    </row>
    <row r="15" spans="1:6" x14ac:dyDescent="0.2">
      <c r="A15" s="20" t="s">
        <v>547</v>
      </c>
      <c r="B15" s="20" t="s">
        <v>168</v>
      </c>
      <c r="C15" s="20" t="s">
        <v>146</v>
      </c>
      <c r="D15" s="25">
        <f>Geometry!$D$20</f>
        <v>25.28</v>
      </c>
      <c r="E15" s="23" t="str">
        <f>HYPERLINK("#Geometry!D20","→ Geometry")</f>
        <v>→ Geometry</v>
      </c>
      <c r="F15" s="20"/>
    </row>
    <row r="16" spans="1:6" x14ac:dyDescent="0.2">
      <c r="A16" s="20" t="s">
        <v>405</v>
      </c>
      <c r="B16" s="20" t="s">
        <v>228</v>
      </c>
      <c r="C16" s="20" t="s">
        <v>57</v>
      </c>
      <c r="D16" s="25">
        <f>Geometry!$D$41</f>
        <v>15.0</v>
      </c>
      <c r="E16" s="23" t="str">
        <f>HYPERLINK("#Geometry!D41","→ Geometry")</f>
        <v>→ Geometry</v>
      </c>
      <c r="F16" s="20"/>
    </row>
    <row r="17" spans="1:6" x14ac:dyDescent="0.2">
      <c r="A17" s="20" t="s">
        <v>548</v>
      </c>
      <c r="B17" s="20" t="s">
        <v>171</v>
      </c>
      <c r="C17" s="20" t="s">
        <v>172</v>
      </c>
      <c r="D17" s="25">
        <f>Geometry!$D$21</f>
        <v>501.93100162698</v>
      </c>
      <c r="E17" s="23" t="str">
        <f>HYPERLINK("#Geometry!D21","→ Geometry")</f>
        <v>→ Geometry</v>
      </c>
      <c r="F17" s="20"/>
    </row>
    <row r="18" spans="1:6" ht="24" customHeight="1" x14ac:dyDescent="0.2">
      <c r="A18" s="20" t="s">
        <v>549</v>
      </c>
      <c r="B18" s="20" t="s">
        <v>200</v>
      </c>
      <c r="C18" s="20" t="s">
        <v>146</v>
      </c>
      <c r="D18" s="25">
        <f>Geometry!$D$31</f>
        <v>1.5875</v>
      </c>
      <c r="E18" s="23" t="str">
        <f>HYPERLINK("#Geometry!D31","→ Geometry")</f>
        <v>→ Geometry</v>
      </c>
      <c r="F18" s="20"/>
    </row>
    <row r="19" spans="1:6" x14ac:dyDescent="0.2">
      <c r="A19" s="20" t="s">
        <v>550</v>
      </c>
      <c r="B19" s="20" t="s">
        <v>252</v>
      </c>
      <c r="C19" s="20" t="s">
        <v>57</v>
      </c>
      <c r="D19" s="25">
        <f>Geometry!$D$49</f>
        <v>2.612428455917</v>
      </c>
      <c r="E19" s="23" t="str">
        <f>HYPERLINK("#Geometry!D49","→ Geometry")</f>
        <v>→ Geometry</v>
      </c>
      <c r="F19" s="20"/>
    </row>
    <row r="20" spans="1:6" x14ac:dyDescent="0.2">
      <c r="A20" s="20" t="s">
        <v>551</v>
      </c>
      <c r="B20" s="20" t="s">
        <v>552</v>
      </c>
      <c r="C20" s="20" t="s">
        <v>553</v>
      </c>
      <c r="D20" s="27">
        <f>Electrochemistry!$D$32</f>
        <v>0.0</v>
      </c>
      <c r="E20" s="23" t="str">
        <f>HYPERLINK("#Electrochemistry!D32","→ Electrochemistry")</f>
        <v>→ Electrochemistry</v>
      </c>
      <c r="F20" s="20"/>
    </row>
    <row r="21" spans="1:6" x14ac:dyDescent="0.2">
      <c r="A21" s="20" t="s">
        <v>554</v>
      </c>
      <c r="B21" s="20" t="s">
        <v>389</v>
      </c>
      <c r="C21" s="20" t="s">
        <v>135</v>
      </c>
      <c r="D21" s="27" t="str">
        <f>Electrochemistry!$D$31</f>
        <v>Tube</v>
      </c>
      <c r="E21" s="23" t="str">
        <f>HYPERLINK("#Electrochemistry!D31","→ Electrochemistry")</f>
        <v>→ Electrochemistry</v>
      </c>
      <c r="F21" s="20"/>
    </row>
    <row r="22" spans="1:6" ht="36" customHeight="1" x14ac:dyDescent="0.2">
      <c r="A22" s="20" t="s">
        <v>555</v>
      </c>
      <c r="B22" s="20" t="s">
        <v>516</v>
      </c>
      <c r="C22" s="20"/>
      <c r="D22" s="26" t="e">
        <f>Biology!$D$46</f>
        <v>#N/A</v>
      </c>
      <c r="E22" s="23" t="str">
        <f>HYPERLINK("#Biology!D46","→ Biology")</f>
        <v>→ Biology</v>
      </c>
      <c r="F22" s="20"/>
    </row>
    <row r="23" spans="1:6" x14ac:dyDescent="0.2">
      <c r="A23" s="20" t="s">
        <v>556</v>
      </c>
      <c r="B23" s="20" t="s">
        <v>518</v>
      </c>
      <c r="C23" s="20"/>
      <c r="D23" s="26" t="e">
        <f>Biology!$D$47</f>
        <v>#N/A</v>
      </c>
      <c r="E23" s="23" t="str">
        <f>HYPERLINK("#Biology!D47","→ Biology")</f>
        <v>→ Biology</v>
      </c>
      <c r="F23" s="20"/>
    </row>
    <row r="24" spans="1:6" x14ac:dyDescent="0.2">
      <c r="A24" s="20" t="s">
        <v>557</v>
      </c>
      <c r="B24" s="20" t="s">
        <v>520</v>
      </c>
      <c r="C24" s="20"/>
      <c r="D24" s="26" t="e">
        <f>Biology!$D$48</f>
        <v>#N/A</v>
      </c>
      <c r="E24" s="23" t="str">
        <f>HYPERLINK("#Biology!D48","→ Biology")</f>
        <v>→ Biology</v>
      </c>
      <c r="F24" s="20"/>
    </row>
    <row r="25" spans="1:6" x14ac:dyDescent="0.2">
      <c r="A25" s="20" t="s">
        <v>558</v>
      </c>
      <c r="B25" s="20" t="s">
        <v>514</v>
      </c>
      <c r="C25" s="20"/>
      <c r="D25" s="26" t="e">
        <f>Biology!$D$45</f>
        <v>#N/A</v>
      </c>
      <c r="E25" s="23" t="str">
        <f>HYPERLINK("#Biology!D45","→ Biology")</f>
        <v>→ Biology</v>
      </c>
      <c r="F25" s="20"/>
    </row>
    <row r="26" spans="1:6" x14ac:dyDescent="0.2">
      <c r="A26" s="17"/>
      <c r="B26" s="18"/>
      <c r="C26" s="19"/>
      <c r="D26" s="74"/>
      <c r="E26" s="75"/>
      <c r="F26" s="20"/>
    </row>
    <row r="27" spans="1:6" x14ac:dyDescent="0.2">
      <c r="A27" s="17" t="s">
        <v>559</v>
      </c>
      <c r="B27" s="18" t="s">
        <v>560</v>
      </c>
      <c r="C27" s="19" t="s">
        <v>135</v>
      </c>
      <c r="D27" s="36" t="s">
        <v>395</v>
      </c>
      <c r="E27" s="37" t="s">
        <v>561</v>
      </c>
      <c r="F27" s="20"/>
    </row>
    <row r="28" spans="1:6" x14ac:dyDescent="0.2">
      <c r="A28" s="17" t="s">
        <v>562</v>
      </c>
      <c r="B28" s="18" t="s">
        <v>563</v>
      </c>
      <c r="C28" s="19" t="s">
        <v>135</v>
      </c>
      <c r="D28" s="36" t="s">
        <v>401</v>
      </c>
      <c r="E28" s="37" t="s">
        <v>564</v>
      </c>
      <c r="F28" s="20"/>
    </row>
    <row r="29" spans="1:6" ht="24" x14ac:dyDescent="0.2">
      <c r="A29" s="17" t="s">
        <v>565</v>
      </c>
      <c r="B29" s="18" t="s">
        <v>566</v>
      </c>
      <c r="C29" s="19" t="s">
        <v>567</v>
      </c>
      <c r="D29" s="22">
        <f>sigma_0+sigma_k*(T_K-273.15)</f>
        <v>0.071965</v>
      </c>
      <c r="E29" s="51" t="s">
        <v>1785</v>
      </c>
      <c r="F29" s="20"/>
    </row>
    <row r="30" spans="1:6" ht="24" customHeight="1" x14ac:dyDescent="0.2">
      <c r="A30" s="17" t="s">
        <v>568</v>
      </c>
      <c r="B30" s="18" t="s">
        <v>569</v>
      </c>
      <c r="C30" s="19" t="s">
        <v>570</v>
      </c>
      <c r="D30" s="22">
        <f>rho_0+rho_k*(T_K-273.15)</f>
        <v>996.94</v>
      </c>
      <c r="E30" s="51" t="s">
        <v>1786</v>
      </c>
      <c r="F30" s="20"/>
    </row>
    <row r="31" spans="1:6" x14ac:dyDescent="0.2">
      <c r="A31" s="17" t="s">
        <v>571</v>
      </c>
      <c r="B31" s="18" t="s">
        <v>572</v>
      </c>
      <c r="C31" s="19" t="s">
        <v>573</v>
      </c>
      <c r="D31" s="56">
        <v>9.8066499999999994</v>
      </c>
      <c r="E31" s="100" t="s">
        <v>574</v>
      </c>
      <c r="F31" s="20"/>
    </row>
    <row r="32" spans="1:6" ht="24" customHeight="1" x14ac:dyDescent="0.2">
      <c r="A32" s="17" t="s">
        <v>575</v>
      </c>
      <c r="B32" s="18" t="s">
        <v>576</v>
      </c>
      <c r="C32" s="19" t="s">
        <v>577</v>
      </c>
      <c r="D32" s="22">
        <f>10^(HB_a+HB_b/T_K-(HB_c/T_K)^2)/10000</f>
        <v>1.997672318404e-09</v>
      </c>
      <c r="E32" s="37" t="s">
        <v>1787</v>
      </c>
      <c r="F32" s="20"/>
    </row>
    <row r="33" spans="1:6" x14ac:dyDescent="0.2">
      <c r="A33" s="17" t="s">
        <v>578</v>
      </c>
      <c r="B33" s="18" t="s">
        <v>579</v>
      </c>
      <c r="C33" s="19" t="s">
        <v>580</v>
      </c>
      <c r="D33" s="52">
        <v>205</v>
      </c>
      <c r="E33" s="51" t="s">
        <v>581</v>
      </c>
      <c r="F33" s="20"/>
    </row>
    <row r="34" spans="1:6" ht="24" customHeight="1" x14ac:dyDescent="0.2">
      <c r="A34" s="17" t="s">
        <v>582</v>
      </c>
      <c r="B34" s="18" t="s">
        <v>583</v>
      </c>
      <c r="C34" s="19" t="s">
        <v>580</v>
      </c>
      <c r="D34" s="52">
        <v>130</v>
      </c>
      <c r="E34" s="51" t="s">
        <v>584</v>
      </c>
      <c r="F34" s="20"/>
    </row>
    <row r="35" spans="1:6" x14ac:dyDescent="0.2">
      <c r="A35" s="17" t="s">
        <v>585</v>
      </c>
      <c r="B35" s="18" t="s">
        <v>586</v>
      </c>
      <c r="C35" s="19" t="s">
        <v>580</v>
      </c>
      <c r="D35" s="52">
        <v>70</v>
      </c>
      <c r="E35" s="51" t="s">
        <v>587</v>
      </c>
      <c r="F35" s="20"/>
    </row>
    <row r="36" spans="1:6" x14ac:dyDescent="0.2">
      <c r="A36" s="17" t="s">
        <v>588</v>
      </c>
      <c r="B36" s="18" t="s">
        <v>589</v>
      </c>
      <c r="C36" s="19" t="s">
        <v>580</v>
      </c>
      <c r="D36" s="52">
        <v>28</v>
      </c>
      <c r="E36" s="51" t="s">
        <v>590</v>
      </c>
      <c r="F36" s="20"/>
    </row>
    <row r="37" spans="1:6" x14ac:dyDescent="0.2">
      <c r="A37" s="17" t="s">
        <v>591</v>
      </c>
      <c r="B37" s="18" t="s">
        <v>592</v>
      </c>
      <c r="C37" s="19" t="s">
        <v>580</v>
      </c>
      <c r="D37" s="52">
        <v>13</v>
      </c>
      <c r="E37" s="51" t="s">
        <v>593</v>
      </c>
      <c r="F37" s="20"/>
    </row>
    <row r="38" spans="1:6" x14ac:dyDescent="0.2">
      <c r="A38" s="17" t="s">
        <v>594</v>
      </c>
      <c r="B38" s="18" t="s">
        <v>595</v>
      </c>
      <c r="C38" s="19" t="s">
        <v>580</v>
      </c>
      <c r="D38" s="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50">
        <v>2.14</v>
      </c>
      <c r="E44" s="75" t="s">
        <v>614</v>
      </c>
      <c r="F44" s="20"/>
    </row>
    <row r="45" spans="1:6" x14ac:dyDescent="0.2">
      <c r="A45" s="17" t="s">
        <v>615</v>
      </c>
      <c r="B45" s="18" t="s">
        <v>616</v>
      </c>
      <c r="C45" s="19" t="s">
        <v>135</v>
      </c>
      <c r="D45" s="77">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IF(d_bubble&lt;0.001,0,kLa_sparge*(V_charge/1000000)*O2_ceil_C*3600)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36">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36">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IF(d_bubble&lt;0.001,"Sinter OOR – add fine-bubble model",IF(We_orifice&lt;2,"Static","Dynamic"))</f>
        <v>Static</v>
      </c>
      <c r="E64" s="99" t="s">
        <v>674</v>
      </c>
      <c r="F64" s="20"/>
    </row>
    <row r="65" spans="1:6" ht="24" customHeight="1" x14ac:dyDescent="0.2">
      <c r="A65" s="17" t="s">
        <v>675</v>
      </c>
      <c r="B65" s="18" t="s">
        <v>676</v>
      </c>
      <c r="C65" s="19" t="s">
        <v>67</v>
      </c>
      <c r="D65" s="48">
        <f>O2_ceil_C*(V_charge/1000000)/O2_excess*60</f>
        <v>22.21910236615</v>
      </c>
      <c r="E65" s="99" t="s">
        <v>677</v>
      </c>
      <c r="F65" s="20"/>
    </row>
    <row r="66" spans="1:6" ht="24" customHeight="1" x14ac:dyDescent="0.2">
      <c r="A66" s="17" t="s">
        <v>678</v>
      </c>
      <c r="B66" s="18" t="s">
        <v>679</v>
      </c>
      <c r="C66" s="19" t="s">
        <v>67</v>
      </c>
      <c r="D66" s="48">
        <f>IF(O2_excess-strip_avg&gt;0,O2_ceil_C*(V_charge/1000000)/(O2_excess-strip_avg)*60,9999)</f>
        <v>22.588856006099</v>
      </c>
      <c r="E66" s="99" t="s">
        <v>680</v>
      </c>
      <c r="F66" s="20"/>
    </row>
    <row r="67" spans="1:6" x14ac:dyDescent="0.2">
      <c r="A67" s="17" t="s">
        <v>681</v>
      </c>
      <c r="B67" s="18" t="s">
        <v>682</v>
      </c>
      <c r="C67" s="19" t="s">
        <v>683</v>
      </c>
      <c r="D67" s="78">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s">
        <v>1455</v>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IF(O2_net_gen-strip_avg-surf_strip&gt;0,O2_ceil_C*(V_charge/1000000)/(O2_net_gen-strip_avg-surf_strip)*60,9999)</f>
        <v>9999.0</v>
      </c>
      <c r="E80" s="69" t="s">
        <v>1458</v>
      </c>
      <c r="F80" s="20"/>
    </row>
    <row r="81" spans="1:6" ht="24" customHeight="1" x14ac:dyDescent="0.2">
      <c r="A81" s="17" t="s">
        <v>719</v>
      </c>
      <c r="B81" s="18" t="s">
        <v>720</v>
      </c>
      <c r="C81" s="19" t="s">
        <v>135</v>
      </c>
      <c r="D81" s="36" t="s">
        <v>721</v>
      </c>
      <c r="E81" s="68" t="s">
        <v>1129</v>
      </c>
      <c r="F81" s="20"/>
    </row>
    <row r="82" spans="1:6" ht="24" x14ac:dyDescent="0.2">
      <c r="A82" s="17" t="s">
        <v>722</v>
      </c>
      <c r="B82" s="18" t="s">
        <v>723</v>
      </c>
      <c r="C82" s="19" t="s">
        <v>13</v>
      </c>
      <c r="D82" s="36">
        <v>1</v>
      </c>
      <c r="E82" s="68" t="s">
        <v>1130</v>
      </c>
      <c r="F82" s="20"/>
    </row>
    <row r="83" spans="1:6" ht="24" x14ac:dyDescent="0.2">
      <c r="A83" s="17" t="s">
        <v>724</v>
      </c>
      <c r="B83" s="18" t="s">
        <v>725</v>
      </c>
      <c r="C83" s="19" t="s">
        <v>67</v>
      </c>
      <c r="D83" s="36">
        <v>1</v>
      </c>
      <c r="E83" s="68" t="s">
        <v>1131</v>
      </c>
      <c r="F83" s="20"/>
    </row>
    <row r="84" spans="1:6" ht="36" x14ac:dyDescent="0.2">
      <c r="A84" s="17" t="s">
        <v>726</v>
      </c>
      <c r="B84" s="18" t="s">
        <v>727</v>
      </c>
      <c r="C84" s="19" t="s">
        <v>135</v>
      </c>
      <c r="D84" s="79">
        <f>Biology!$D$60</f>
        <v>0.226086956522</v>
      </c>
      <c r="E84" s="68" t="s">
        <v>1479</v>
      </c>
      <c r="F84" s="20"/>
    </row>
    <row r="85" spans="1:6" x14ac:dyDescent="0.2">
      <c r="A85" s="17" t="s">
        <v>728</v>
      </c>
      <c r="B85" s="18" t="s">
        <v>729</v>
      </c>
      <c r="C85" s="19" t="s">
        <v>135</v>
      </c>
      <c r="D85" s="36">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s">
        <v>1456</v>
      </c>
      <c r="F88" s="20"/>
    </row>
    <row r="89" spans="1:6" ht="36" x14ac:dyDescent="0.2">
      <c r="A89" s="17" t="s">
        <v>738</v>
      </c>
      <c r="B89" s="18" t="s">
        <v>739</v>
      </c>
      <c r="C89" s="19" t="s">
        <v>67</v>
      </c>
      <c r="D89" s="48">
        <f>target_DO_frac*O2_ceil_C*(V_charge/1000000)/O2_src_guard*60</f>
        <v>1.503645716274</v>
      </c>
      <c r="E89" s="99" t="s">
        <v>1457</v>
      </c>
      <c r="F89" s="20"/>
    </row>
    <row r="90" spans="1:6" x14ac:dyDescent="0.2">
      <c r="A90" s="17" t="s">
        <v>740</v>
      </c>
      <c r="B90" s="18" t="s">
        <v>741</v>
      </c>
      <c r="C90" s="19" t="s">
        <v>13</v>
      </c>
      <c r="D90" s="119">
        <f>MAX(pulse_floor,flush_factor*headspace_V/(Q_CO2/60))</f>
        <v>0.784513049825</v>
      </c>
      <c r="E90" s="80" t="s">
        <v>742</v>
      </c>
      <c r="F90" s="20"/>
    </row>
    <row r="91" spans="1:6" ht="24" customHeight="1" x14ac:dyDescent="0.2">
      <c r="A91" s="17" t="s">
        <v>743</v>
      </c>
      <c r="B91" s="18" t="s">
        <v>744</v>
      </c>
      <c r="C91" s="19" t="s">
        <v>67</v>
      </c>
      <c r="D91" s="119">
        <f>IF(ISNUMBER(spg_int_DO),MIN(spg_int_carbon,spg_int_DO),MIN(spg_int_carbon,spg_int_max))</f>
        <v>16.46036421628</v>
      </c>
      <c r="E91" s="80" t="s">
        <v>1827</v>
      </c>
      <c r="F91" s="20"/>
    </row>
    <row r="92" spans="1:6" x14ac:dyDescent="0.2">
      <c r="A92" s="17" t="s">
        <v>745</v>
      </c>
      <c r="B92" s="18" t="s">
        <v>746</v>
      </c>
      <c r="C92" s="19" t="s">
        <v>13</v>
      </c>
      <c r="D92" s="48">
        <f>spg_int_opt*60</f>
        <v>987.621852976796</v>
      </c>
      <c r="E92" s="80" t="s">
        <v>747</v>
      </c>
      <c r="F92" s="20"/>
    </row>
    <row r="93" spans="1:6" x14ac:dyDescent="0.2">
      <c r="A93" s="17" t="s">
        <v>748</v>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IF(spg_int*60-spg_dur&gt;=5,"OK","TIGHT")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116">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4">
        <f>min_sparge_cal</f>
        <v>0.25</v>
      </c>
      <c r="E99" s="20" t="s">
        <v>765</v>
      </c>
      <c r="F99" s="20"/>
    </row>
    <row r="100" spans="1:6" x14ac:dyDescent="0.2">
      <c r="A100" s="20" t="s">
        <v>766</v>
      </c>
      <c r="B100" s="20" t="s">
        <v>767</v>
      </c>
      <c r="C100" s="20" t="s">
        <v>354</v>
      </c>
      <c r="D100" s="24">
        <f>CO2_pulse*pulses_h</f>
        <v>0.0003892277799716</v>
      </c>
      <c r="E100" s="20" t="s">
        <v>765</v>
      </c>
      <c r="F100" s="20"/>
    </row>
    <row r="101" spans="1:6" x14ac:dyDescent="0.2">
      <c r="A101" s="20" t="s">
        <v>768</v>
      </c>
      <c r="B101" s="20" t="s">
        <v>313</v>
      </c>
      <c r="C101" s="20" t="s">
        <v>314</v>
      </c>
      <c r="D101" s="81">
        <v>8.3144626180000003</v>
      </c>
      <c r="E101" s="20" t="s">
        <v>765</v>
      </c>
      <c r="F101" s="20"/>
    </row>
    <row r="102" spans="1:6" x14ac:dyDescent="0.2">
      <c r="A102" s="20" t="s">
        <v>769</v>
      </c>
      <c r="B102" s="20" t="s">
        <v>770</v>
      </c>
      <c r="C102" s="20" t="s">
        <v>361</v>
      </c>
      <c r="D102" s="24">
        <f>IF(has_cal&gt;0,flowrate_cal*60,NA())</f>
        <v>199.8</v>
      </c>
      <c r="E102" s="20" t="s">
        <v>765</v>
      </c>
      <c r="F102" s="20"/>
    </row>
    <row r="103" spans="1:6" x14ac:dyDescent="0.2">
      <c r="A103" s="20" t="s">
        <v>771</v>
      </c>
      <c r="B103" s="20" t="s">
        <v>772</v>
      </c>
      <c r="C103" s="20" t="s">
        <v>773</v>
      </c>
      <c r="D103" s="81">
        <v>44.009500000000003</v>
      </c>
      <c r="E103" s="20" t="s">
        <v>765</v>
      </c>
      <c r="F103" s="20"/>
    </row>
    <row r="104" spans="1:6" x14ac:dyDescent="0.2">
      <c r="A104" s="20" t="s">
        <v>774</v>
      </c>
      <c r="B104" s="20" t="s">
        <v>775</v>
      </c>
      <c r="C104" s="20" t="s">
        <v>776</v>
      </c>
      <c r="D104" s="24">
        <f>P_atm*(Q_CO2/1000000/60)/(R_gas*T_K)</f>
        <v>0.000136110568266</v>
      </c>
      <c r="E104" s="20" t="s">
        <v>765</v>
      </c>
      <c r="F104" s="20"/>
    </row>
    <row r="105" spans="1:6" x14ac:dyDescent="0.2">
      <c r="A105" s="20" t="s">
        <v>777</v>
      </c>
      <c r="B105" s="20" t="s">
        <v>778</v>
      </c>
      <c r="C105" s="20" t="s">
        <v>135</v>
      </c>
      <c r="D105" s="24">
        <f>spg_dur/(spg_int*60)</f>
        <v>0.0007943455761538</v>
      </c>
      <c r="E105" s="20" t="s">
        <v>765</v>
      </c>
      <c r="F105" s="20"/>
    </row>
    <row r="106" spans="1:6" x14ac:dyDescent="0.2">
      <c r="A106" s="20" t="s">
        <v>779</v>
      </c>
      <c r="B106" s="20" t="s">
        <v>780</v>
      </c>
      <c r="C106" s="20" t="s">
        <v>135</v>
      </c>
      <c r="D106" s="8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4">
        <f>(DO_hs_floor+DO_surf_excess)*32</f>
        <v>2.639031652174</v>
      </c>
      <c r="E108" s="20" t="s">
        <v>1929</v>
      </c>
      <c r="F108" s="20"/>
    </row>
    <row r="109" spans="1:6" x14ac:dyDescent="0.2">
      <c r="A109" s="20" t="s">
        <v>784</v>
      </c>
      <c r="B109" s="20" t="s">
        <v>785</v>
      </c>
      <c r="C109" s="20"/>
      <c r="D109" s="24"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4" t="str">
        <f>IF(ISNUMBER(DO_min),IF(DO_ss&gt;=DO_min,"above minimum","BELOW MINIMUM"),"minimum DO unknown - measure")</f>
        <v>minimum DO unknown - measure</v>
      </c>
      <c r="E110" s="20"/>
      <c r="F110" s="20"/>
    </row>
    <row r="111" spans="1:6" x14ac:dyDescent="0.2">
      <c r="A111" s="20" t="s">
        <v>788</v>
      </c>
      <c r="B111" s="20" t="s">
        <v>789</v>
      </c>
      <c r="C111" s="20"/>
      <c r="D111" s="24" t="str">
        <f>IF(tip_speed&gt;1.5,"TIP SPEED &gt; 1.5 m/s","OK")</f>
        <v>OK</v>
      </c>
      <c r="E111" s="82" t="s">
        <v>790</v>
      </c>
      <c r="F111" s="20"/>
    </row>
    <row r="112" spans="1:6" x14ac:dyDescent="0.2">
      <c r="A112" s="20" t="s">
        <v>791</v>
      </c>
      <c r="B112" s="20" t="s">
        <v>792</v>
      </c>
      <c r="C112" s="20" t="s">
        <v>67</v>
      </c>
      <c r="D112" s="24">
        <f>spg_dur_opt/(60*duty_carbon)</f>
        <v>185.240207036777</v>
      </c>
      <c r="E112" s="20"/>
      <c r="F112" s="20"/>
    </row>
    <row r="113" spans="1:6" x14ac:dyDescent="0.2">
      <c r="A113" s="20" t="s">
        <v>793</v>
      </c>
      <c r="B113" s="20" t="s">
        <v>794</v>
      </c>
      <c r="C113" s="20"/>
      <c r="D113" s="24" t="str">
        <f>IF(AND(ISNUMBER(DO_ss),ISNUMBER(DO_impair)),IF(DO_ss&lt;DO_impair,"Surface stripping holds DO under impairment - sparge is CARBON-limited (long interval); the O2-limited interval is the conservative fallback until kL_surf is measured","Surface stripping insufficient - sparge must vent O2 - use the O2-limited interval"),"organism DO unknown")</f>
        <v>organism DO unknown</v>
      </c>
      <c r="E113" s="82" t="s">
        <v>795</v>
      </c>
      <c r="F113" s="20"/>
    </row>
    <row r="114" spans="1:6" x14ac:dyDescent="0.2">
      <c r="A114" s="103" t="s">
        <v>796</v>
      </c>
      <c r="B114" s="20"/>
      <c r="C114" s="20"/>
      <c r="D114" s="20"/>
      <c r="E114" s="20"/>
      <c r="F114" s="20"/>
    </row>
    <row r="115" spans="1:6" x14ac:dyDescent="0.2">
      <c r="A115" s="20" t="s">
        <v>797</v>
      </c>
      <c r="B115" s="20" t="s">
        <v>1</v>
      </c>
      <c r="C115" s="20"/>
      <c r="D115" s="38" t="str">
        <f>Summary!$D$2</f>
        <v>ed04</v>
      </c>
      <c r="E115" s="20"/>
      <c r="F115" s="20"/>
    </row>
    <row r="116" spans="1:6" x14ac:dyDescent="0.2">
      <c r="A116" s="20" t="s">
        <v>798</v>
      </c>
      <c r="B116" s="20" t="s">
        <v>799</v>
      </c>
      <c r="C116" s="20"/>
      <c r="D116" s="83">
        <f>SUMPRODUCT(MAX(('CO2 flows'!$A$4:$A$201=Reactor)*('CO2 flows'!$J$4:$J$201&gt;0)*'CO2 flows'!$B$4:$B$201))</f>
        <v>46190.0</v>
      </c>
      <c r="E116" s="20"/>
      <c r="F116" s="20"/>
    </row>
    <row r="117" spans="1:6" x14ac:dyDescent="0.2">
      <c r="A117" s="20" t="s">
        <v>800</v>
      </c>
      <c r="B117" s="20" t="s">
        <v>801</v>
      </c>
      <c r="C117" s="20" t="s">
        <v>14</v>
      </c>
      <c r="D117" s="83">
        <f>IF(ISNUMBER(cal_flow),cal_flow,SUMPRODUCT(('CO2 flows'!$A$4:$A$201=Reactor)*('CO2 flows'!$B$4:$B$201=latest_date)*'CO2 flows'!$J$4:$J$201)/MAX(1,SUMPRODUCT(('CO2 flows'!$A$4:$A$201=Reactor)*('CO2 flows'!$B$4:$B$201=latest_date)*('CO2 flows'!$J$4:$J$201&gt;0)*1)))</f>
        <v>3.33</v>
      </c>
      <c r="E117" s="20" t="s">
        <v>1924</v>
      </c>
      <c r="F117" s="20"/>
    </row>
    <row r="118" spans="1:6" x14ac:dyDescent="0.2">
      <c r="A118" s="20" t="s">
        <v>802</v>
      </c>
      <c r="B118" s="20" t="s">
        <v>803</v>
      </c>
      <c r="C118" s="20" t="s">
        <v>13</v>
      </c>
      <c r="D118" s="83">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83">
        <f>SUMPRODUCT(('CO2 flows'!$A$4:$A$201=Reactor)*('CO2 flows'!$J$4:$J$201&gt;0)*1)</f>
        <v>1.0</v>
      </c>
      <c r="E119" s="20"/>
      <c r="F119" s="20"/>
    </row>
    <row r="120" spans="1:6" x14ac:dyDescent="0.2">
      <c r="A120" s="20" t="s">
        <v>807</v>
      </c>
      <c r="B120" s="20" t="s">
        <v>808</v>
      </c>
      <c r="C120" s="20"/>
      <c r="D120" s="24"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4">
        <f>IF(AND(ISNUMBER(Summary!$G$13),Summary!$G$13&gt;0),Summary!$G$13,IF(sched_mode="Manual",spg_dur_man,spg_dur_opt))</f>
        <v>0.784513049825</v>
      </c>
      <c r="E121" s="20"/>
      <c r="F121" s="20"/>
    </row>
    <row r="122" spans="1:6" x14ac:dyDescent="0.2">
      <c r="A122" s="20" t="s">
        <v>811</v>
      </c>
      <c r="B122" s="20" t="s">
        <v>812</v>
      </c>
      <c r="C122" s="20" t="s">
        <v>67</v>
      </c>
      <c r="D122" s="24">
        <f>IF(AND(ISNUMBER(Summary!$G$15),Summary!$G$15&gt;0),Summary!$G$15,IF(sched_mode="Manual",spg_int_man,spg_int_opt))</f>
        <v>16.46036421628</v>
      </c>
      <c r="E122" s="20"/>
      <c r="F122" s="20"/>
    </row>
    <row r="123" spans="1:6" x14ac:dyDescent="0.2">
      <c r="A123" s="20" t="s">
        <v>813</v>
      </c>
      <c r="B123" s="20" t="s">
        <v>814</v>
      </c>
      <c r="C123" s="20" t="s">
        <v>815</v>
      </c>
      <c r="D123" s="24">
        <f>nCO2_rate*spg_dur</f>
        <v>0.0001067805170238</v>
      </c>
      <c r="E123" s="20"/>
      <c r="F123" s="20"/>
    </row>
    <row r="124" spans="1:6" x14ac:dyDescent="0.2">
      <c r="A124" s="20" t="s">
        <v>816</v>
      </c>
      <c r="B124" s="20" t="s">
        <v>817</v>
      </c>
      <c r="C124" s="20" t="s">
        <v>818</v>
      </c>
      <c r="D124" s="24">
        <f>60/spg_int</f>
        <v>3.645119829163</v>
      </c>
      <c r="E124" s="20"/>
      <c r="F124" s="20"/>
    </row>
    <row r="125" spans="1:6" x14ac:dyDescent="0.2">
      <c r="A125" s="20" t="s">
        <v>819</v>
      </c>
      <c r="B125" s="20" t="s">
        <v>820</v>
      </c>
      <c r="C125" s="20" t="s">
        <v>821</v>
      </c>
      <c r="D125" s="24">
        <f>pulses_h*24</f>
        <v>87.482875899902</v>
      </c>
      <c r="E125" s="20"/>
      <c r="F125" s="20"/>
    </row>
    <row r="126" spans="1:6" x14ac:dyDescent="0.2">
      <c r="A126" s="20" t="s">
        <v>822</v>
      </c>
      <c r="B126" s="20" t="s">
        <v>823</v>
      </c>
      <c r="C126" s="20" t="s">
        <v>110</v>
      </c>
      <c r="D126" s="24">
        <f>IF(CO2_cons&gt;0,CO2_supply/CO2_cons,NA())</f>
        <v>22.507425060931</v>
      </c>
      <c r="E126" s="20"/>
      <c r="F126" s="20"/>
    </row>
    <row r="127" spans="1:6" x14ac:dyDescent="0.2">
      <c r="A127" s="20" t="s">
        <v>824</v>
      </c>
      <c r="B127" s="20" t="s">
        <v>825</v>
      </c>
      <c r="C127" s="20" t="s">
        <v>815</v>
      </c>
      <c r="D127" s="24">
        <f>O2_excess/60*spg_int</f>
        <v>4.05343583838e-06</v>
      </c>
      <c r="E127" s="20"/>
      <c r="F127" s="20"/>
    </row>
    <row r="128" spans="1:6" x14ac:dyDescent="0.2">
      <c r="A128" s="20" t="s">
        <v>826</v>
      </c>
      <c r="B128" s="20" t="s">
        <v>827</v>
      </c>
      <c r="C128" s="20" t="s">
        <v>815</v>
      </c>
      <c r="D128" s="24">
        <f>strip_sparge/3600*spg_dur</f>
        <v>6.635009117477e-08</v>
      </c>
      <c r="E128" s="20"/>
      <c r="F128" s="20"/>
    </row>
    <row r="129" spans="1:6" x14ac:dyDescent="0.2">
      <c r="A129" s="20" t="s">
        <v>828</v>
      </c>
      <c r="B129" s="20" t="s">
        <v>829</v>
      </c>
      <c r="C129" s="20" t="s">
        <v>110</v>
      </c>
      <c r="D129" s="24">
        <f>IF(O2_accum&gt;0,O2_strip_pulse/O2_accum,NA())</f>
        <v>0.016368851962</v>
      </c>
      <c r="E129" s="20"/>
      <c r="F129" s="20"/>
    </row>
    <row r="130" spans="1:6" x14ac:dyDescent="0.2">
      <c r="A130" s="20" t="s">
        <v>830</v>
      </c>
      <c r="B130" s="20" t="s">
        <v>831</v>
      </c>
      <c r="C130" s="20"/>
      <c r="D130" s="24" t="str">
        <f>IF(spg_dur&gt;=pulse_floor,"OK","LOW")</f>
        <v>OK</v>
      </c>
      <c r="E130" s="20"/>
      <c r="F130" s="20"/>
    </row>
    <row r="131" spans="1:6" x14ac:dyDescent="0.2">
      <c r="A131" s="20" t="s">
        <v>832</v>
      </c>
      <c r="B131" s="20" t="s">
        <v>833</v>
      </c>
      <c r="C131" s="20" t="s">
        <v>107</v>
      </c>
      <c r="D131" s="24">
        <f>kLa_surf_req/a_surf</f>
        <v>0.0001158581442306</v>
      </c>
      <c r="E131" s="101"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s">
        <v>1826</v>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22">
        <f>D_CO2_ref*EXP(-Ea_D_CO2/R_gas*(1/T_K-1/298.15))</f>
        <v>1.92e-09</v>
      </c>
      <c r="E138" s="67" t="s">
        <v>1788</v>
      </c>
      <c r="F138" s="20"/>
    </row>
    <row r="139" spans="1:6" x14ac:dyDescent="0.2">
      <c r="A139" s="17" t="s">
        <v>1159</v>
      </c>
      <c r="B139" s="18" t="s">
        <v>1138</v>
      </c>
      <c r="C139" s="19" t="s">
        <v>62</v>
      </c>
      <c r="D139" s="36">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36">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s">
        <v>1757</v>
      </c>
    </row>
    <row r="167" spans="1:6" ht="24" x14ac:dyDescent="0.2">
      <c r="A167" t="s">
        <v>1758</v>
      </c>
      <c r="B167" s="18" t="s">
        <v>1759</v>
      </c>
      <c r="C167" s="19" t="s">
        <v>567</v>
      </c>
      <c r="D167" s="52">
        <v>7.5889999999999999E-2</v>
      </c>
      <c r="E167" s="99" t="s">
        <v>1760</v>
      </c>
    </row>
    <row r="168" spans="1:6" x14ac:dyDescent="0.2">
      <c r="A168" t="s">
        <v>1761</v>
      </c>
      <c r="B168" s="18" t="s">
        <v>1762</v>
      </c>
      <c r="C168" s="19" t="s">
        <v>1763</v>
      </c>
      <c r="D168" s="52">
        <v>-1.5699999999999999E-4</v>
      </c>
      <c r="E168" s="99" t="s">
        <v>1764</v>
      </c>
    </row>
    <row r="169" spans="1:6" x14ac:dyDescent="0.2">
      <c r="A169" t="s">
        <v>1765</v>
      </c>
      <c r="B169" s="18" t="s">
        <v>1766</v>
      </c>
      <c r="C169" s="19" t="s">
        <v>570</v>
      </c>
      <c r="D169" s="52">
        <v>1003.33</v>
      </c>
      <c r="E169" s="99" t="s">
        <v>1767</v>
      </c>
    </row>
    <row r="170" spans="1:6" x14ac:dyDescent="0.2">
      <c r="A170" t="s">
        <v>1768</v>
      </c>
      <c r="B170" s="18" t="s">
        <v>1769</v>
      </c>
      <c r="C170" s="19" t="s">
        <v>1770</v>
      </c>
      <c r="D170" s="52">
        <v>-0.25559999999999999</v>
      </c>
      <c r="E170" s="99" t="s">
        <v>1764</v>
      </c>
    </row>
    <row r="171" spans="1:6" ht="24" x14ac:dyDescent="0.2">
      <c r="A171" t="s">
        <v>1771</v>
      </c>
      <c r="B171" s="18" t="s">
        <v>1772</v>
      </c>
      <c r="C171" s="19" t="s">
        <v>1274</v>
      </c>
      <c r="D171" s="52">
        <v>-4.41</v>
      </c>
      <c r="E171" s="99" t="s">
        <v>1773</v>
      </c>
    </row>
    <row r="172" spans="1:6" x14ac:dyDescent="0.2">
      <c r="A172" t="s">
        <v>1774</v>
      </c>
      <c r="B172" s="18" t="s">
        <v>1775</v>
      </c>
      <c r="C172" s="19" t="s">
        <v>843</v>
      </c>
      <c r="D172" s="52">
        <v>773.8</v>
      </c>
      <c r="E172" s="99" t="s">
        <v>1764</v>
      </c>
    </row>
    <row r="173" spans="1:6" x14ac:dyDescent="0.2">
      <c r="A173" t="s">
        <v>1776</v>
      </c>
      <c r="B173" s="18" t="s">
        <v>1777</v>
      </c>
      <c r="C173" s="19" t="s">
        <v>843</v>
      </c>
      <c r="D173" s="52">
        <v>506.4</v>
      </c>
      <c r="E173" s="99" t="s">
        <v>1764</v>
      </c>
    </row>
    <row r="174" spans="1:6" x14ac:dyDescent="0.2">
      <c r="A174" t="s">
        <v>1778</v>
      </c>
      <c r="B174" s="18" t="s">
        <v>1779</v>
      </c>
      <c r="C174" s="19" t="s">
        <v>577</v>
      </c>
      <c r="D174" s="52">
        <v>1.92E-9</v>
      </c>
      <c r="E174" s="67" t="s">
        <v>1780</v>
      </c>
    </row>
    <row r="175" spans="1:6" ht="24" x14ac:dyDescent="0.2">
      <c r="A175" t="s">
        <v>1781</v>
      </c>
      <c r="B175" s="18" t="s">
        <v>1782</v>
      </c>
      <c r="C175" s="19" t="s">
        <v>1783</v>
      </c>
      <c r="D175" s="52">
        <v>19000</v>
      </c>
      <c r="E175" s="67" t="s">
        <v>1784</v>
      </c>
    </row>
    <row r="177" spans="1:5" x14ac:dyDescent="0.2">
      <c r="A177" s="5" t="s">
        <v>1789</v>
      </c>
    </row>
    <row r="178" spans="1:5" ht="24" x14ac:dyDescent="0.2">
      <c r="A178" t="s">
        <v>1790</v>
      </c>
      <c r="B178" s="18" t="s">
        <v>1791</v>
      </c>
      <c r="C178" s="19" t="s">
        <v>991</v>
      </c>
      <c r="D178" s="22">
        <f>nCO2_rate*3600</f>
        <v>0.489998045758</v>
      </c>
      <c r="E178" s="99" t="s">
        <v>1792</v>
      </c>
    </row>
    <row r="179" spans="1:5" x14ac:dyDescent="0.2">
      <c r="A179" t="s">
        <v>1793</v>
      </c>
      <c r="B179" s="18" t="s">
        <v>1794</v>
      </c>
      <c r="C179" s="19" t="s">
        <v>1001</v>
      </c>
      <c r="D179" s="22">
        <f>target_DO_frac*O2_ceil_C</f>
        <v>0.08246973913</v>
      </c>
      <c r="E179" s="99" t="s">
        <v>1795</v>
      </c>
    </row>
    <row r="180" spans="1:5" ht="36" x14ac:dyDescent="0.2">
      <c r="A180" t="s">
        <v>1796</v>
      </c>
      <c r="B180" s="18" t="s">
        <v>1797</v>
      </c>
      <c r="C180" s="19" t="s">
        <v>1001</v>
      </c>
      <c r="D180" s="22">
        <f>O2_excess/(kLa_surf_used*3600*(V_charge/1000000))</f>
        <v>0.038001663161</v>
      </c>
      <c r="E180" s="67" t="s">
        <v>1798</v>
      </c>
    </row>
    <row r="181" spans="1:5" x14ac:dyDescent="0.2">
      <c r="A181" t="s">
        <v>1799</v>
      </c>
      <c r="B181" s="18" t="s">
        <v>1800</v>
      </c>
      <c r="C181" s="19" t="s">
        <v>1001</v>
      </c>
      <c r="D181" s="22">
        <f>O2_net_gen/(kLa_surf_used*3600*(V_charge/1000000))</f>
        <v>0.126957715838</v>
      </c>
      <c r="E181" s="67" t="s">
        <v>1801</v>
      </c>
    </row>
    <row r="182" spans="1:5" ht="36" x14ac:dyDescent="0.2">
      <c r="A182" t="s">
        <v>1802</v>
      </c>
      <c r="B182" s="18" t="s">
        <v>1803</v>
      </c>
      <c r="C182" s="19" t="s">
        <v>1001</v>
      </c>
      <c r="D182" s="22">
        <f>DO_target-DO_surf_excess</f>
        <v>0.04446807597</v>
      </c>
      <c r="E182" s="67" t="s">
        <v>1804</v>
      </c>
    </row>
    <row r="183" spans="1:5" ht="24" x14ac:dyDescent="0.2">
      <c r="A183" t="s">
        <v>1805</v>
      </c>
      <c r="B183" s="18" t="s">
        <v>1806</v>
      </c>
      <c r="C183" s="19" t="s">
        <v>1274</v>
      </c>
      <c r="D183" s="22">
        <f>IF(hs_O2_allow&gt;0,hs_O2_allow/(H_O2_T*P_atm),NA())</f>
        <v>0.036572149</v>
      </c>
      <c r="E183" s="67" t="s">
        <v>1807</v>
      </c>
    </row>
    <row r="184" spans="1:5" ht="48" x14ac:dyDescent="0.2">
      <c r="A184" t="s">
        <v>1808</v>
      </c>
      <c r="B184" s="18" t="s">
        <v>1809</v>
      </c>
      <c r="C184" s="19" t="s">
        <v>1274</v>
      </c>
      <c r="D184" s="22">
        <f>IF(ISNUMBER(y_O2_star),O2_excess*(1-y_O2_star)/(y_O2_star*CO2_rate_full),NA())</f>
        <v>0.0007943455761538</v>
      </c>
      <c r="E184" s="67" t="s">
        <v>1810</v>
      </c>
    </row>
    <row r="185" spans="1:5" ht="24" x14ac:dyDescent="0.2">
      <c r="A185" t="s">
        <v>1811</v>
      </c>
      <c r="B185" s="18" t="s">
        <v>1812</v>
      </c>
      <c r="C185" s="19" t="s">
        <v>962</v>
      </c>
      <c r="D185" s="22">
        <f>IF(ISNUMBER(duty_DO),spg_dur_opt/(60*duty_DO),NA())</f>
        <v>16.46036421628</v>
      </c>
      <c r="E185" s="67" t="s">
        <v>1813</v>
      </c>
    </row>
    <row r="186" spans="1:5" ht="36" x14ac:dyDescent="0.2">
      <c r="A186" t="s">
        <v>1814</v>
      </c>
      <c r="B186" s="18" t="s">
        <v>1815</v>
      </c>
      <c r="C186" s="19" t="s">
        <v>639</v>
      </c>
      <c r="D186" s="22">
        <f>O2_excess/(DO_target*3600*(V_charge/1000000))</f>
        <v>0.003317773486</v>
      </c>
      <c r="E186" s="67" t="s">
        <v>1816</v>
      </c>
    </row>
    <row r="187" spans="1:5" ht="36" x14ac:dyDescent="0.2">
      <c r="A187" t="s">
        <v>1817</v>
      </c>
      <c r="B187" s="18" t="s">
        <v>1818</v>
      </c>
      <c r="C187" s="19" t="s">
        <v>1274</v>
      </c>
      <c r="D187" s="22">
        <f>IF(CO2_supply&gt;0,O2_excess/(O2_excess+CO2_supply),NA())</f>
        <v>0.036572149</v>
      </c>
      <c r="E187" s="67" t="s">
        <v>1819</v>
      </c>
    </row>
    <row r="188" spans="1:5" ht="36" x14ac:dyDescent="0.2">
      <c r="A188" t="s">
        <v>1820</v>
      </c>
      <c r="B188" s="18" t="s">
        <v>1821</v>
      </c>
      <c r="C188" s="19" t="s">
        <v>1001</v>
      </c>
      <c r="D188" s="22">
        <f>IF(ISNUMBER(y_O2_actual),H_O2_T*y_O2_actual*P_atm,NA())</f>
        <v>0.04446807597</v>
      </c>
      <c r="E188" s="67" t="s">
        <v>1822</v>
      </c>
    </row>
    <row r="190" spans="1:5" x14ac:dyDescent="0.2">
      <c r="A190" s="5" t="s">
        <v>1829</v>
      </c>
    </row>
    <row r="191" spans="1:5" x14ac:dyDescent="0.2">
      <c r="A191" t="s">
        <v>1830</v>
      </c>
      <c r="B191" s="18" t="s">
        <v>1831</v>
      </c>
      <c r="C191" s="19" t="s">
        <v>440</v>
      </c>
      <c r="D191" s="22">
        <f>Biology!$D$31</f>
        <v>0.00033</v>
      </c>
      <c r="E191" s="67" t="s">
        <v>1832</v>
      </c>
    </row>
    <row r="192" spans="1:5" ht="24" x14ac:dyDescent="0.2">
      <c r="A192" t="s">
        <v>1833</v>
      </c>
      <c r="B192" s="18" t="s">
        <v>1834</v>
      </c>
      <c r="C192" s="19" t="s">
        <v>1163</v>
      </c>
      <c r="D192" s="22">
        <f>headspace_V_m3/(hs_H_CO2*R_gas*T_K)</f>
        <v>3.193459899477e-06</v>
      </c>
      <c r="E192" s="99" t="s">
        <v>1835</v>
      </c>
    </row>
    <row r="193" spans="1:5" x14ac:dyDescent="0.2">
      <c r="A193" t="s">
        <v>1836</v>
      </c>
      <c r="B193" s="18" t="s">
        <v>1837</v>
      </c>
      <c r="C193" s="19" t="s">
        <v>1274</v>
      </c>
      <c r="D193" s="22">
        <f>V_L_m3/(V_L_m3+Vg_CO2)</f>
        <v>0.824472095076</v>
      </c>
      <c r="E193" s="99" t="s">
        <v>1838</v>
      </c>
    </row>
    <row r="194" spans="1:5" ht="48" x14ac:dyDescent="0.2">
      <c r="A194" t="s">
        <v>1839</v>
      </c>
      <c r="B194" s="18" t="s">
        <v>1840</v>
      </c>
      <c r="C194" s="19" t="s">
        <v>1001</v>
      </c>
      <c r="D194" s="22">
        <f>CO2_pulse/(V_L_m3+Vg_CO2)</f>
        <v>5.869170438925</v>
      </c>
      <c r="E194" s="99" t="s">
        <v>1927</v>
      </c>
    </row>
    <row r="195" spans="1:5" ht="24" x14ac:dyDescent="0.2">
      <c r="A195" t="s">
        <v>1841</v>
      </c>
      <c r="B195" s="18" t="s">
        <v>1842</v>
      </c>
      <c r="C195" s="19" t="s">
        <v>639</v>
      </c>
      <c r="D195" s="22">
        <f>k_vent*Vg_CO2/(V_L_m3+Vg_CO2)</f>
        <v>0.000559912956744</v>
      </c>
      <c r="E195" s="99" t="s">
        <v>1843</v>
      </c>
    </row>
    <row r="196" spans="1:5" ht="36" x14ac:dyDescent="0.2">
      <c r="A196" t="s">
        <v>1844</v>
      </c>
      <c r="B196" s="18" t="s">
        <v>1845</v>
      </c>
      <c r="C196" s="19" t="s">
        <v>110</v>
      </c>
      <c r="D196" s="22">
        <f>(kLa_CO2_off*V_L_m3/Vg_CO2)/k_vent</f>
        <v>10.393999248454</v>
      </c>
      <c r="E196" s="67" t="s">
        <v>1846</v>
      </c>
    </row>
    <row r="197" spans="1:5" x14ac:dyDescent="0.2">
      <c r="A197" t="s">
        <v>1847</v>
      </c>
      <c r="B197" s="18" t="s">
        <v>1848</v>
      </c>
      <c r="C197" s="19" t="s">
        <v>1274</v>
      </c>
      <c r="D197" s="22">
        <f>EXP(-k_eff_CO2*t_off_CO2)</f>
        <v>0.575484483576</v>
      </c>
      <c r="E197" s="99" t="s">
        <v>1849</v>
      </c>
    </row>
    <row r="198" spans="1:5" x14ac:dyDescent="0.2">
      <c r="A198" t="s">
        <v>1850</v>
      </c>
      <c r="B198" s="18" t="s">
        <v>1851</v>
      </c>
      <c r="C198" s="19" t="s">
        <v>1001</v>
      </c>
      <c r="D198" s="22">
        <f>(C_air_CO2*(1-pool_e)+pool_b*pool_e)/(1-pool_a*pool_e)</f>
        <v>6.437740764668</v>
      </c>
      <c r="E198" s="99" t="s">
        <v>1852</v>
      </c>
    </row>
    <row r="199" spans="1:5" ht="24" x14ac:dyDescent="0.2">
      <c r="A199" t="s">
        <v>1853</v>
      </c>
      <c r="B199" s="18" t="s">
        <v>1854</v>
      </c>
      <c r="C199" s="19" t="s">
        <v>1001</v>
      </c>
      <c r="D199" s="22">
        <f>pool_a*C_cycle_start+pool_b</f>
        <v>11.176908054727</v>
      </c>
      <c r="E199" s="99" t="s">
        <v>1855</v>
      </c>
    </row>
    <row r="200" spans="1:5" x14ac:dyDescent="0.2">
      <c r="A200" t="s">
        <v>1856</v>
      </c>
      <c r="B200" s="18" t="s">
        <v>1857</v>
      </c>
      <c r="C200" s="19" t="s">
        <v>1001</v>
      </c>
      <c r="D200" s="22">
        <f>C_air_CO2+(C_cycle_peak-C_air_CO2)*(1-pool_e)/(k_eff_CO2*t_off_CO2)</f>
        <v>8.59021062192</v>
      </c>
      <c r="E200" s="99" t="s">
        <v>1858</v>
      </c>
    </row>
    <row r="202" spans="1:5" x14ac:dyDescent="0.2">
      <c r="A202" s="5" t="s">
        <v>1912</v>
      </c>
    </row>
    <row r="203" spans="1:5" ht="24" x14ac:dyDescent="0.2">
      <c r="A203" t="s">
        <v>1913</v>
      </c>
      <c r="B203" s="18" t="s">
        <v>1914</v>
      </c>
      <c r="C203" s="19" t="s">
        <v>62</v>
      </c>
      <c r="D203" s="52">
        <v>610.94000000000005</v>
      </c>
      <c r="E203" s="99" t="s">
        <v>1915</v>
      </c>
    </row>
    <row r="204" spans="1:5" x14ac:dyDescent="0.2">
      <c r="A204" t="s">
        <v>1916</v>
      </c>
      <c r="B204" s="18" t="s">
        <v>1917</v>
      </c>
      <c r="C204" s="19" t="s">
        <v>1274</v>
      </c>
      <c r="D204" s="52">
        <v>17.625</v>
      </c>
      <c r="E204" s="99" t="s">
        <v>1764</v>
      </c>
    </row>
    <row r="205" spans="1:5" x14ac:dyDescent="0.2">
      <c r="A205" t="s">
        <v>1918</v>
      </c>
      <c r="B205" s="18" t="s">
        <v>1919</v>
      </c>
      <c r="C205" s="19" t="s">
        <v>53</v>
      </c>
      <c r="D205" s="52">
        <v>243.04</v>
      </c>
      <c r="E205" s="99" t="s">
        <v>1764</v>
      </c>
    </row>
    <row r="206" spans="1:5" ht="24" x14ac:dyDescent="0.2">
      <c r="A206" t="s">
        <v>1920</v>
      </c>
      <c r="B206" s="18" t="s">
        <v>1921</v>
      </c>
      <c r="C206" s="19" t="s">
        <v>62</v>
      </c>
      <c r="D206" s="22">
        <f>pw_A*EXP(pw_B*(T_K-273.15)/((T_K-273.15)+pw_C))</f>
        <v>3161.736035696692</v>
      </c>
      <c r="E206" s="99" t="s">
        <v>1922</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s">
        <v>12</v>
      </c>
      <c r="D3" s="5" t="s">
        <v>12</v>
      </c>
      <c r="E3" s="5" t="s">
        <v>12</v>
      </c>
      <c r="F3" s="5" t="s">
        <v>13</v>
      </c>
      <c r="G3" s="5" t="s">
        <v>14</v>
      </c>
      <c r="H3" s="5" t="s">
        <v>14</v>
      </c>
      <c r="I3" s="5" t="s">
        <v>13</v>
      </c>
      <c r="J3" s="5" t="s">
        <v>14</v>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s">
        <v>21</v>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s">
        <v>23</v>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Transfer'!$D$101*(F23+273.15)))/(D23/(IF(H23="H2",2,4)*Electrochemistry!$D$15)),"")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Transfer'!$D$101*(F24+273.15)))/(D24/(IF(H24="H2",2,4)*Electrochemistry!$D$15)),"")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Transfer'!$D$101*(F25+273.15)))/(D25/(IF(H25="H2",2,4)*Electrochemistry!$D$15)),"")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Transfer'!$D$101*(F26+273.15)))/(D26/(IF(H26="H2",2,4)*Electrochemistry!$D$15)),"")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Transfer'!$D$101*(F27+273.15)))/(D27/(IF(H27="H2",2,4)*Electrochemistry!$D$15)),"")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Transfer'!$D$101*(F28+273.15)))/(D28/(IF(H28="H2",2,4)*Electrochemistry!$D$15)),"")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Transfer'!$D$101*(F29+273.15)))/(D29/(IF(H29="H2",2,4)*Electrochemistry!$D$15)),"")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Transfer'!$D$101*(F30+273.15)))/(D30/(IF(H30="H2",2,4)*Electrochemistry!$D$15)),"")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IF(E66="","",IFERROR(E66/(0.99705-0.00028*(F66-25)),""))</f>
        <v/>
      </c>
      <c r="H66" s="129" t="str">
        <f>IF(E66="","",IFERROR((E66/(0.99705-0.00028*(F66-25)))*1000/Geometry!$D$21,""))</f>
        <v/>
      </c>
      <c r="I66" s="129" t="str">
        <f>IFERROR(VLOOKUP(C66,Geometry!$A$59:$B$80,2,FALSE),"")</f>
        <v/>
      </c>
      <c r="J66" s="122"/>
      <c r="K66" s="122"/>
      <c r="L66" s="129" t="str">
        <f>IF(D66="","",IFERROR(D66/(0.99705-0.00028*(F66-25)),""))</f>
        <v/>
      </c>
      <c r="M66" s="123"/>
      <c r="N66" s="129" t="str">
        <f>IF(M66="","",IFERROR(M66/(0.99705-0.00028*(F66-25)),""))</f>
        <v/>
      </c>
    </row>
    <row r="67" x14ac:dyDescent="0.2">
      <c r="A67" s="122"/>
      <c r="B67" s="123"/>
      <c r="C67" s="122"/>
      <c r="D67" s="123"/>
      <c r="E67" s="123"/>
      <c r="F67" s="123"/>
      <c r="G67" s="129" t="str">
        <f>IF(E67="","",IFERROR(E67/(0.99705-0.00028*(F67-25)),""))</f>
        <v/>
      </c>
      <c r="H67" s="129" t="str">
        <f>IF(E67="","",IFERROR((E67/(0.99705-0.00028*(F67-25)))*1000/Geometry!$D$21,""))</f>
        <v/>
      </c>
      <c r="I67" s="129" t="str">
        <f>IFERROR(VLOOKUP(C67,Geometry!$A$59:$B$80,2,FALSE),"")</f>
        <v/>
      </c>
      <c r="J67" s="122"/>
      <c r="K67" s="122"/>
      <c r="L67" s="129" t="str">
        <f>IF(D67="","",IFERROR(D67/(0.99705-0.00028*(F67-25)),""))</f>
        <v/>
      </c>
      <c r="M67" s="123"/>
      <c r="N67" s="129" t="str">
        <f>IF(M67="","",IFERROR(M67/(0.99705-0.00028*(F67-25)),""))</f>
        <v/>
      </c>
    </row>
    <row r="68" x14ac:dyDescent="0.2">
      <c r="A68" s="122"/>
      <c r="B68" s="123"/>
      <c r="C68" s="122"/>
      <c r="D68" s="123"/>
      <c r="E68" s="123"/>
      <c r="F68" s="123"/>
      <c r="G68" s="129" t="str">
        <f>IF(E68="","",IFERROR(E68/(0.99705-0.00028*(F68-25)),""))</f>
        <v/>
      </c>
      <c r="H68" s="129" t="str">
        <f>IF(E68="","",IFERROR((E68/(0.99705-0.00028*(F68-25)))*1000/Geometry!$D$21,""))</f>
        <v/>
      </c>
      <c r="I68" s="129" t="str">
        <f>IFERROR(VLOOKUP(C68,Geometry!$A$59:$B$80,2,FALSE),"")</f>
        <v/>
      </c>
      <c r="J68" s="122"/>
      <c r="K68" s="122"/>
      <c r="L68" s="129" t="str">
        <f>IF(D68="","",IFERROR(D68/(0.99705-0.00028*(F68-25)),""))</f>
        <v/>
      </c>
      <c r="M68" s="123"/>
      <c r="N68" s="129" t="str">
        <f>IF(M68="","",IFERROR(M68/(0.99705-0.00028*(F68-25)),""))</f>
        <v/>
      </c>
    </row>
    <row r="69" x14ac:dyDescent="0.2">
      <c r="A69" s="122"/>
      <c r="B69" s="123"/>
      <c r="C69" s="122"/>
      <c r="D69" s="123"/>
      <c r="E69" s="123"/>
      <c r="F69" s="123"/>
      <c r="G69" s="129" t="str">
        <f>IF(E69="","",IFERROR(E69/(0.99705-0.00028*(F69-25)),""))</f>
        <v/>
      </c>
      <c r="H69" s="129" t="str">
        <f>IF(E69="","",IFERROR((E69/(0.99705-0.00028*(F69-25)))*1000/Geometry!$D$21,""))</f>
        <v/>
      </c>
      <c r="I69" s="129" t="str">
        <f>IFERROR(VLOOKUP(C69,Geometry!$A$59:$B$80,2,FALSE),"")</f>
        <v/>
      </c>
      <c r="J69" s="122"/>
      <c r="K69" s="122"/>
      <c r="L69" s="129" t="str">
        <f>IF(D69="","",IFERROR(D69/(0.99705-0.00028*(F69-25)),""))</f>
        <v/>
      </c>
      <c r="M69" s="123"/>
      <c r="N69" s="129" t="str">
        <f>IF(M69="","",IFERROR(M69/(0.99705-0.00028*(F69-25)),""))</f>
        <v/>
      </c>
    </row>
    <row r="70" x14ac:dyDescent="0.2">
      <c r="A70" s="122"/>
      <c r="B70" s="123"/>
      <c r="C70" s="122"/>
      <c r="D70" s="123"/>
      <c r="E70" s="123"/>
      <c r="F70" s="123"/>
      <c r="G70" s="129" t="str">
        <f>IF(E70="","",IFERROR(E70/(0.99705-0.00028*(F70-25)),""))</f>
        <v/>
      </c>
      <c r="H70" s="129" t="str">
        <f>IF(E70="","",IFERROR((E70/(0.99705-0.00028*(F70-25)))*1000/Geometry!$D$21,""))</f>
        <v/>
      </c>
      <c r="I70" s="129" t="str">
        <f>IFERROR(VLOOKUP(C70,Geometry!$A$59:$B$80,2,FALSE),"")</f>
        <v/>
      </c>
      <c r="J70" s="122"/>
      <c r="K70" s="122"/>
      <c r="L70" s="129" t="str">
        <f>IF(D70="","",IFERROR(D70/(0.99705-0.00028*(F70-25)),""))</f>
        <v/>
      </c>
      <c r="M70" s="123"/>
      <c r="N70" s="129" t="str">
        <f>IF(M70="","",IFERROR(M70/(0.99705-0.00028*(F70-25)),""))</f>
        <v/>
      </c>
    </row>
    <row r="71" x14ac:dyDescent="0.2">
      <c r="A71" s="122"/>
      <c r="B71" s="123"/>
      <c r="C71" s="122"/>
      <c r="D71" s="123"/>
      <c r="E71" s="123"/>
      <c r="F71" s="123"/>
      <c r="G71" s="129" t="str">
        <f>IF(E71="","",IFERROR(E71/(0.99705-0.00028*(F71-25)),""))</f>
        <v/>
      </c>
      <c r="H71" s="129" t="str">
        <f>IF(E71="","",IFERROR((E71/(0.99705-0.00028*(F71-25)))*1000/Geometry!$D$21,""))</f>
        <v/>
      </c>
      <c r="I71" s="129" t="str">
        <f>IFERROR(VLOOKUP(C71,Geometry!$A$59:$B$80,2,FALSE),"")</f>
        <v/>
      </c>
      <c r="J71" s="122"/>
      <c r="K71" s="122"/>
      <c r="L71" s="129" t="str">
        <f>IF(D71="","",IFERROR(D71/(0.99705-0.00028*(F71-25)),""))</f>
        <v/>
      </c>
      <c r="M71" s="123"/>
      <c r="N71" s="129" t="str">
        <f>IF(M71="","",IFERROR(M71/(0.99705-0.00028*(F71-25)),""))</f>
        <v/>
      </c>
    </row>
    <row r="72" x14ac:dyDescent="0.2">
      <c r="A72" s="122"/>
      <c r="B72" s="123"/>
      <c r="C72" s="122"/>
      <c r="D72" s="123"/>
      <c r="E72" s="123"/>
      <c r="F72" s="123"/>
      <c r="G72" s="129" t="str">
        <f>IF(E72="","",IFERROR(E72/(0.99705-0.00028*(F72-25)),""))</f>
        <v/>
      </c>
      <c r="H72" s="129" t="str">
        <f>IF(E72="","",IFERROR((E72/(0.99705-0.00028*(F72-25)))*1000/Geometry!$D$21,""))</f>
        <v/>
      </c>
      <c r="I72" s="129" t="str">
        <f>IFERROR(VLOOKUP(C72,Geometry!$A$59:$B$80,2,FALSE),"")</f>
        <v/>
      </c>
      <c r="J72" s="122"/>
      <c r="K72" s="122"/>
      <c r="L72" s="129" t="str">
        <f>IF(D72="","",IFERROR(D72/(0.99705-0.00028*(F72-25)),""))</f>
        <v/>
      </c>
      <c r="M72" s="123"/>
      <c r="N72" s="129" t="str">
        <f>IF(M72="","",IFERROR(M72/(0.99705-0.00028*(F72-25)),""))</f>
        <v/>
      </c>
    </row>
    <row r="73" x14ac:dyDescent="0.2">
      <c r="A73" s="122"/>
      <c r="B73" s="123"/>
      <c r="C73" s="122"/>
      <c r="D73" s="123"/>
      <c r="E73" s="123"/>
      <c r="F73" s="123"/>
      <c r="G73" s="129" t="str">
        <f>IF(E73="","",IFERROR(E73/(0.99705-0.00028*(F73-25)),""))</f>
        <v/>
      </c>
      <c r="H73" s="129" t="str">
        <f>IF(E73="","",IFERROR((E73/(0.99705-0.00028*(F73-25)))*1000/Geometry!$D$21,""))</f>
        <v/>
      </c>
      <c r="I73" s="129" t="str">
        <f>IFERROR(VLOOKUP(C73,Geometry!$A$59:$B$80,2,FALSE),"")</f>
        <v/>
      </c>
      <c r="J73" s="122"/>
      <c r="K73" s="122"/>
      <c r="L73" s="129" t="str">
        <f>IF(D73="","",IFERROR(D73/(0.99705-0.00028*(F73-25)),""))</f>
        <v/>
      </c>
      <c r="M73" s="123"/>
      <c r="N73" s="129" t="str">
        <f>IF(M73="","",IFERROR(M73/(0.99705-0.00028*(F73-25)),""))</f>
        <v/>
      </c>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IFERROR(AVERAGEIFS(L66:L73,I66:I73,Geometry!$D$51,J66:J73,"y"),"no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IFERROR(AVERAGEIFS(N66:N73,I66:I73,Geometry!$D$51,J66:J73,"y"),"no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 t="shared" ref="E81:E88" si="2">IFERROR(IF((291.2/D81)&gt;160,0,IF((291.2/D81)&gt;100,1,IF((291.2/D81)&gt;40,2,IF((291.2/D81)&gt;16,3,IF((291.2/D81)&gt;10,4,5))))),"")</f>
        <v/>
      </c>
      <c r="F81" s="129" t="str">
        <f>IFERROR(VLOOKUP(C81,Geometry!$A$59:$B$80,2,FALSE),"")</f>
        <v/>
      </c>
      <c r="G81" s="122"/>
      <c r="H81" s="122"/>
      <c r="I81" s="97"/>
      <c r="J81" s="97"/>
      <c r="K81" s="97"/>
      <c r="L81" s="97"/>
      <c r="M81" s="97"/>
    </row>
    <row r="82" spans="1:13" x14ac:dyDescent="0.2">
      <c r="A82" s="122"/>
      <c r="B82" s="123"/>
      <c r="C82" s="122"/>
      <c r="D82" s="123"/>
      <c r="E82" s="129" t="str">
        <f t="shared" si="2"/>
        <v/>
      </c>
      <c r="F82" s="130" t="str">
        <f>IFERROR(VLOOKUP(C82,Geometry!$A$59:$B$80,2,FALSE),"")</f>
        <v/>
      </c>
      <c r="G82" s="122"/>
      <c r="H82" s="122"/>
      <c r="I82" s="97"/>
      <c r="J82" s="97"/>
      <c r="K82" s="97"/>
      <c r="L82" s="97"/>
      <c r="M82" s="97"/>
    </row>
    <row r="83" spans="1:13" x14ac:dyDescent="0.2">
      <c r="A83" s="122"/>
      <c r="B83" s="123"/>
      <c r="C83" s="122"/>
      <c r="D83" s="123"/>
      <c r="E83" s="129" t="str">
        <f t="shared" si="2"/>
        <v/>
      </c>
      <c r="F83" s="130" t="str">
        <f>IFERROR(VLOOKUP(C83,Geometry!$A$59:$B$80,2,FALSE),"")</f>
        <v/>
      </c>
      <c r="G83" s="122"/>
      <c r="H83" s="122"/>
      <c r="I83" s="97"/>
      <c r="J83" s="97"/>
      <c r="K83" s="97"/>
      <c r="L83" s="97"/>
      <c r="M83" s="97"/>
    </row>
    <row r="84" spans="1:13" x14ac:dyDescent="0.2">
      <c r="A84" s="122"/>
      <c r="B84" s="123"/>
      <c r="C84" s="122"/>
      <c r="D84" s="123"/>
      <c r="E84" s="129" t="str">
        <f t="shared" si="2"/>
        <v/>
      </c>
      <c r="F84" s="130" t="str">
        <f>IFERROR(VLOOKUP(C84,Geometry!$A$59:$B$80,2,FALSE),"")</f>
        <v/>
      </c>
      <c r="G84" s="122"/>
      <c r="H84" s="122"/>
      <c r="I84" s="97"/>
      <c r="J84" s="97"/>
      <c r="K84" s="97"/>
      <c r="L84" s="97"/>
      <c r="M84" s="97"/>
    </row>
    <row r="85" spans="1:13" x14ac:dyDescent="0.2">
      <c r="A85" s="122"/>
      <c r="B85" s="123"/>
      <c r="C85" s="122"/>
      <c r="D85" s="123"/>
      <c r="E85" s="129" t="str">
        <f t="shared" si="2"/>
        <v/>
      </c>
      <c r="F85" s="130" t="str">
        <f>IFERROR(VLOOKUP(C85,Geometry!$A$59:$B$80,2,FALSE),"")</f>
        <v/>
      </c>
      <c r="G85" s="122"/>
      <c r="H85" s="122"/>
      <c r="I85" s="97"/>
      <c r="J85" s="97"/>
      <c r="K85" s="97"/>
      <c r="L85" s="97"/>
      <c r="M85" s="97"/>
    </row>
    <row r="86" spans="1:13" x14ac:dyDescent="0.2">
      <c r="A86" s="122"/>
      <c r="B86" s="123"/>
      <c r="C86" s="122"/>
      <c r="D86" s="123"/>
      <c r="E86" s="129" t="str">
        <f t="shared" si="2"/>
        <v/>
      </c>
      <c r="F86" s="129" t="str">
        <f>IFERROR(VLOOKUP(C86,Geometry!$A$59:$B$80,2,FALSE),"")</f>
        <v/>
      </c>
      <c r="G86" s="122"/>
      <c r="H86" s="122"/>
      <c r="I86" s="97"/>
      <c r="J86" s="97"/>
      <c r="K86" s="97"/>
      <c r="L86" s="97"/>
      <c r="M86" s="97"/>
    </row>
    <row r="87" spans="1:13" x14ac:dyDescent="0.2">
      <c r="A87" s="122"/>
      <c r="B87" s="123"/>
      <c r="C87" s="122"/>
      <c r="D87" s="123"/>
      <c r="E87" s="129" t="str">
        <f t="shared" si="2"/>
        <v/>
      </c>
      <c r="F87" s="129" t="str">
        <f>IFERROR(VLOOKUP(C87,Geometry!$A$59:$B$80,2,FALSE),"")</f>
        <v/>
      </c>
      <c r="G87" s="122"/>
      <c r="H87" s="122"/>
      <c r="I87" s="97"/>
      <c r="J87" s="97"/>
      <c r="K87" s="97"/>
      <c r="L87" s="97"/>
      <c r="M87" s="97"/>
    </row>
    <row r="88" spans="1:13" x14ac:dyDescent="0.2">
      <c r="A88" s="122"/>
      <c r="B88" s="123"/>
      <c r="C88" s="122"/>
      <c r="D88" s="123"/>
      <c r="E88" s="129" t="str">
        <f t="shared" si="2"/>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97"/>
      <c r="B139" s="97"/>
      <c r="C139" s="97"/>
      <c r="D139" s="97"/>
      <c r="E139" s="97"/>
      <c r="F139" s="97"/>
      <c r="G139" s="97"/>
      <c r="H139" s="97"/>
      <c r="I139" s="97"/>
      <c r="J139" s="97"/>
      <c r="K139" s="97"/>
      <c r="L139" s="97"/>
      <c r="M139" s="97"/>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