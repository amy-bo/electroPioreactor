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s_vs_opt" localSheetId="5">'Mass Transfer'!$D$109</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O_vent_eq" localSheetId="5">'Mass Transfer'!$D$76</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y_O2_vent" localSheetId="5">'Mass Transfer'!$D$75</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 name="D_HCO3" localSheetId="3">Chemistry!$D$251</definedName>
    <definedName name="HCO3_op" localSheetId="3">Chemistry!$D$252</definedName>
    <definedName name="HPO4_op" localSheetId="3">Chemistry!$D$253</definedName>
    <definedName name="eta_anode_c" localSheetId="3">Chemistry!$D$254</definedName>
    <definedName name="pcet_credit_c" localSheetId="3">Chemistry!$D$255</definedName>
    <definedName name="E_anode_op" localSheetId="3">Chemistry!$D$256</definedName>
    <definedName name="E0_HOCl" localSheetId="3">Chemistry!$D$257</definedName>
    <definedName name="E_HOCl_Cl" localSheetId="3">Chemistry!$D$258</definedName>
    <definedName name="C_eff_lo_Cl2" localSheetId="3">Chemistry!$D$259</definedName>
    <definedName name="C_eff_hi_Cl2" localSheetId="3">Chemistry!$D$260</definedName>
    <definedName name="M_O2" localSheetId="5">'Mass Transfer'!$D$231</definedName>
    <definedName name="DO_at_carbon" localSheetId="5">'Mass Transfer'!$D$232</definedName>
    <definedName name="CO2_supply_b" localSheetId="4">Biology!$D$76</definedName>
    <definedName name="CO2_rate_full_b" localSheetId="4">Biology!$D$77</definedName>
    <definedName name="spg_dur_b" localSheetId="4">Biology!$D$78</definedName>
    <definedName name="R_gas_b" localSheetId="4">Biology!$D$79</definedName>
    <definedName name="H2_LFL" localSheetId="4">Biology!$D$80</definedName>
    <definedName name="O2_LOC_H2" localSheetId="4">Biology!$D$81</definedName>
    <definedName name="LOC_margin" localSheetId="4">Biology!$D$82</definedName>
    <definedName name="n_flamm_src" localSheetId="4">Biology!$D$83</definedName>
    <definedName name="y_H2_hs_lag" localSheetId="4">Biology!$D$84</definedName>
    <definedName name="y_O2_hs_lag" localSheetId="4">Biology!$D$85</definedName>
    <definedName name="duty_H2safe" localSheetId="4">Biology!$D$86</definedName>
    <definedName name="spg_int_H2safe" localSheetId="4">Biology!$D$87</definedName>
    <definedName name="N2_sweep_H2safe" localSheetId="4">Biology!$D$88</definedName>
    <definedName name="knall_H2_default" localSheetId="4">Biology!$D$63</definedName>
    <definedName name="knall_O2_default" localSheetId="4">Biology!$D$64</definedName>
    <definedName name="knall_CO2_default" localSheetId="4">Biology!$D$65</definedName>
    <definedName name="T_zero_C" localSheetId="4">Biology!$D$66</definedName>
    <definedName name="P_atm_set" localSheetId="4">Biology!$D$67</definedName>
    <definedName name="gerrit_slope_default" localSheetId="2">Electrochemistry!$D$125</definedName>
    <definedName name="gerrit_int_default" localSheetId="2">Electrochemistry!$D$126</definedName>
    <definedName name="V_headroom_min" localSheetId="2">Electrochemistry!$D$127</definedName>
    <definedName name="T_ref" localSheetId="3">Chemistry!$D$229</definedName>
    <definedName name="DH_const" localSheetId="3">Chemistry!$D$230</definedName>
    <definedName name="eps_water_298" localSheetId="3">Chemistry!$D$231</definedName>
    <definedName name="eps_T_exp" localSheetId="3">Chemistry!$D$232</definedName>
    <definedName name="davies_c" localSheetId="3">Chemistry!$D$233</definedName>
    <definedName name="Cl_floor_molL" localSheetId="3">Chemistry!$D$234</definedName>
    <definedName name="pH_step" localSheetId="3">Chemistry!$D$235</definedName>
    <definedName name="pH_band_lo" localSheetId="3">Chemistry!$D$236</definedName>
    <definedName name="pH_band_hi" localSheetId="3">Chemistry!$D$237</definedName>
    <definedName name="buffer_caution_frac" localSheetId="3">Chemistry!$D$238</definedName>
    <definedName name="T_ref" localSheetId="5">'Mass Transfer'!$D$209</definedName>
    <definedName name="T_zero_C" localSheetId="5">'Mass Transfer'!$D$210</definedName>
    <definedName name="d_bubble_min_m" localSheetId="5">'Mass Transfer'!$D$211</definedName>
    <definedName name="We_static_max" localSheetId="5">'Mass Transfer'!$D$212</definedName>
    <definedName name="cleared_min" localSheetId="5">'Mass Transfer'!$D$213</definedName>
    <definedName name="od_gap_min_s" localSheetId="5">'Mass Transfer'!$D$214</definedName>
    <definedName name="tip_speed_max" localSheetId="5">'Mass Transfer'!$D$216</definedName>
    <definedName name="geom_tol_mL" localSheetId="1">Geometry!$D$96</definedName>
    <definedName name="round_split" localSheetId="0">Summary!$D$93</definedName>
    <definedName name="bp_const" localSheetId="7">Calibrations!$D$140</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z_e_H2" localSheetId="7">Calibrations!$D$146</definedName>
    <definedName name="z_e_O2" localSheetId="7">Calibrations!$D$147</definedName>
    <definedName name="T_zero_C" localSheetId="7">Calibrations!$D$148</definedName>
    <definedName name="res_spg_dur" localSheetId="0">Summary!$D$13</definedName>
    <definedName name="res_spg_dur_run" localSheetId="0">Summary!$D$14</definedName>
    <definedName name="res_spg_int" localSheetId="0">Summary!$D$15</definedName>
    <definedName name="res_spg_int_run" localSheetId="0">Summary!$D$16</definedName>
    <definedName name="chk_geom" localSheetId="0">Summary!$D$19</definedName>
    <definedName name="chk_cal" localSheetId="0">Summary!$D$20</definedName>
    <definedName name="chk_DO_opt" localSheetId="0">Summary!$D$21</definedName>
    <definedName name="chk_DO_min" localSheetId="0">Summary!$D$22</definedName>
    <definedName name="chk_relax" localSheetId="0">Summary!$D$23</definedName>
    <definedName name="chk_H2" localSheetId="0">Summary!$D$24</definedName>
    <definedName name="chk_bubble" localSheetId="0">Summary!$D$25</definedName>
    <definedName name="chk_CO2_supply" localSheetId="0">Summary!$D$26</definedName>
    <definedName name="chk_pulse_floor" localSheetId="0">Summary!$D$27</definedName>
    <definedName name="chk_od_window" localSheetId="0">Summary!$D$28</definedName>
    <definedName name="chk_carryover" localSheetId="0">Summary!$D$29</definedName>
    <definedName name="chk_tip" localSheetId="0">Summary!$D$30</definedName>
    <definedName name="chk_media_vol" localSheetId="0">Summary!$D$31</definedName>
    <definedName name="chk_level" localSheetId="0">Summary!$D$32</definedName>
    <definedName name="chk_led_law" localSheetId="0">Summary!$D$33</definedName>
    <definedName name="chk_DO_data" localSheetId="0">Summary!$D$34</definedName>
    <definedName name="res_pH" localSheetId="0">Summary!$D$35</definedName>
    <definedName name="res_Cl2" localSheetId="0">Summary!$D$36</definedName>
    <definedName name="res_DO_ss" localSheetId="0">Summary!$D$38</definedName>
    <definedName name="res_spg_int_carbon" localSheetId="0">Summary!$D$39</definedName>
    <definedName name="res_tip_speed" localSheetId="0">Summary!$D$40</definedName>
    <definedName name="res_carbon_margin" localSheetId="0">Summary!$D$41</definedName>
    <definedName name="res_I_mA" localSheetId="0">Summary!$D$43</definedName>
    <definedName name="res_j_anode" localSheetId="0">Summary!$D$44</definedName>
    <definedName name="res_j_status" localSheetId="0">Summary!$D$45</definedName>
    <definedName name="res_power_max" localSheetId="0">Summary!$D$46</definedName>
    <definedName name="res_I_max" localSheetId="0">Summary!$D$47</definedName>
    <definedName name="res_j_anode_max" localSheetId="0">Summary!$D$48</definedName>
    <definedName name="res_j_status_max" localSheetId="0">Summary!$D$49</definedName>
    <definedName name="res_etaF" localSheetId="0">Summary!$D$82</definedName>
    <definedName name="res_V_cell" localSheetId="0">Summary!$D$83</definedName>
    <definedName name="res_V_flag" localSheetId="0">Summary!$D$84</definedName>
    <definedName name="res_H2O2_flag" localSheetId="0">Summary!$D$85</definedName>
    <definedName name="res_buffer_flag" localSheetId="0">Summary!$D$86</definedName>
    <definedName name="res_E_Cl_margin" localSheetId="0">Summary!$D$87</definedName>
    <definedName name="res_E_Cu_margin" localSheetId="0">Summary!$D$88</definedName>
    <definedName name="res_pH_probe" localSheetId="0">Summary!$D$89</definedName>
    <definedName name="res_kLa_req" localSheetId="0">Summary!$D$90</definedName>
    <definedName name="k_Cl_turn" localSheetId="3">Chemistry!$D$271</definedName>
    <definedName name="n_ORR_eff" localSheetId="2">Electrochemistry!$D$141</definedName>
    <definedName name="I_at_gerrit_max" localSheetId="2">Electrochemistry!$D$142</definedName>
    <definedName name="V_at_gerrit_max" localSheetId="2">Electrochemistry!$D$143</definedName>
    <definedName name="V_gerrit_flag" localSheetId="2">Electrochemistry!$D$144</definedName>
    <definedName name="f_HOR_anode" localSheetId="2">Electrochemistry!$D$145</definedName>
    <definedName name="ec_C_H2_sat" localSheetId="2">Electrochemistry!$D$146</definedName>
    <definedName name="i_HOR_lim" localSheetId="2">Electrochemistry!$D$147</definedName>
    <definedName name="f_HOR_lim" localSheetId="2">Electrochemistry!$D$148</definedName>
    <definedName name="r_H2_HOR" localSheetId="2">Electrochemistry!$D$149</definedName>
    <definedName name="H2_HOR_b" localSheetId="4">Biology!$D$96</definedName>
    <definedName name="ec_DO_lag" localSheetId="2">Electrochemistry!$D$150</definedName>
    <definedName name="k_H2O2_anode" localSheetId="2">Electrochemistry!$D$151</definedName>
    <definedName name="r_H2O2_lag" localSheetId="2">Electrochemistry!$D$152</definedName>
    <definedName name="km_O2_c" localSheetId="3">Chemistry!$D$272</definedName>
    <definedName name="km_exp_c" localSheetId="3">Chemistry!$D$273</definedName>
    <definedName name="D_O2_c" localSheetId="3">Chemistry!$D$274</definedName>
    <definedName name="km_HPO4" localSheetId="3">Chemistry!$D$275</definedName>
    <definedName name="km_HCO3" localSheetId="3">Chemistry!$D$276</definedName>
    <definedName name="ca_rho_0" localSheetId="7">Calibrations!$D$155</definedName>
    <definedName name="ca_rho_k" localSheetId="7">Calibrations!$D$156</definedName>
    <definedName name="C_cycle_start_b" localSheetId="4">Biology!$D$97</definedName>
    <definedName name="CO2_margin_trough" localSheetId="4">Biology!$D$98</definedName>
    <definedName name="pulse_res" localSheetId="5">'Mass Transfer'!$D$241</definedName>
    <definedName name="spg_dur_run" localSheetId="5">'Mass Transfer'!$D$242</definedName>
    <definedName name="D_Cl" localSheetId="3">Chemistry!$D$277</definedName>
    <definedName name="Cl_free_frac" localSheetId="3">Chemistry!$D$278</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<sst xmlns="http://schemas.openxmlformats.org/spreadsheetml/2006/main" count="2678" uniqueCount="1931">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</sst>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7"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
      <b/>
      <u/>
      <sz val="9"/>
      <color rgb="FF0000FF"/>
      <name val="Calibri"/>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s>
  <fills count="22">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66">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xf numFmtId="0" fontId="41" fillId="0" borderId="3" xfId="0" applyFont="1" applyBorder="1"/>
    <xf numFmtId="0" fontId="0" fillId="8" borderId="3" xfId="0" applyFill="1" applyBorder="1"/>
    <xf applyFill="1" numFmtId="0" fontId="30" fillId="21" borderId="3" xfId="2" applyFont="1" applyBorder="1"/>
    <xf numFmtId="0" fontId="12" fillId="0" borderId="8" xfId="0" applyFont="1" applyBorder="1"/>
    <xf applyFill="1" numFmtId="0" fontId="16" fillId="8" borderId="3" xfId="0" applyFont="1" applyBorder="1"/>
    <xf numFmtId="0" fontId="42" fillId="0" borderId="3" xfId="0" applyFont="1" applyBorder="1"/>
    <xf numFmtId="2" fontId="42" fillId="0" borderId="3" xfId="0" applyNumberFormat="1" applyFont="1" applyBorder="1"/>
    <xf numFmtId="165" fontId="42" fillId="0" borderId="3" xfId="0" applyNumberFormat="1" applyFont="1" applyBorder="1"/>
    <xf numFmtId="2" fontId="12" fillId="0" borderId="3" xfId="0" applyNumberFormat="1" applyFont="1" applyBorder="1"/>
    <xf numFmtId="165" fontId="12" fillId="0" borderId="3" xfId="0" applyNumberFormat="1" applyFont="1" applyBorder="1"/>
    <xf numFmtId="0" fontId="12" fillId="0" borderId="4" xfId="0" applyFont="1" applyBorder="1"/>
    <xf numFmtId="0" fontId="12" fillId="0" borderId="6" xfId="0" applyFont="1" applyBorder="1"/>
    <xf numFmtId="1" fontId="12" fillId="0" borderId="8" xfId="0" applyNumberFormat="1" applyFont="1" applyBorder="1"/>
    <xf numFmtId="1" fontId="43" fillId="0" borderId="3" xfId="0" applyNumberFormat="1" applyFont="1" applyBorder="1"/>
    <xf numFmtId="169" fontId="43" fillId="0" borderId="3" xfId="0" applyNumberFormat="1" applyFont="1" applyBorder="1"/>
    <xf numFmtId="0" fontId="43" fillId="0" borderId="3" xfId="0" applyFont="1" applyBorder="1"/>
    <xf applyFill="1" numFmtId="0" fontId="35" fillId="8" borderId="3" xfId="0" applyFont="1" applyBorder="1"/>
    <xf numFmtId="0" fontId="6" fillId="0" borderId="3" xfId="0" applyFont="1" applyBorder="1"/>
    <xf numFmtId="165" fontId="12" fillId="0" borderId="8" xfId="0" applyNumberFormat="1" applyFont="1" applyBorder="1"/>
    <xf numFmtId="0" fontId="12" fillId="0" borderId="7" xfId="0" applyFont="1" applyBorder="1"/>
    <xf numFmtId="0" fontId="12" fillId="0" borderId="5" xfId="0" applyFont="1" applyBorder="1"/>
    <xf numFmtId="168" fontId="43" fillId="0" borderId="3" xfId="0" applyNumberFormat="1" applyFont="1" applyBorder="1"/>
    <xf numFmtId="168" fontId="12" fillId="0" borderId="5" xfId="0" applyNumberFormat="1" applyFont="1" applyBorder="1"/>
    <xf numFmtId="165" fontId="43" fillId="0" borderId="3" xfId="0" applyNumberFormat="1" applyFont="1" applyBorder="1"/>
    <xf numFmtId="2" fontId="43" fillId="0" borderId="3" xfId="0" applyNumberFormat="1" applyFont="1" applyBorder="1"/>
    <xf numFmtId="166" fontId="43" fillId="0" borderId="3" xfId="0" applyNumberFormat="1" applyFont="1" applyBorder="1"/>
    <xf numFmtId="168" fontId="12" fillId="0" borderId="8" xfId="0" applyNumberFormat="1" applyFont="1" applyBorder="1"/>
    <xf numFmtId="168" fontId="12" fillId="0" borderId="3" xfId="0" applyNumberFormat="1" applyFont="1" applyBorder="1"/>
    <xf numFmtId="0" fontId="4" fillId="8" borderId="3" xfId="0" applyFont="1" applyFill="1" applyBorder="1" applyAlignment="1">
      <alignment vertical="top" wrapText="1"/>
    </xf>
    <xf applyFill="1" numFmtId="0" fontId="0" fillId="8" borderId="3" xfId="0" applyBorder="1"/>
    <xf numFmtId="0" fontId="44" fillId="0" borderId="3" xfId="0" applyFont="1" applyBorder="1"/>
    <xf numFmtId="0" fontId="12" fillId="0" borderId="9" xfId="0" applyFont="1" applyBorder="1"/>
    <xf applyFont="1" numFmtId="0" fontId="45" fillId="0" borderId="11" xfId="0"/>
    <xf applyFont="1" numFmtId="0" fontId="46" fillId="0" borderId="11" xfId="0"/>
    <xf applyFill="1" numFmtId="0" fontId="0" fillId="8" borderId="11" xfId="0"/>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131" t="s">
        <v>16</v>
      </c>
      <c r="E2" s="20" t="s">
        <v>31</v>
      </c>
      <c r="F2" s="21" t="s">
        <v>32</v>
      </c>
    </row>
    <row r="3" spans="1:7" ht="16" customHeight="1" thickBot="1" x14ac:dyDescent="0.25">
      <c r="A3" s="17" t="s">
        <v>33</v>
      </c>
      <c r="B3" s="18" t="s">
        <v>34</v>
      </c>
      <c r="C3" s="19"/>
      <c r="D3" s="131" t="s">
        <v>393</v>
      </c>
      <c r="E3" s="20" t="s">
        <v>31</v>
      </c>
      <c r="F3" s="21" t="inlineStr">
        <is>
          <t xml:space="preserve">Anode material and sparger. Choose from the list (Electrochemistry A35:A38). Dropdown.</t>
        </is>
      </c>
    </row>
    <row r="4" spans="1:7" x14ac:dyDescent="0.2">
      <c r="A4" s="17" t="s">
        <v>37</v>
      </c>
      <c r="B4" s="18" t="s">
        <v>38</v>
      </c>
      <c r="C4" s="19"/>
      <c r="D4" s="131" t="s">
        <v>535</v>
      </c>
      <c r="E4" s="20" t="s">
        <v>31</v>
      </c>
      <c r="F4" s="21" t="s">
        <v>40</v>
      </c>
    </row>
    <row r="5" spans="1:7" x14ac:dyDescent="0.2">
      <c r="A5" s="20" t="s">
        <v>41</v>
      </c>
      <c r="B5" s="18" t="s">
        <v>42</v>
      </c>
      <c r="C5" s="20"/>
      <c r="D5" s="131" t="inlineStr">
        <is>
          <t>UdG phosphate</t>
        </is>
      </c>
      <c r="E5" s="20" t="s">
        <v>31</v>
      </c>
      <c r="F5" s="21" t="s">
        <v>43</v>
      </c>
    </row>
    <row r="6" spans="1:7" x14ac:dyDescent="0.2">
      <c r="A6" s="20" t="s">
        <v>1276</v>
      </c>
      <c r="B6" s="18" t="s">
        <v>44</v>
      </c>
      <c r="C6" s="20" t="s">
        <v>45</v>
      </c>
      <c r="D6" s="131">
        <v>3</v>
      </c>
      <c r="E6" s="20" t="s">
        <v>46</v>
      </c>
      <c r="F6" s="21" t="s">
        <v>1277</v>
      </c>
    </row>
    <row r="7" spans="1:7" x14ac:dyDescent="0.2">
      <c r="A7" s="20" t="s">
        <v>47</v>
      </c>
      <c r="B7" s="18" t="s">
        <v>48</v>
      </c>
      <c r="C7" s="20" t="s">
        <v>49</v>
      </c>
      <c r="D7" s="131">
        <v>1000</v>
      </c>
      <c r="E7" s="20" t="s">
        <v>46</v>
      </c>
      <c r="F7" s="21" t="s">
        <v>50</v>
      </c>
    </row>
    <row r="8" spans="1:7" x14ac:dyDescent="0.2">
      <c r="A8" s="20" t="s">
        <v>51</v>
      </c>
      <c r="B8" s="18" t="s">
        <v>52</v>
      </c>
      <c r="C8" s="20" t="s">
        <v>53</v>
      </c>
      <c r="D8" s="131">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18" t="inlineStr">
        <is>
          <t xml:space="preserve">res_spg_dur</t>
        </is>
      </c>
      <c r="C13" s="20" t="s">
        <v>13</v>
      </c>
      <c r="D13" s="90">
        <f>IF('Mass Transfer'!$D$119=0,"calibrate this reactor first (see CO2 flows)",'Mass Transfer'!$D$90)</f>
        <v>0.784513049825</v>
      </c>
      <c r="E13" s="23" t="str">
        <f>HYPERLINK("#'Mass Transfer'!D90","→ Mass")</f>
        <v>→ Mass</v>
      </c>
      <c r="F13" s="21" t="s">
        <v>65</v>
      </c>
      <c r="G13" s="36"/>
    </row>
    <row r="14" spans="1:7" s="3" customFormat="1" ht="16" customHeight="1" thickBot="1" x14ac:dyDescent="0.25">
      <c r="A14" s="28" t="inlineStr">
        <is>
          <t xml:space="preserve">CO₂ sparge duration (as run)</t>
        </is>
      </c>
      <c r="B14" s="18" t="inlineStr">
        <is>
          <t xml:space="preserve">res_spg_dur_run</t>
        </is>
      </c>
      <c r="C14" s="20" t="s">
        <v>13</v>
      </c>
      <c r="D14" s="91">
        <f>IF(AND(ISNUMBER($G$13),$G$13&gt;0),$G$13,IF(NOT(ISNUMBER(D13)),D13,'Mass Transfer'!$D$242))</f>
        <v>0.8</v>
      </c>
      <c r="E14" s="20"/>
      <c r="F14" s="21" t="inlineStr">
        <is>
          <t xml:space="preserve">Pulse to type in: the optimum rounded to the solenoid command resolution (Mass Transfer D241–D242). An override in G13 wins.</t>
        </is>
      </c>
    </row>
    <row r="15" spans="1:7" ht="16" customHeight="1" thickBot="1" x14ac:dyDescent="0.25">
      <c r="A15" s="89" t="s">
        <v>66</v>
      </c>
      <c r="B15" s="18" t="inlineStr">
        <is>
          <t xml:space="preserve">res_spg_int</t>
        </is>
      </c>
      <c r="C15" s="20" t="s">
        <v>67</v>
      </c>
      <c r="D15" s="90">
        <f>IF('Mass Transfer'!$D$119=0,"calibrate this reactor first (see CO2 flows)",'Mass Transfer'!$D$91)</f>
        <v>14.299822696002</v>
      </c>
      <c r="E15" s="23" t="str">
        <f>HYPERLINK("#'Mass Transfer'!D91","→ Mass")</f>
        <v>→ Mass</v>
      </c>
      <c r="F15" s="21" t="inlineStr">
        <is>
          <t xml:space="preserve">Time between doses: the shorter of the carbon-limited interval and the headspace-O₂-dilution interval (binding constraint on Mass Transfer D94). Credits surface O₂ stripping via the kL_surf estimate; measuring kL_surf refines it.</t>
        </is>
      </c>
      <c r="G15" s="36"/>
    </row>
    <row r="16" spans="1:7" x14ac:dyDescent="0.2">
      <c r="A16" s="28" t="inlineStr">
        <is>
          <t xml:space="preserve">CO₂ sparge interval (as run)</t>
        </is>
      </c>
      <c r="B16" s="18" t="inlineStr">
        <is>
          <t xml:space="preserve">res_spg_int_run</t>
        </is>
      </c>
      <c r="C16" s="20" t="s">
        <v>67</v>
      </c>
      <c r="D16" s="91">
        <f>IF(AND(ISNUMBER($G$15),$G$15&gt;0),$G$15,IF(NOT(ISNUMBER(D15)),D15,ROUND(D14/(60*'Mass Transfer'!$D$93),0)))</f>
        <v>15.0</v>
      </c>
      <c r="E16" s="92"/>
      <c r="F16" s="21" t="inlineStr">
        <is>
          <t xml:space="preserve">Interval to type in: recomputed from the as-run pulse at the optimised duty (Mass Transfer D93) and rounded to whole minutes, so rounding does not shift the CO₂ dose (row 95). An override in G15 wins.</t>
        </is>
      </c>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18" t="inlineStr">
        <is>
          <t xml:space="preserve">chk_geom</t>
        </is>
      </c>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18" t="inlineStr">
        <is>
          <t xml:space="preserve">chk_cal</t>
        </is>
      </c>
      <c r="C20" s="20"/>
      <c r="D20" s="90" t="str">
        <f>'Mass Transfer'!$D$120</f>
        <v>calibrated: ed04</v>
      </c>
      <c r="E20" s="23" t="str">
        <f>HYPERLINK("#'Mass Transfer'!D120","→ Mass")</f>
        <v>→ Mass</v>
      </c>
      <c r="F20" s="21" t="s">
        <v>73</v>
      </c>
    </row>
    <row r="21" spans="1:6" x14ac:dyDescent="0.2">
      <c r="A21" s="89" t="s">
        <v>74</v>
      </c>
      <c r="B21" s="18" t="inlineStr">
        <is>
          <t xml:space="preserve">chk_DO_opt</t>
        </is>
      </c>
      <c r="C21" s="20"/>
      <c r="D21" s="90" t="str">
        <f>'Mass Transfer'!$D$109</f>
        <v>organism optimum unknown</v>
      </c>
      <c r="E21" s="23" t="str">
        <f>HYPERLINK("#'Mass Transfer'!D109","→ Mass")</f>
        <v>→ Mass</v>
      </c>
      <c r="F21" s="21" t="s">
        <v>75</v>
      </c>
    </row>
    <row r="22" spans="1:6" x14ac:dyDescent="0.2">
      <c r="A22" s="89" t="s">
        <v>76</v>
      </c>
      <c r="B22" s="18" t="inlineStr">
        <is>
          <t xml:space="preserve">chk_DO_min</t>
        </is>
      </c>
      <c r="C22" s="20"/>
      <c r="D22" s="90" t="str">
        <f>'Mass Transfer'!$D$110</f>
        <v>minimum DO unknown - measure</v>
      </c>
      <c r="E22" s="23" t="str">
        <f>HYPERLINK("#'Mass Transfer'!D110","→ Mass")</f>
        <v>→ Mass</v>
      </c>
      <c r="F22" s="21" t="s">
        <v>77</v>
      </c>
    </row>
    <row r="23" spans="1:6" x14ac:dyDescent="0.2">
      <c r="A23" s="89" t="inlineStr">
        <is>
          <t xml:space="preserve">Can the interval relax to the carbon-limited one?</t>
        </is>
      </c>
      <c r="B23" s="18" t="inlineStr">
        <is>
          <t xml:space="preserve">chk_relax</t>
        </is>
      </c>
      <c r="C23" s="20"/>
      <c r="D23" s="90" t="str">
        <f>'Mass Transfer'!$D$113</f>
        <v>Do NOT relax: at the carbon-limited interval (189 min) DO would be 13.7 mg/L against a 2.6 mg/L target</v>
      </c>
      <c r="E23" s="23" t="str">
        <f>HYPERLINK("#'Mass Transfer'!D113","→ Mass")</f>
        <v>→ Mass</v>
      </c>
      <c r="F23" s="21" t="inlineStr">
        <is>
          <t xml:space="preserve">Green only if CO₂ dosed for carbon alone would still hold dissolved O₂ at the target; otherwise it states the DO the longer interval would give.</t>
        </is>
      </c>
    </row>
    <row r="24" spans="1:6" x14ac:dyDescent="0.2">
      <c r="A24" s="89" t="inlineStr">
        <is>
          <t xml:space="preserve">H₂ headspace flammable?</t>
        </is>
      </c>
      <c r="B24" s="18" t="inlineStr">
        <is>
          <t xml:space="preserve">chk_H2</t>
        </is>
      </c>
      <c r="C24" s="20"/>
      <c r="D24" s="95" t="str">
        <f>Biology!$D$44</f>
        <v>FLAMMABLE HEADSPACE (lag): H₂ 17%, O₂ 8% – until uptake starts, sparge every ≤2.2 min or sweep ≥1.0 mL/min N₂; vent to a hood; no ignition sources</v>
      </c>
      <c r="E24" s="23" t="str">
        <f>HYPERLINK("#Biology!D44","→ Biology")</f>
        <v>→ Biology</v>
      </c>
      <c r="F24" s="21" t="inlineStr">
        <is>
          <t xml:space="preserve">Lag-phase headspace (electrolysis on, no H₂ uptake) against the H₂ flammability limit and the O₂ limiting concentration; the text names the remedy.</t>
        </is>
      </c>
    </row>
    <row r="25" spans="1:6" x14ac:dyDescent="0.2">
      <c r="A25" s="89" t="s">
        <v>82</v>
      </c>
      <c r="B25" s="18" t="inlineStr">
        <is>
          <t xml:space="preserve">chk_bubble</t>
        </is>
      </c>
      <c r="C25" s="20"/>
      <c r="D25" s="90" t="str">
        <f>'Mass Transfer'!$D$64</f>
        <v>Static</v>
      </c>
      <c r="E25" s="23" t="str">
        <f>HYPERLINK("#'Mass Transfer'!D64","→ Mass")</f>
        <v>→ Mass</v>
      </c>
      <c r="F25" s="21" t="s">
        <v>83</v>
      </c>
    </row>
    <row r="26" spans="1:6" x14ac:dyDescent="0.2">
      <c r="A26" s="89" t="s">
        <v>84</v>
      </c>
      <c r="B26" s="18" t="inlineStr">
        <is>
          <t xml:space="preserve">chk_CO2_supply</t>
        </is>
      </c>
      <c r="C26" s="20"/>
      <c r="D26" s="90" t="str">
        <f>IFERROR("×"&amp;TEXT('Mass Transfer'!$D$126,"0.0")&amp;IF('Mass Transfer'!$D$126&gt;=1," OK"," SHORTFALL (CO2 &lt; demand)"),"calibrate this reactor first")</f>
        <v>×26.4 OK</v>
      </c>
      <c r="E26" s="23" t="str">
        <f>HYPERLINK("#'Mass Transfer'!D126","→ Mass")</f>
        <v>→ Mass</v>
      </c>
      <c r="F26" s="21" t="s">
        <v>85</v>
      </c>
    </row>
    <row r="27" spans="1:6" x14ac:dyDescent="0.2">
      <c r="A27" s="89" t="s">
        <v>86</v>
      </c>
      <c r="B27" s="18" t="inlineStr">
        <is>
          <t xml:space="preserve">chk_pulse_floor</t>
        </is>
      </c>
      <c r="C27" s="20"/>
      <c r="D27" s="90" t="str">
        <f>IFERROR('Mass Transfer'!$D$130,"calibrate this reactor first (see CO2 flows)")</f>
        <v>OK</v>
      </c>
      <c r="E27" s="23" t="str">
        <f>HYPERLINK("#'Mass Transfer'!D130","→ Mass")</f>
        <v>→ Mass</v>
      </c>
      <c r="F27" s="21" t="s">
        <v>87</v>
      </c>
    </row>
    <row r="28" spans="1:6" x14ac:dyDescent="0.2">
      <c r="A28" s="89" t="s">
        <v>88</v>
      </c>
      <c r="B28" s="18" t="inlineStr">
        <is>
          <t xml:space="preserve">chk_od_window</t>
        </is>
      </c>
      <c r="C28" s="20"/>
      <c r="D28" s="90" t="str">
        <f>IFERROR('Mass Transfer'!$D$95,"calibrate this reactor first (see CO2 flows)")</f>
        <v>OK</v>
      </c>
      <c r="E28" s="23" t="str">
        <f>HYPERLINK("#'Mass Transfer'!D95","→ Mass")</f>
        <v>→ Mass</v>
      </c>
      <c r="F28" s="21" t="s">
        <v>89</v>
      </c>
    </row>
    <row r="29" spans="1:6" x14ac:dyDescent="0.2">
      <c r="A29" s="89" t="s">
        <v>90</v>
      </c>
      <c r="B29" s="18" t="inlineStr">
        <is>
          <t xml:space="preserve">chk_carryover</t>
        </is>
      </c>
      <c r="C29" s="20"/>
      <c r="D29" s="90" t="str">
        <f>'Mass Transfer'!$D$59</f>
        <v>OK</v>
      </c>
      <c r="E29" s="23" t="str">
        <f>HYPERLINK("#'Mass Transfer'!D59","→ Mass")</f>
        <v>→ Mass</v>
      </c>
      <c r="F29" s="21" t="s">
        <v>91</v>
      </c>
    </row>
    <row r="30" spans="1:6" x14ac:dyDescent="0.2">
      <c r="A30" s="89" t="s">
        <v>92</v>
      </c>
      <c r="B30" s="18" t="inlineStr">
        <is>
          <t xml:space="preserve">chk_tip</t>
        </is>
      </c>
      <c r="C30" s="20"/>
      <c r="D30" s="90" t="str">
        <f>'Mass Transfer'!$D$111</f>
        <v>OK</v>
      </c>
      <c r="E30" s="23" t="str">
        <f>HYPERLINK("#'Mass Transfer'!D111","→ Mass")</f>
        <v>→ Mass</v>
      </c>
      <c r="F30" s="21" t="s">
        <v>93</v>
      </c>
    </row>
    <row r="31" spans="1:6" x14ac:dyDescent="0.2">
      <c r="A31" s="89" t="s">
        <v>94</v>
      </c>
      <c r="B31" s="18" t="inlineStr">
        <is>
          <t xml:space="preserve">chk_media_vol</t>
        </is>
      </c>
      <c r="C31" s="20"/>
      <c r="D31" s="94" t="str">
        <f>Geometry!$D$54</f>
        <v>OK</v>
      </c>
      <c r="E31" s="23" t="str">
        <f>HYPERLINK("#Geometry!D54","→ Geometry")</f>
        <v>→ Geometry</v>
      </c>
      <c r="F31" s="21" t="s">
        <v>95</v>
      </c>
    </row>
    <row r="32" spans="1:6" x14ac:dyDescent="0.2">
      <c r="A32" s="89" t="s">
        <v>96</v>
      </c>
      <c r="B32" s="18" t="inlineStr">
        <is>
          <t xml:space="preserve">chk_level</t>
        </is>
      </c>
      <c r="C32" s="20"/>
      <c r="D32" s="94" t="str">
        <f>Geometry!$D$55</f>
        <v>OK</v>
      </c>
      <c r="E32" s="23" t="str">
        <f>HYPERLINK("#Geometry!D55","→ Geometry")</f>
        <v>→ Geometry</v>
      </c>
      <c r="F32" s="21" t="s">
        <v>97</v>
      </c>
    </row>
    <row r="33" spans="1:6" ht="16" thickBot="1" x14ac:dyDescent="0.25">
      <c r="A33" s="89" t="s">
        <v>98</v>
      </c>
      <c r="B33" s="18" t="inlineStr">
        <is>
          <t xml:space="preserve">chk_led_law</t>
        </is>
      </c>
      <c r="C33" s="20"/>
      <c r="D33" s="96" t="str">
        <f>Electrochemistry!$D$20</f>
        <v>OK</v>
      </c>
      <c r="E33" s="23" t="str">
        <f>HYPERLINK("#Electrochemistry!D20","→ Electrochemistry")</f>
        <v>→ Electrochemistry</v>
      </c>
      <c r="F33" s="21" t="s">
        <v>99</v>
      </c>
    </row>
    <row r="34" ht="16" thickBot="1" x14ac:dyDescent="0.25">
      <c r="A34" s="89" t="s">
        <v>986</v>
      </c>
      <c r="B34" s="18" t="inlineStr">
        <is>
          <t xml:space="preserve">chk_DO_data</t>
        </is>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ht="16" thickBot="1" x14ac:dyDescent="0.25">
      <c r="A35" s="89" t="inlineStr">
        <is>
          <t xml:space="preserve">Cycle-average pH (activity scale, as a probe reads)</t>
        </is>
      </c>
      <c r="B35" s="18" t="inlineStr">
        <is>
          <t xml:space="preserve">res_pH</t>
        </is>
      </c>
      <c r="C35" s="20"/>
      <c r="D35" s="121">
        <f>Chemistry!$D$220</f>
        <v>6.570596176702</v>
      </c>
      <c r="E35" s="23" t="str">
        <f>HYPERLINK("#Chemistry!D220","→ Chemistry")</f>
        <v>→ Chemistry</v>
      </c>
      <c r="F35" s="21" t="inlineStr">
        <is>
          <t xml:space="preserve">pH at the cycle-average dissolved CO₂ of the schedule in use, on the activity scale a probe reads; the trough just after a pulse is lower. Green 6.5–7.5; red outside 6–8.</t>
        </is>
      </c>
    </row>
    <row r="36" ht="16" thickBot="1" x14ac:dyDescent="0.25">
      <c r="A36" s="89" t="s">
        <v>1128</v>
      </c>
      <c r="B36" s="18" t="inlineStr">
        <is>
          <t xml:space="preserve">res_Cl2</t>
        </is>
      </c>
      <c r="C36" s="20" t="s">
        <v>102</v>
      </c>
      <c r="D36" s="121">
        <f>Chemistry!$D$226</f>
        <v>0.338593949713</v>
      </c>
      <c r="E36" s="23" t="str">
        <f>HYPERLINK("#Chemistry!D226","→ Chemistry")</f>
        <v>→ Chemistry</v>
      </c>
      <c r="F36" s="21" t="inlineStr">
        <is>
          <t xml:space="preserve">Effective biocidal chlorine from the medium’s chloride, as Cl₂ (the basis of the thresholds). Onset 0.1 mg/L, kill 2 mg/L (Chemistry D146/D147); colour: green below 0.1, red above 1. Zero for chloride-free media.</t>
        </is>
      </c>
    </row>
    <row r="37" spans="1:6" ht="16" thickBot="1" x14ac:dyDescent="0.25">
      <c r="A37" s="103" t="s">
        <v>100</v>
      </c>
      <c r="B37" s="20"/>
      <c r="C37" s="20"/>
      <c r="D37" s="20"/>
      <c r="E37" s="20"/>
      <c r="F37" s="21"/>
    </row>
    <row r="38" spans="1:6" x14ac:dyDescent="0.2">
      <c r="A38" s="89" t="s">
        <v>101</v>
      </c>
      <c r="B38" s="18" t="inlineStr">
        <is>
          <t xml:space="preserve">res_DO_ss</t>
        </is>
      </c>
      <c r="C38" s="20" t="s">
        <v>102</v>
      </c>
      <c r="D38" s="90">
        <f>'Mass Transfer'!$D$108</f>
        <v>2.638866712696</v>
      </c>
      <c r="E38" s="23" t="str">
        <f>HYPERLINK("#'Mass Transfer'!D108","→ Mass")</f>
        <v>→ Mass</v>
      </c>
      <c r="F38" s="21" t="s">
        <v>103</v>
      </c>
    </row>
    <row r="39" spans="1:6" x14ac:dyDescent="0.2">
      <c r="A39" s="89" t="inlineStr">
        <is>
          <t xml:space="preserve">Carbon-limited sparge interval</t>
        </is>
      </c>
      <c r="B39" s="18" t="inlineStr">
        <is>
          <t xml:space="preserve">res_spg_int_carbon</t>
        </is>
      </c>
      <c r="C39" s="20" t="s">
        <v>67</v>
      </c>
      <c r="D39" s="90">
        <f>'Mass Transfer'!$D$112</f>
        <v>188.941031253092</v>
      </c>
      <c r="E39" s="23" t="str">
        <f>HYPERLINK("#'Mass Transfer'!D112","→ Mass")</f>
        <v>→ Mass</v>
      </c>
      <c r="F39" s="21" t="inlineStr">
        <is>
          <t xml:space="preserve">Interval set by CO₂ supply alone. The schedule uses it only when it is shorter than the O₂-dilution interval.</t>
        </is>
      </c>
    </row>
    <row r="40" spans="1:6" x14ac:dyDescent="0.2">
      <c r="A40" s="89" t="s">
        <v>106</v>
      </c>
      <c r="B40" s="18" t="inlineStr">
        <is>
          <t xml:space="preserve">res_tip_speed</t>
        </is>
      </c>
      <c r="C40" s="20" t="s">
        <v>107</v>
      </c>
      <c r="D40" s="90">
        <f>'Mass Transfer'!$D$68</f>
        <v>0.628318530718</v>
      </c>
      <c r="E40" s="23" t="str">
        <f>HYPERLINK("#'Mass Transfer'!D68","→ Mass")</f>
        <v>→ Mass</v>
      </c>
      <c r="F40" s="21" t="s">
        <v>108</v>
      </c>
    </row>
    <row r="41" spans="1:6" x14ac:dyDescent="0.2">
      <c r="A41" s="89" t="inlineStr">
        <is>
          <t xml:space="preserve">Carbon margin at the cycle trough</t>
        </is>
      </c>
      <c r="B41" s="18" t="inlineStr">
        <is>
          <t xml:space="preserve">res_carbon_margin</t>
        </is>
      </c>
      <c r="C41" s="20" t="s">
        <v>110</v>
      </c>
      <c r="D41" s="95">
        <f>Biology!$D$98</f>
        <v>148.503370342395</v>
      </c>
      <c r="E41" s="23" t="str">
        <f>HYPERLINK("#Biology!D98","→ Biology")</f>
        <v>→ Biology</v>
      </c>
      <c r="F41" s="21" t="inlineStr">
        <is>
          <t xml:space="preserve">Dissolved CO₂ at the lowest point of the dosing cycle vs RuBisCO Km (was the in-sparge saturation peak, which a sub-second pulse never reaches); large = ample carbon. Complements the supply:demand ratio (D26).</t>
        </is>
      </c>
    </row>
    <row r="42" spans="1:6" x14ac:dyDescent="0.2">
      <c r="A42" s="103" t="s">
        <v>1278</v>
      </c>
    </row>
    <row r="43" x14ac:dyDescent="0.2">
      <c r="A43" s="89" t="s">
        <v>1279</v>
      </c>
      <c r="B43" s="18" t="inlineStr">
        <is>
          <t xml:space="preserve">res_I_mA</t>
        </is>
      </c>
      <c r="C43" s="20" t="s">
        <v>325</v>
      </c>
      <c r="D43" s="90">
        <f>Electrochemistry!$D$19*1000</f>
        <v>5.69</v>
      </c>
      <c r="E43" s="23" t="str">
        <f>HYPERLINK("#Electrochemistry!D19","→ Electrochemistry")</f>
        <v>→ Electrochemistry</v>
      </c>
      <c r="F43" s="21" t="s">
        <v>1280</v>
      </c>
    </row>
    <row r="44" x14ac:dyDescent="0.2">
      <c r="A44" s="89" t="s">
        <v>1281</v>
      </c>
      <c r="B44" s="18" t="inlineStr">
        <is>
          <t xml:space="preserve">res_j_anode</t>
        </is>
      </c>
      <c r="C44" s="20" t="s">
        <v>1282</v>
      </c>
      <c r="D44" s="90">
        <f>Electrochemistry!$D$48</f>
        <v>2.826095688296</v>
      </c>
      <c r="E44" s="23" t="str">
        <f>HYPERLINK("#Electrochemistry!D48","→ Electrochemistry")</f>
        <v>→ Electrochemistry</v>
      </c>
      <c r="F44" s="21" t="s">
        <v>1283</v>
      </c>
    </row>
    <row r="45" x14ac:dyDescent="0.2">
      <c r="A45" s="89" t="s">
        <v>1284</v>
      </c>
      <c r="B45" s="18" t="inlineStr">
        <is>
          <t xml:space="preserve">res_j_status</t>
        </is>
      </c>
      <c r="D45" s="90" t="str">
        <f>Electrochemistry!$D$62</f>
        <v>watch - above optimum current density</v>
      </c>
      <c r="E45" s="23" t="str">
        <f>HYPERLINK("#Electrochemistry!D62","→ Electrochemistry")</f>
        <v>→ Electrochemistry</v>
      </c>
      <c r="F45" s="21" t="s">
        <v>1285</v>
      </c>
    </row>
    <row r="46" x14ac:dyDescent="0.2">
      <c r="A46" s="89" t="s">
        <v>1286</v>
      </c>
      <c r="B46" s="18" t="inlineStr">
        <is>
          <t xml:space="preserve">res_power_max</t>
        </is>
      </c>
      <c r="C46" s="20" t="s">
        <v>45</v>
      </c>
      <c r="D46" s="90">
        <f>Electrochemistry!$D$73</f>
        <v>10.0</v>
      </c>
      <c r="E46" s="23" t="str">
        <f>HYPERLINK("#Electrochemistry!D73","→ Electrochemistry")</f>
        <v>→ Electrochemistry</v>
      </c>
      <c r="F46" s="21" t="s">
        <v>1287</v>
      </c>
    </row>
    <row r="47" x14ac:dyDescent="0.2">
      <c r="A47" s="89" t="s">
        <v>1288</v>
      </c>
      <c r="B47" s="18" t="inlineStr">
        <is>
          <t xml:space="preserve">res_I_max</t>
        </is>
      </c>
      <c r="C47" s="20" t="s">
        <v>325</v>
      </c>
      <c r="D47" s="90">
        <f>Electrochemistry!$D$74</f>
        <v>12.9</v>
      </c>
      <c r="E47" s="23" t="str">
        <f>HYPERLINK("#Electrochemistry!D74","→ Electrochemistry")</f>
        <v>→ Electrochemistry</v>
      </c>
      <c r="F47" s="21" t="s">
        <v>1289</v>
      </c>
    </row>
    <row r="48" x14ac:dyDescent="0.2">
      <c r="A48" s="89" t="s">
        <v>1290</v>
      </c>
      <c r="B48" s="18" t="inlineStr">
        <is>
          <t xml:space="preserve">res_j_anode_max</t>
        </is>
      </c>
      <c r="C48" s="20" t="s">
        <v>1282</v>
      </c>
      <c r="D48" s="90">
        <f>Electrochemistry!$D$75</f>
        <v>6.407141367138</v>
      </c>
      <c r="E48" s="23" t="str">
        <f>HYPERLINK("#Electrochemistry!D75","→ Electrochemistry")</f>
        <v>→ Electrochemistry</v>
      </c>
      <c r="F48" s="21" t="s">
        <v>1291</v>
      </c>
    </row>
    <row r="49" x14ac:dyDescent="0.2">
      <c r="A49" s="89" t="s">
        <v>1292</v>
      </c>
      <c r="B49" s="18" t="inlineStr">
        <is>
          <t xml:space="preserve">res_j_status_max</t>
        </is>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132"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133"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HYPERLINK("https://github.com/amy-bo/electroPioreactor/blob/AEP02/Media/protocols/surface-kla.md","surface-kla.md →")</f>
        <v>surface-kla.md →</v>
      </c>
      <c r="E66" s="103"/>
      <c r="F66" s="21" t="inlineStr">
        <is>
          <t xml:space="preserve">Sets how far dissolved O₂ must sit above the headspace to shed the surplus, and the feasibility margin behind the whole DO strategy (kLa in use ÷ kLa required). It moves the answer continuously.</t>
        </is>
      </c>
    </row>
    <row r="67" spans="1:6" x14ac:dyDescent="0.2">
      <c r="A67" s="20" t="s">
        <v>1016</v>
      </c>
      <c r="B67" s="20" t="s">
        <v>1017</v>
      </c>
      <c r="C67" s="20" t="s">
        <v>1018</v>
      </c>
      <c r="D67" s="36" t="str">
        <f>HYPERLINK("https://github.com/amy-bo/electroPioreactor/blob/AEP02/Media/protocols/vial-geometry.md","vial-geometry.md →")</f>
        <v>vial-geometry.md →</v>
      </c>
      <c r="E67" s="103"/>
      <c r="F67" s="21" t="s">
        <v>1019</v>
      </c>
    </row>
    <row r="68" spans="1:6" x14ac:dyDescent="0.2">
      <c r="A68" s="20" t="s">
        <v>1020</v>
      </c>
      <c r="B68" s="20" t="s">
        <v>1021</v>
      </c>
      <c r="C68" s="20" t="s">
        <v>1022</v>
      </c>
      <c r="D68" s="36" t="str">
        <f>HYPERLINK("https://github.com/amy-bo/electroPioreactor/blob/AEP02/Media/protocols/faradaic-efficiency.md","faradaic-efficiency.md →")</f>
        <v>faradaic-efficiency.md →</v>
      </c>
      <c r="E68" s="103"/>
      <c r="F68" s="21" t="inlineStr">
        <is>
          <t xml:space="preserve">Calculated from the cathodic O₂ flux, but the calculation rests on an estimated electrode mass-transfer coefficient. Measuring it settles the H₂/O₂ split and the peroxide source at once.</t>
        </is>
      </c>
    </row>
    <row r="69" spans="1:6" x14ac:dyDescent="0.2">
      <c r="A69" s="20" t="s">
        <v>1023</v>
      </c>
      <c r="B69" s="20" t="s">
        <v>1024</v>
      </c>
      <c r="C69" s="20" t="s">
        <v>1025</v>
      </c>
      <c r="D69" s="36" t="str">
        <f>HYPERLINK("https://github.com/amy-bo/electroPioreactor/blob/AEP02/Media/protocols/knallgas-stoichiometry.md","knallgas-stoichiometry.md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HYPERLINK("https://github.com/amy-bo/electroPioreactor/blob/AEP02/Media/protocols/faradaic-efficiency.md","faradaic-efficiency.md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HYPERLINK("https://github.com/amy-bo/electroPioreactor/blob/AEP02/Media/protocols/vial-geometry.md","vial-geometry.md →")</f>
        <v>vial-geometry.md →</v>
      </c>
      <c r="E71" s="103"/>
      <c r="F71" s="21" t="s">
        <v>1033</v>
      </c>
    </row>
    <row r="72" spans="1:6" x14ac:dyDescent="0.2">
      <c r="A72" s="20" t="s">
        <v>1034</v>
      </c>
      <c r="B72" s="20" t="s">
        <v>1035</v>
      </c>
      <c r="C72" s="20" t="s">
        <v>1036</v>
      </c>
      <c r="D72" s="36" t="str">
        <f>HYPERLINK("https://github.com/amy-bo/electroPioreactor/blob/AEP02/Media/protocols/flow-calibration.md","flow-calibration.md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HYPERLINK("https://github.com/amy-bo/electroPioreactor/blob/AEP02/Media/protocols/dissolved-oxygen.md","dissolved-oxygen.md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HYPERLINK("https://github.com/amy-bo/electroPioreactor/blob/AEP02/Media/protocols/flow-calibration.md","flow-calibration.md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HYPERLINK("https://github.com/amy-bo/electroPioreactor/blob/AEP02/Media/protocols/sinter-porosity.md","sinter-porosity.md →")</f>
        <v>sinter-porosity.md →</v>
      </c>
      <c r="E75" s="103"/>
      <c r="F75" s="21" t="s">
        <v>1049</v>
      </c>
    </row>
    <row r="76" spans="1:6" x14ac:dyDescent="0.2">
      <c r="A76" s="20" t="s">
        <v>1050</v>
      </c>
      <c r="B76" s="20" t="s">
        <v>1051</v>
      </c>
      <c r="C76" s="20" t="s">
        <v>1052</v>
      </c>
      <c r="D76" s="36" t="str">
        <f>HYPERLINK("https://github.com/amy-bo/electroPioreactor/blob/AEP02/Media/protocols/README.md","README.md →")</f>
        <v>README.md →</v>
      </c>
      <c r="E76" s="103"/>
      <c r="F76" s="21" t="s">
        <v>1053</v>
      </c>
    </row>
    <row r="77" spans="1:6" x14ac:dyDescent="0.2">
      <c r="A77" t="s">
        <v>1904</v>
      </c>
      <c r="B77" t="s">
        <v>1021</v>
      </c>
      <c r="C77" t="s">
        <v>1052</v>
      </c>
      <c r="D77" s="23" t="str">
        <f>HYPERLINK("https://github.com/amy-bo/electroPioreactor/blob/AEP02/Media/protocols/current-density-screen.md","current-density-screen.md →")</f>
        <v>current-density-screen.md →</v>
      </c>
      <c r="E77" s="20"/>
      <c r="F77" t="s">
        <v>1905</v>
      </c>
    </row>
    <row r="78" spans="1:6" x14ac:dyDescent="0.2">
      <c r="A78" t="s">
        <v>1906</v>
      </c>
      <c r="B78" t="s">
        <v>1043</v>
      </c>
      <c r="C78" t="s">
        <v>1052</v>
      </c>
      <c r="D78" s="23" t="str">
        <f>HYPERLINK("https://github.com/amy-bo/electroPioreactor/blob/AEP02/Media/protocols/vial-geometry.md","vial-geometry.md →")</f>
        <v>vial-geometry.md →</v>
      </c>
      <c r="E78" s="20"/>
      <c r="F78" t="s">
        <v>1907</v>
      </c>
    </row>
    <row r="79" spans="1:6" x14ac:dyDescent="0.2">
      <c r="A79" t="s">
        <v>1908</v>
      </c>
      <c r="B79" t="s">
        <v>1021</v>
      </c>
      <c r="C79" t="s">
        <v>1052</v>
      </c>
      <c r="D79" s="23" t="str">
        <f>HYPERLINK("https://github.com/amy-bo/electroPioreactor/blob/AEP02/Media/protocols/gerrit-current.md","gerrit-current.md →")</f>
        <v>gerrit-current.md →</v>
      </c>
      <c r="E79" s="20"/>
      <c r="F79" t="inlineStr">
        <is>
          <t xml:space="preserve">The voltage budget is a testable prediction (about 2.8 V of a 5 V rail at 3 %, 3.5 V at 10 %). A multimeter reading across the electrodes discriminates the cell-constant choice (k_geom 1 vs 2: 2.85 vs 3.26 V at 3 %) and, with the 25 % point, bounds the j₀ errors.</t>
        </is>
      </c>
    </row>
    <row r="80" spans="1:6" x14ac:dyDescent="0.2">
      <c r="A80" t="s">
        <v>1910</v>
      </c>
      <c r="B80" t="s">
        <v>1021</v>
      </c>
      <c r="C80" t="s">
        <v>1029</v>
      </c>
      <c r="D80" s="23" t="str">
        <f>HYPERLINK("https://github.com/amy-bo/electroPioreactor/blob/AEP02/Media/protocols/README.md","README.md →")</f>
        <v>README.md →</v>
      </c>
      <c r="F80" t="inlineStr">
        <is>
          <t xml:space="preserve">Cu/Ni/Fe by ICP or a colorimetric kit. The operating anode sits well above the Cu²⁺/Cu equilibrium (row 88), so dissolution is thermodynamically allowed; this is the unmodelled prime suspect for the Exp-2 death and it also closes the anodic charge budget.</t>
        </is>
      </c>
    </row>
    <row r="81" spans="1:6" x14ac:dyDescent="0.2">
      <c r="A81" s="5" t="inlineStr">
        <is>
          <t xml:space="preserve">ELECTROCHEMISTRY – CALCULATED (hand these to an electrochemist)</t>
        </is>
      </c>
    </row>
    <row r="82" x14ac:dyDescent="0.2">
      <c r="A82" t="s">
        <v>1652</v>
      </c>
      <c r="B82" s="18" t="inlineStr">
        <is>
          <t xml:space="preserve">res_etaF</t>
        </is>
      </c>
      <c r="C82" s="19" t="s">
        <v>1274</v>
      </c>
      <c r="D82" s="22">
        <f>Electrochemistry!$D$88</f>
        <v>0.958329302507</v>
      </c>
      <c r="E82" s="23" t="str">
        <f>HYPERLINK("#Electrochemistry!D88","→ Electrochemistry")</f>
        <v>→ Electrochemistry</v>
      </c>
      <c r="F82" t="inlineStr">
        <is>
          <t xml:space="preserve">Fraction of cathode current making H₂ rather than reducing dissolved O₂.</t>
        </is>
      </c>
    </row>
    <row r="83" x14ac:dyDescent="0.2">
      <c r="A83" t="s">
        <v>1742</v>
      </c>
      <c r="B83" s="18" t="inlineStr">
        <is>
          <t xml:space="preserve">res_V_cell</t>
        </is>
      </c>
      <c r="C83" s="19" t="s">
        <v>1595</v>
      </c>
      <c r="D83" s="22">
        <f>Electrochemistry!$D$119</f>
        <v>2.847708123495</v>
      </c>
      <c r="E83" s="23" t="str">
        <f>HYPERLINK("#Electrochemistry!D119","→ Electrochemistry")</f>
        <v>→ Electrochemistry</v>
      </c>
      <c r="F83" t="s">
        <v>1867</v>
      </c>
    </row>
    <row r="84" x14ac:dyDescent="0.2">
      <c r="A84" t="s">
        <v>1751</v>
      </c>
      <c r="B84" s="18" t="inlineStr">
        <is>
          <t xml:space="preserve">res_V_flag</t>
        </is>
      </c>
      <c r="C84" s="19" t="s">
        <v>1274</v>
      </c>
      <c r="D84" s="22" t="str">
        <f>Electrochemistry!$D$122</f>
        <v>OK — 2.85 V estimated against a 5 V rail</v>
      </c>
      <c r="E84" s="23" t="str">
        <f>HYPERLINK("#Electrochemistry!D122","→ Electrochemistry")</f>
        <v>→ Electrochemistry</v>
      </c>
      <c r="F84" t="s">
        <v>1868</v>
      </c>
    </row>
    <row r="85" x14ac:dyDescent="0.2">
      <c r="A85" t="s">
        <v>1683</v>
      </c>
      <c r="B85" s="18" t="inlineStr">
        <is>
          <t xml:space="preserve">res_H2O2_flag</t>
        </is>
      </c>
      <c r="C85" s="19" t="s">
        <v>1274</v>
      </c>
      <c r="D85" s="22" t="str">
        <f>Electrochemistry!$D$99</f>
        <v>watch — steady growth is clear (0.055 mg/L) but LAG PHASE is not: peroxide passes the threshold in 7 min before biomass can scavenge it</v>
      </c>
      <c r="E85" s="23" t="str">
        <f>HYPERLINK("#Electrochemistry!D99","→ Electrochemistry")</f>
        <v>→ Electrochemistry</v>
      </c>
      <c r="F85" t="s">
        <v>1869</v>
      </c>
    </row>
    <row r="86" x14ac:dyDescent="0.2">
      <c r="A86" t="s">
        <v>1870</v>
      </c>
      <c r="B86" s="18" t="inlineStr">
        <is>
          <t xml:space="preserve">res_buffer_flag</t>
        </is>
      </c>
      <c r="C86" s="19" t="s">
        <v>1274</v>
      </c>
      <c r="D86" s="22" t="str">
        <f>Chemistry!$D$219</f>
        <v>OK — buffer holds the electrode surfaces at the bulk pH</v>
      </c>
      <c r="E86" s="23" t="str">
        <f>HYPERLINK("#Chemistry!D219","→ Chemistry")</f>
        <v>→ Chemistry</v>
      </c>
      <c r="F86" t="s">
        <v>1871</v>
      </c>
    </row>
    <row r="87" x14ac:dyDescent="0.2">
      <c r="A87" t="inlineStr">
        <is>
          <t xml:space="preserve">HOCl/Cl⁻ couple minus anode potential</t>
        </is>
      </c>
      <c r="B87" s="18" t="inlineStr">
        <is>
          <t xml:space="preserve">res_E_Cl_margin</t>
        </is>
      </c>
      <c r="C87" s="19" t="s">
        <v>1595</v>
      </c>
      <c r="D87" s="22">
        <f>Chemistry!$D$209</f>
        <v>-0.42751475509</v>
      </c>
      <c r="E87" s="23" t="str">
        <f>HYPERLINK("#Chemistry!D209","→ Chemistry")</f>
        <v>→ Chemistry</v>
      </c>
      <c r="F87" t="inlineStr">
        <is>
          <t xml:space="preserve">Negative = the anode is above the chloride-oxidation couple: chlorine forms, limited by chloride transport (Chemistry D132).</t>
        </is>
      </c>
    </row>
    <row r="88" x14ac:dyDescent="0.2">
      <c r="A88" t="s">
        <v>1600</v>
      </c>
      <c r="B88" s="18" t="inlineStr">
        <is>
          <t xml:space="preserve">res_E_Cu_margin</t>
        </is>
      </c>
      <c r="C88" s="19" t="s">
        <v>1595</v>
      </c>
      <c r="D88" s="22">
        <f>Chemistry!$D$211</f>
        <v>1.242530226635</v>
      </c>
      <c r="E88" s="23" t="str">
        <f>HYPERLINK("#Chemistry!D211","→ Chemistry")</f>
        <v>→ Chemistry</v>
      </c>
      <c r="F88" t="inlineStr">
        <is>
          <t xml:space="preserve">How far the operating anode sits above the Cu²⁺/Cu standard potential; positive = copper dissolution thermodynamically allowed.</t>
        </is>
      </c>
    </row>
    <row r="89" x14ac:dyDescent="0.2">
      <c r="A89" t="s">
        <v>1622</v>
      </c>
      <c r="B89" s="18" t="inlineStr">
        <is>
          <t xml:space="preserve">res_pH_probe</t>
        </is>
      </c>
      <c r="C89" s="19" t="s">
        <v>1274</v>
      </c>
      <c r="D89" s="22">
        <f>Chemistry!$D$220</f>
        <v>6.570596176702</v>
      </c>
      <c r="E89" s="23" t="str">
        <f>HYPERLINK("#Chemistry!D220","→ Chemistry")</f>
        <v>→ Chemistry</v>
      </c>
      <c r="F89" t="s">
        <v>1874</v>
      </c>
    </row>
    <row r="90" x14ac:dyDescent="0.2">
      <c r="A90" t="s">
        <v>1875</v>
      </c>
      <c r="B90" s="18" t="inlineStr">
        <is>
          <t xml:space="preserve">res_kLa_req</t>
        </is>
      </c>
      <c r="C90" s="19" t="s">
        <v>639</v>
      </c>
      <c r="D90" s="22">
        <f>'Mass Transfer'!$D$186</f>
        <v>0.003566106821</v>
      </c>
      <c r="E90" s="23" t="str">
        <f>HYPERLINK("#'Mass Transfer'!D186","→ Mass Transfer")</f>
        <v>→ Mass Transfer</v>
      </c>
      <c r="F90" t="s">
        <v>1876</v>
      </c>
    </row>
    <row r="92">
      <c r="A92" s="103" t="inlineStr">
        <is>
          <t xml:space="preserve">DISPLAY SETTINGS</t>
        </is>
      </c>
    </row>
    <row r="93">
      <c r="A93" s="20" t="inlineStr">
        <is>
          <t xml:space="preserve">Rounding split</t>
        </is>
      </c>
      <c r="B93" s="18" t="inlineStr">
        <is>
          <t xml:space="preserve">round_split</t>
        </is>
      </c>
      <c r="C93" s="20" t="inlineStr">
        <is>
          <t xml:space="preserve">s or min</t>
        </is>
      </c>
      <c r="D93" s="131">
        <v>0.5</v>
      </c>
      <c r="E93" s="87" t="inlineStr">
        <is>
          <t xml:space="preserve">Former display rule for rows 14 and 16 (whole units above this value, else two significant figures); superseded by the pulse-resolution rounding (Mass Transfer D241) and no longer referenced.</t>
        </is>
      </c>
    </row>
    <row r="95">
      <c r="A95" s="89" t="inlineStr">
        <is>
          <t xml:space="preserve">As-run duty ÷ optimised duty</t>
        </is>
      </c>
      <c r="C95" s="20" t="inlineStr">
        <is>
          <t xml:space="preserve">×</t>
        </is>
      </c>
      <c r="D95" s="95">
        <f>IF(AND(ISNUMBER(D14),ISNUMBER(D16),ISNUMBER('Mass Transfer'!$D$93)),D14/(60*D16)/'Mass Transfer'!$D$93,"calibrate this reactor first (see CO2 flows)")</f>
        <v>0.972140884876</v>
      </c>
      <c r="E95" s="23" t="str">
        <f>HYPERLINK("#'Mass Transfer'!D93","→ Mass")</f>
        <v>→ Mass</v>
      </c>
      <c r="F95" s="21" t="inlineStr">
        <is>
          <t xml:space="preserve">Duty of the schedule as typed in (rows 14 and 16) against the optimised duty; 1 = rounding has not moved the CO₂ dose, pH or DO. Should sit within a few per cent.</t>
        </is>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cfRule type="expression" dxfId="36" priority="12" stopIfTrue="1">
      <formula>OR(ISNUMBER(SEARCH("INCONSISTENT",D19)),ISNUMBER(SEARCH("OVER",D19)),ISNUMBER(SEARCH("BELOW",D19)),ISNUMBER(SEARCH("EXCEED",D19)),ISNUMBER(SEARCH("NO CALIB",D19)),ISNUMBER(SEARCH("calibrate this",D19)),ISNUMBER(SEARCH("RISK",D19)),ISNUMBER(SEARCH("EXPLOSIVE",D19)),ISNUMBER(SEARCH("OOR",D19)),ISNUMBER(SEARCH("insufficient",D19)),ISNUMBER(SEARCH("TIP SPEED",D19)),ISNUMBER(SEARCH("SHORTFALL",D19)),EXACT(D19,"OUT"),EXACT(D19,"LOW"),ISNUMBER(SEARCH("GAP",D19)))</formula>
    </cfRule>
    <cfRule type="expression" dxfId="35" priority="13" stopIfTrue="1">
      <formula>OR(ISNUMBER(SEARCH("above optimum",D19)),ISNUMBER(SEARCH("watch",D19)),ISNUMBER(SEARCH("NEAREST",D19)),ISNUMBER(SEARCH("unknown",D19)),ISNUMBER(SEARCH("TIGHT",D19)))</formula>
    </cfRule>
    <cfRule type="expression" dxfId="34" priority="14" stopIfTrue="1">
      <formula>OR(EXACT(D19,"OK"),ISNUMBER(SEARCH(" OK",D19)),ISNUMBER(SEARCH("calibrated:",D19)),ISNUMBER(SEARCH("optimum",D19)),ISNUMBER(SEARCH("above min",D19)),ISNUMBER(SEARCH("CARBON-limited",D19)),ISNUMBER(SEARCH("Static",D19)),ISNUMBER(SEARCH("Dynamic",D19)),ISNUMBER(SEARCH("present",D19)))</formula>
    </cfRule>
  </conditionalFormatting>
  <conditionalFormatting sqref="D35">
    <cfRule type="expression" dxfId="33" priority="22" stopIfTrue="1">
      <formula>OR(D35&lt;6,D35&gt;8)</formula>
    </cfRule>
    <cfRule type="expression" dxfId="32" priority="23" stopIfTrue="1">
      <formula>OR(D35&lt;6.5,D35&gt;7.5)</formula>
    </cfRule>
    <cfRule type="expression" dxfId="31" priority="24" stopIfTrue="1">
      <formula>ISNUMBER(D35)</formula>
    </cfRule>
  </conditionalFormatting>
  <conditionalFormatting sqref="D36">
    <cfRule type="expression" dxfId="30" priority="25" stopIfTrue="1">
      <formula>D36&gt;1</formula>
    </cfRule>
    <cfRule type="expression" dxfId="29" priority="26" stopIfTrue="1">
      <formula>D36&gt;0.1</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9">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 operator="between" type="decimal" allowBlank="1" showErrorMessage="1" errorTitle="Invalid value" error="Electrolysis power is 0–25 % (Gerrit's Law is validated to 25 %; the plugin clamps at 10 %)." sqref="D6">
      <formula1>0</formula1>
      <formula2>25</formula2>
    </dataValidation>
    <dataValidation operator="between" type="whole" allowBlank="1" showErrorMessage="1" errorTitle="Invalid value" error="Stirrer rate 125–2000 rpm." sqref="D7">
      <formula1>125</formula1>
      <formula2>2000</formula2>
    </dataValidation>
    <dataValidation operator="between" type="decimal" allowBlank="1" showErrorMessage="1" errorTitle="Invalid value" error="Temperature 15–40 °C: the water-property fits are valid in that range." sqref="D8">
      <formula1>15</formula1>
      <formula2>40</formula2>
    </dataValidation>
    <dataValidation operator="greaterThan" type="decimal" allowBlank="1" showErrorMessage="1" errorTitle="Invalid value" error="Media volume in mL, or leave blank for the recommended working volume." sqref="D9">
      <formula1>0</formula1>
    </dataValidation>
    <dataValidation operator="between" type="decimal" allowBlank="1" showErrorMessage="1" errorTitle="Invalid value" error="Ambient pressure in Pa (80000–110000), or leave blank for 101325 Pa." sqref="D10">
      <formula1>80000</formula1>
      <formula2>110000</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134" t="str">
        <f>Summary!$D$2</f>
        <v>ed04</v>
      </c>
      <c r="E5" s="135" t="str">
        <f>HYPERLINK("#Summary!D2","→ Summary")</f>
        <v>→ Summary</v>
      </c>
      <c r="F5" s="20"/>
      <c r="G5" s="20"/>
      <c r="H5" s="20"/>
      <c r="I5" s="20"/>
    </row>
    <row r="6" spans="1:9" x14ac:dyDescent="0.2">
      <c r="A6" s="20" t="s">
        <v>136</v>
      </c>
      <c r="B6" s="20" t="s">
        <v>56</v>
      </c>
      <c r="C6" s="20" t="s">
        <v>57</v>
      </c>
      <c r="D6" s="134">
        <f>Summary!$D$9</f>
        <v>0.0</v>
      </c>
      <c r="E6" s="135"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c r="B8" s="18"/>
      <c r="C8" s="19"/>
      <c r="D8" s="136"/>
      <c r="E8" s="107"/>
      <c r="F8" s="20"/>
      <c r="G8" s="20"/>
      <c r="H8" s="20"/>
      <c r="I8" s="20"/>
    </row>
    <row r="9" spans="1:9" x14ac:dyDescent="0.2">
      <c r="A9" s="17"/>
      <c r="B9" s="18"/>
      <c r="C9" s="19"/>
      <c r="D9" s="136"/>
      <c r="E9" s="107"/>
      <c r="F9" s="20"/>
      <c r="G9" s="20"/>
      <c r="H9" s="20"/>
      <c r="I9" s="20"/>
    </row>
    <row r="10" spans="1:9" ht="24" customHeight="1" x14ac:dyDescent="0.2">
      <c r="A10" s="17"/>
      <c r="B10" s="18"/>
      <c r="C10" s="19"/>
      <c r="D10" s="137"/>
      <c r="E10" s="109"/>
      <c r="F10" s="20"/>
      <c r="G10" s="20"/>
      <c r="H10" s="20"/>
      <c r="I10" s="20"/>
    </row>
    <row r="11" spans="1:9" x14ac:dyDescent="0.2">
      <c r="A11" s="17"/>
      <c r="B11" s="18"/>
      <c r="C11" s="19"/>
      <c r="D11" s="137"/>
      <c r="E11" s="110"/>
      <c r="F11" s="20"/>
      <c r="G11" s="20"/>
      <c r="H11" s="20"/>
      <c r="I11" s="20"/>
    </row>
    <row r="12" spans="1:9" x14ac:dyDescent="0.2">
      <c r="A12" s="17"/>
      <c r="B12" s="18"/>
      <c r="C12" s="19"/>
      <c r="D12" s="138"/>
      <c r="E12" s="111"/>
      <c r="F12" s="20"/>
      <c r="G12" s="20"/>
      <c r="H12" s="20"/>
      <c r="I12" s="20"/>
    </row>
    <row r="13" spans="1:9" x14ac:dyDescent="0.2">
      <c r="A13" s="17"/>
      <c r="B13" s="18"/>
      <c r="C13" s="19"/>
      <c r="D13" s="138"/>
      <c r="E13" s="111"/>
      <c r="F13" s="20"/>
      <c r="G13" s="20"/>
      <c r="H13" s="20"/>
      <c r="I13" s="20"/>
    </row>
    <row r="14" spans="1:9" ht="24" customHeight="1" x14ac:dyDescent="0.2">
      <c r="A14" s="17"/>
      <c r="B14" s="18"/>
      <c r="C14" s="19"/>
      <c r="D14" s="138"/>
      <c r="E14" s="109"/>
      <c r="F14" s="20"/>
      <c r="G14" s="20"/>
      <c r="H14" s="20"/>
      <c r="I14" s="20"/>
    </row>
    <row r="15" spans="1:9" ht="24" customHeight="1" x14ac:dyDescent="0.2">
      <c r="A15" s="17"/>
      <c r="B15" s="18"/>
      <c r="C15" s="19"/>
      <c r="D15" s="138"/>
      <c r="E15" s="109"/>
      <c r="F15" s="20"/>
      <c r="G15" s="20"/>
      <c r="H15" s="20"/>
      <c r="I15" s="20"/>
    </row>
    <row r="16" spans="1:9" x14ac:dyDescent="0.2">
      <c r="A16" s="17"/>
      <c r="B16" s="18"/>
      <c r="C16" s="19"/>
      <c r="D16" s="138"/>
      <c r="E16" s="112"/>
      <c r="F16" s="20"/>
      <c r="G16" s="20"/>
      <c r="H16" s="20"/>
      <c r="I16" s="20"/>
    </row>
    <row r="17" spans="1:9" x14ac:dyDescent="0.2">
      <c r="A17" s="17"/>
      <c r="B17" s="18"/>
      <c r="C17" s="19"/>
      <c r="D17" s="138"/>
      <c r="E17" s="112"/>
      <c r="F17" s="20"/>
      <c r="G17" s="20"/>
      <c r="H17" s="20"/>
      <c r="I17" s="20"/>
    </row>
    <row r="18" spans="1:9" x14ac:dyDescent="0.2">
      <c r="A18" s="17" t="s">
        <v>161</v>
      </c>
      <c r="B18" s="18" t="s">
        <v>162</v>
      </c>
      <c r="C18" s="19" t="s">
        <v>146</v>
      </c>
      <c r="D18" s="139">
        <f>VLOOKUP(rx_ver,$A$84:$I$87,7,FALSE)</f>
        <v>27.48</v>
      </c>
      <c r="E18" s="99" t="s">
        <v>163</v>
      </c>
      <c r="F18" s="20"/>
      <c r="G18" s="20"/>
      <c r="H18" s="20"/>
      <c r="I18" s="20"/>
    </row>
    <row r="19" spans="1:9" ht="24" customHeight="1" x14ac:dyDescent="0.2">
      <c r="A19" s="17" t="s">
        <v>164</v>
      </c>
      <c r="B19" s="18" t="s">
        <v>165</v>
      </c>
      <c r="C19" s="19" t="s">
        <v>146</v>
      </c>
      <c r="D19" s="131">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140">
        <f>IF(ISNUMBER(cal_Dint),cal_Dint,VLOOKUP(rx_ver,$A$84:$I$87,4,FALSE))</f>
        <v>55.0</v>
      </c>
      <c r="E22" s="99" t="s">
        <v>176</v>
      </c>
      <c r="F22" s="20"/>
      <c r="G22" s="20"/>
      <c r="H22" s="20"/>
      <c r="I22" s="20"/>
    </row>
    <row r="23" spans="1:9" x14ac:dyDescent="0.2">
      <c r="A23" s="17" t="s">
        <v>177</v>
      </c>
      <c r="B23" s="18" t="s">
        <v>178</v>
      </c>
      <c r="C23" s="19" t="s">
        <v>57</v>
      </c>
      <c r="D23" s="140">
        <f>VLOOKUP(rx_ver,$A$84:$I$87,5,FALSE)</f>
        <v>16.0</v>
      </c>
      <c r="E23" s="99" t="s">
        <v>176</v>
      </c>
      <c r="F23" s="20"/>
      <c r="G23" s="20"/>
      <c r="H23" s="20"/>
      <c r="I23" s="20"/>
    </row>
    <row r="24" spans="1:9" x14ac:dyDescent="0.2">
      <c r="A24" s="17" t="s">
        <v>179</v>
      </c>
      <c r="B24" s="18" t="s">
        <v>180</v>
      </c>
      <c r="C24" s="19" t="s">
        <v>57</v>
      </c>
      <c r="D24" s="140">
        <f>IF(ISNUMBER(cal_Vtot),cal_Vtot,VLOOKUP(rx_ver,$A$84:$I$87,6,FALSE))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131">
        <v>6</v>
      </c>
      <c r="E26" s="37" t="s">
        <v>186</v>
      </c>
      <c r="F26" s="20"/>
      <c r="G26" s="20"/>
      <c r="H26" s="20"/>
      <c r="I26" s="20"/>
    </row>
    <row r="27" spans="1:9" x14ac:dyDescent="0.2">
      <c r="A27" s="17" t="s">
        <v>187</v>
      </c>
      <c r="B27" s="18" t="s">
        <v>188</v>
      </c>
      <c r="C27" s="19" t="s">
        <v>135</v>
      </c>
      <c r="D27" s="131">
        <v>2</v>
      </c>
      <c r="E27" s="99" t="s">
        <v>189</v>
      </c>
      <c r="F27" s="20"/>
      <c r="G27" s="20"/>
      <c r="H27" s="20"/>
      <c r="I27" s="20"/>
    </row>
    <row r="28" spans="1:9" x14ac:dyDescent="0.2">
      <c r="A28" s="17" t="s">
        <v>190</v>
      </c>
      <c r="B28" s="18" t="s">
        <v>191</v>
      </c>
      <c r="C28" s="19" t="s">
        <v>146</v>
      </c>
      <c r="D28" s="131">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131">
        <v>3.1749999999999998</v>
      </c>
      <c r="E30" s="99" t="s">
        <v>198</v>
      </c>
      <c r="F30" s="20"/>
      <c r="G30" s="20"/>
      <c r="H30" s="20"/>
      <c r="I30" s="20"/>
    </row>
    <row r="31" spans="1:9" x14ac:dyDescent="0.2">
      <c r="A31" s="17" t="s">
        <v>199</v>
      </c>
      <c r="B31" s="18" t="s">
        <v>200</v>
      </c>
      <c r="C31" s="19" t="s">
        <v>146</v>
      </c>
      <c r="D31" s="131">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131">
        <v>3.1749999999999998</v>
      </c>
      <c r="E33" s="99" t="s">
        <v>198</v>
      </c>
      <c r="F33" s="20"/>
      <c r="G33" s="20"/>
      <c r="H33" s="20"/>
      <c r="I33" s="20"/>
    </row>
    <row r="34" spans="1:9" x14ac:dyDescent="0.2">
      <c r="A34" s="17" t="s">
        <v>207</v>
      </c>
      <c r="B34" s="18" t="s">
        <v>208</v>
      </c>
      <c r="C34" s="19" t="s">
        <v>146</v>
      </c>
      <c r="D34" s="131">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9">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131">
        <v>3</v>
      </c>
      <c r="E46" s="37" t="s">
        <v>244</v>
      </c>
      <c r="F46" s="20"/>
      <c r="G46" s="20"/>
      <c r="H46" s="20"/>
      <c r="I46" s="20"/>
    </row>
    <row r="47" spans="1:9" x14ac:dyDescent="0.2">
      <c r="A47" s="17" t="s">
        <v>245</v>
      </c>
      <c r="B47" s="18" t="s">
        <v>246</v>
      </c>
      <c r="C47" s="19" t="s">
        <v>146</v>
      </c>
      <c r="D47" s="131">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8" t="str">
        <f>VLOOKUP(reactor_sel,$A$59:$B$80,2,FALSE)</f>
        <v>MEP0.3</v>
      </c>
      <c r="E51" s="20"/>
      <c r="F51" s="20"/>
      <c r="G51" s="20"/>
      <c r="H51" s="20"/>
      <c r="I51" s="20"/>
    </row>
    <row r="52" spans="1:9" x14ac:dyDescent="0.2">
      <c r="A52" s="20" t="s">
        <v>259</v>
      </c>
      <c r="B52" s="20" t="s">
        <v>260</v>
      </c>
      <c r="C52" s="20"/>
      <c r="D52" s="28">
        <f>VLOOKUP(rx_ver,$A$84:$I$87,8,FALSE)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8" t="str">
        <f>IF(V_charge&gt;V_max,"MEDIA &gt; MAX WORKING VOLUME","OK")</f>
        <v>OK</v>
      </c>
      <c r="E54" s="20"/>
      <c r="F54" s="20"/>
      <c r="G54" s="20"/>
      <c r="H54" s="20"/>
      <c r="I54" s="20"/>
    </row>
    <row r="55" spans="1:9" x14ac:dyDescent="0.2">
      <c r="A55" s="20" t="s">
        <v>264</v>
      </c>
      <c r="B55" s="20" t="s">
        <v>265</v>
      </c>
      <c r="C55" s="20"/>
      <c r="D55" s="28"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8"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0"/>
      <c r="F90" s="101" t="inlineStr">
        <is>
          <t xml:space="preserve">Fires INCONSISTENT for the 20 mL vial because the bare cylinder (A_x x usable depth ~28 mL) overestimates the true 20 mL vial (it tapers/necks, not a full cylinder to 55 mm). Expected tolerance artefact, not a data error - resolved by measuring true bore depth (protocols/vial-geometry.md).</t>
        </is>
      </c>
      <c r="G90" s="20"/>
      <c r="H90" s="20"/>
      <c r="I90" s="20"/>
    </row>
    <row r="91" spans="1:9" x14ac:dyDescent="0.2">
      <c r="A91" s="5" t="inlineStr">
        <is>
          <t xml:space="preserve">ELECTRODE GEOMETRY FOR THE OHMIC DROP</t>
        </is>
      </c>
    </row>
    <row r="92" spans="1:9" ht="36" x14ac:dyDescent="0.2">
      <c r="A92" t="s">
        <v>1466</v>
      </c>
      <c r="B92" s="18" t="s">
        <v>1467</v>
      </c>
      <c r="C92" s="19" t="s">
        <v>146</v>
      </c>
      <c r="D92" s="131">
        <v>14</v>
      </c>
      <c r="E92" s="70" t="s">
        <v>1468</v>
      </c>
    </row>
    <row r="93" spans="1:9" ht="24" x14ac:dyDescent="0.2">
      <c r="A93" t="s">
        <v>1469</v>
      </c>
      <c r="B93" s="18" t="s">
        <v>1470</v>
      </c>
      <c r="C93" s="19" t="s">
        <v>146</v>
      </c>
      <c r="D93" s="141">
        <f>MAX(0,h_actual-elec_clear)</f>
        <v>9.18130412738</v>
      </c>
      <c r="E93" s="99" t="s">
        <v>1471</v>
      </c>
    </row>
    <row r="95">
      <c r="A95" s="103" t="inlineStr">
        <is>
          <t xml:space="preserve">CONSISTENCY-CHECK TOLERANCE</t>
        </is>
      </c>
    </row>
    <row r="96">
      <c r="A96" s="17" t="inlineStr">
        <is>
          <t xml:space="preserve">Vial volume consistency tolerance</t>
        </is>
      </c>
      <c r="B96" s="18" t="inlineStr">
        <is>
          <t xml:space="preserve">geom_tol_mL</t>
        </is>
      </c>
      <c r="C96" s="19" t="inlineStr">
        <is>
          <t xml:space="preserve">mL</t>
        </is>
      </c>
      <c r="D96" s="131">
        <v>3</v>
      </c>
      <c r="E96" s="37" t="inlineStr">
        <is>
          <t xml:space="preserve">Design assumption: allowed gap between the bare-cylinder volume (A_x × D_int) and the total vial volume.</t>
        </is>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142">
        <f>Biology!$D$18</f>
        <v>298.15</v>
      </c>
      <c r="E5" s="135" t="str">
        <f>HYPERLINK("#Biology!D18","→ Biology")</f>
        <v>→ Biology</v>
      </c>
      <c r="F5" s="20"/>
      <c r="G5" s="20"/>
      <c r="H5" s="20"/>
      <c r="I5" s="20"/>
    </row>
    <row r="6" spans="1:9" x14ac:dyDescent="0.2">
      <c r="A6" s="20" t="s">
        <v>310</v>
      </c>
      <c r="B6" s="20" t="s">
        <v>311</v>
      </c>
      <c r="C6" s="20" t="s">
        <v>62</v>
      </c>
      <c r="D6" s="142">
        <f>Biology!$D$19</f>
        <v>101325.0</v>
      </c>
      <c r="E6" s="135" t="str">
        <f>HYPERLINK("#Biology!D19","→ Biology")</f>
        <v>→ Biology</v>
      </c>
      <c r="F6" s="20"/>
      <c r="G6" s="20"/>
      <c r="H6" s="20"/>
      <c r="I6" s="20"/>
    </row>
    <row r="7" spans="1:9" x14ac:dyDescent="0.2">
      <c r="A7" s="20" t="s">
        <v>312</v>
      </c>
      <c r="B7" s="20" t="s">
        <v>313</v>
      </c>
      <c r="C7" s="20" t="s">
        <v>314</v>
      </c>
      <c r="D7" s="141">
        <f>'Mass Transfer'!$D$101</f>
        <v>8.314462618</v>
      </c>
      <c r="E7" s="135" t="str">
        <f>HYPERLINK("#'Mass Transfer'!D101","→ Mass Transfer")</f>
        <v>→ Mass Transfer</v>
      </c>
      <c r="F7" s="20"/>
      <c r="G7" s="20"/>
      <c r="H7" s="20"/>
      <c r="I7" s="20"/>
    </row>
    <row r="8" spans="1:9" x14ac:dyDescent="0.2">
      <c r="A8" s="20" t="s">
        <v>315</v>
      </c>
      <c r="B8" s="20" t="s">
        <v>34</v>
      </c>
      <c r="C8" s="20"/>
      <c r="D8" s="134" t="str">
        <f>Summary!$D$3</f>
        <v>Pt/Ti rod</v>
      </c>
      <c r="E8" s="135"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143">
        <f>Summary!$D$6</f>
        <v>3.0</v>
      </c>
      <c r="E10" s="37" t="s">
        <v>318</v>
      </c>
      <c r="F10" s="20"/>
      <c r="G10" s="20"/>
      <c r="H10" s="20"/>
      <c r="I10" s="20"/>
    </row>
    <row r="11" spans="1:9" ht="36" customHeight="1" x14ac:dyDescent="0.2">
      <c r="A11" s="17" t="s">
        <v>319</v>
      </c>
      <c r="B11" s="18" t="s">
        <v>320</v>
      </c>
      <c r="C11" s="19" t="s">
        <v>321</v>
      </c>
      <c r="D11" s="141">
        <f>IF(ISNUMBER(cal_gerrit_slope),cal_gerrit_slope,gerrit_slope_default)</f>
        <v>1.03</v>
      </c>
      <c r="E11" s="109" t="s">
        <v>322</v>
      </c>
      <c r="F11" s="20"/>
      <c r="G11" s="20"/>
      <c r="H11" s="20"/>
      <c r="I11" s="20"/>
    </row>
    <row r="12" spans="1:9" x14ac:dyDescent="0.2">
      <c r="A12" s="17" t="s">
        <v>323</v>
      </c>
      <c r="B12" s="18" t="s">
        <v>324</v>
      </c>
      <c r="C12" s="19" t="s">
        <v>325</v>
      </c>
      <c r="D12" s="141">
        <f>IF(ISNUMBER(cal_gerrit_int),cal_gerrit_int,gerrit_int_default)</f>
        <v>2.6</v>
      </c>
      <c r="E12" s="109" t="s">
        <v>326</v>
      </c>
      <c r="F12" s="20"/>
      <c r="G12" s="20"/>
      <c r="H12" s="20"/>
      <c r="I12" s="20"/>
    </row>
    <row r="13" spans="1:9" x14ac:dyDescent="0.2">
      <c r="A13" s="17" t="s">
        <v>327</v>
      </c>
      <c r="B13" s="18" t="s">
        <v>328</v>
      </c>
      <c r="C13" s="19" t="s">
        <v>45</v>
      </c>
      <c r="D13" s="144">
        <v>3</v>
      </c>
      <c r="E13" s="51" t="s">
        <v>329</v>
      </c>
      <c r="F13" s="20"/>
      <c r="G13" s="20"/>
      <c r="H13" s="20"/>
      <c r="I13" s="20"/>
    </row>
    <row r="14" spans="1:9" x14ac:dyDescent="0.2">
      <c r="A14" s="17" t="s">
        <v>330</v>
      </c>
      <c r="B14" s="18" t="s">
        <v>331</v>
      </c>
      <c r="C14" s="19" t="s">
        <v>45</v>
      </c>
      <c r="D14" s="144">
        <v>25</v>
      </c>
      <c r="E14" s="51" t="s">
        <v>332</v>
      </c>
      <c r="F14" s="20"/>
      <c r="G14" s="20"/>
      <c r="H14" s="20"/>
      <c r="I14" s="20"/>
    </row>
    <row r="15" spans="1:9" x14ac:dyDescent="0.2">
      <c r="A15" s="17" t="s">
        <v>333</v>
      </c>
      <c r="B15" s="18" t="s">
        <v>334</v>
      </c>
      <c r="C15" s="19" t="s">
        <v>335</v>
      </c>
      <c r="D15" s="145">
        <v>96485.332120000006</v>
      </c>
      <c r="E15" s="100" t="s">
        <v>336</v>
      </c>
      <c r="F15" s="20"/>
      <c r="G15" s="20"/>
      <c r="H15" s="20"/>
      <c r="I15" s="20"/>
    </row>
    <row r="16" spans="1:9" x14ac:dyDescent="0.2">
      <c r="A16" s="17" t="s">
        <v>337</v>
      </c>
      <c r="B16" s="18" t="s">
        <v>338</v>
      </c>
      <c r="C16" s="19" t="s">
        <v>135</v>
      </c>
      <c r="D16" s="146">
        <v>2</v>
      </c>
      <c r="E16" s="99" t="s">
        <v>339</v>
      </c>
      <c r="F16" s="20"/>
      <c r="G16" s="20"/>
      <c r="H16" s="20"/>
      <c r="I16" s="20"/>
    </row>
    <row r="17" spans="1:9" x14ac:dyDescent="0.2">
      <c r="A17" s="17" t="s">
        <v>340</v>
      </c>
      <c r="B17" s="18" t="s">
        <v>341</v>
      </c>
      <c r="C17" s="19" t="s">
        <v>135</v>
      </c>
      <c r="D17" s="146">
        <v>4</v>
      </c>
      <c r="E17" s="99" t="s">
        <v>342</v>
      </c>
      <c r="F17" s="20"/>
      <c r="G17" s="20"/>
      <c r="H17" s="20"/>
      <c r="I17" s="20"/>
    </row>
    <row r="18" spans="1:9" ht="24" customHeight="1" x14ac:dyDescent="0.2">
      <c r="A18" s="17" t="s">
        <v>343</v>
      </c>
      <c r="B18" s="18" t="s">
        <v>344</v>
      </c>
      <c r="C18" s="19" t="s">
        <v>135</v>
      </c>
      <c r="D18" s="42">
        <f>IF(ISNUMBER(cal_etaF),cal_etaF,etaF_calc)</f>
        <v>0.958329302507</v>
      </c>
      <c r="E18" s="67" t="inlineStr">
        <is>
          <t xml:space="preserve">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is>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0.0001017274698715</v>
      </c>
      <c r="E21" s="99" t="s">
        <v>355</v>
      </c>
      <c r="F21" s="20"/>
      <c r="G21" s="20"/>
      <c r="H21" s="20"/>
      <c r="I21" s="20"/>
    </row>
    <row r="22" spans="1:9" x14ac:dyDescent="0.2">
      <c r="A22" s="17" t="s">
        <v>356</v>
      </c>
      <c r="B22" s="18" t="s">
        <v>357</v>
      </c>
      <c r="C22" s="19" t="s">
        <v>354</v>
      </c>
      <c r="D22" s="48">
        <f>I_app*etaF_OER/(z_e_O2*F_const)*3600</f>
        <v>5.218135137208e-05</v>
      </c>
      <c r="E22" s="99" t="s">
        <v>358</v>
      </c>
      <c r="F22" s="20"/>
      <c r="G22" s="20"/>
      <c r="H22" s="20"/>
      <c r="I22" s="20"/>
    </row>
    <row r="23" spans="1:9" x14ac:dyDescent="0.2">
      <c r="A23" s="17" t="s">
        <v>359</v>
      </c>
      <c r="B23" s="18" t="s">
        <v>360</v>
      </c>
      <c r="C23" s="19" t="s">
        <v>361</v>
      </c>
      <c r="D23" s="48">
        <f>rH2_gen/60*R_gas*T_K/P_atm*1000000</f>
        <v>0.041480060291</v>
      </c>
      <c r="E23" s="99" t="s">
        <v>362</v>
      </c>
      <c r="F23" s="20"/>
      <c r="G23" s="20"/>
      <c r="H23" s="20"/>
      <c r="I23" s="20"/>
    </row>
    <row r="24" spans="1:9" x14ac:dyDescent="0.2">
      <c r="A24" s="17" t="s">
        <v>363</v>
      </c>
      <c r="B24" s="18" t="s">
        <v>364</v>
      </c>
      <c r="C24" s="19" t="s">
        <v>361</v>
      </c>
      <c r="D24" s="48">
        <f>rO2_gen/60*R_gas*T_K/P_atm*1000000</f>
        <v>0.021277297113</v>
      </c>
      <c r="E24" s="99" t="s">
        <v>365</v>
      </c>
      <c r="F24" s="20"/>
      <c r="G24" s="20"/>
      <c r="H24" s="20"/>
      <c r="I24" s="20"/>
    </row>
    <row r="25" spans="1:9" ht="24" customHeight="1" x14ac:dyDescent="0.2">
      <c r="A25" s="17" t="s">
        <v>366</v>
      </c>
      <c r="B25" s="18" t="s">
        <v>367</v>
      </c>
      <c r="C25" s="19" t="s">
        <v>361</v>
      </c>
      <c r="D25" s="48">
        <f>V_H2_gen+V_O2_gen</f>
        <v>0.062757357403</v>
      </c>
      <c r="E25" s="99" t="s">
        <v>368</v>
      </c>
      <c r="F25" s="20"/>
      <c r="G25" s="20"/>
      <c r="H25" s="20"/>
      <c r="I25" s="20"/>
    </row>
    <row r="26" spans="1:9" ht="36" x14ac:dyDescent="0.2">
      <c r="A26" s="17" t="s">
        <v>369</v>
      </c>
      <c r="B26" s="18" t="s">
        <v>370</v>
      </c>
      <c r="C26" s="19" t="s">
        <v>135</v>
      </c>
      <c r="D26" s="42">
        <f>IF(ISNUMBER(cal_etaF_OER),cal_etaF_OER,etaF_OER_calc)</f>
        <v>0.983154660731</v>
      </c>
      <c r="E26" s="67" t="inlineStr">
        <is>
          <t xml:space="preserve">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is>
      </c>
      <c r="F26" s="20"/>
      <c r="G26" s="20"/>
      <c r="H26" s="20"/>
      <c r="I26" s="20"/>
    </row>
    <row r="27" spans="1:9" ht="24" customHeight="1" x14ac:dyDescent="0.2">
      <c r="A27" s="17" t="inlineStr">
        <is>
          <t xml:space="preserve">Electrons per O₂ on the peroxide branch (cathode)</t>
        </is>
      </c>
      <c r="B27" s="18" t="s">
        <v>372</v>
      </c>
      <c r="C27" s="19" t="s">
        <v>135</v>
      </c>
      <c r="D27" s="139">
        <f>VLOOKUP(electrode_sel,$A$35:$I$38,9,FALSE)</f>
        <v>2.0</v>
      </c>
      <c r="E27" s="114" t="inlineStr">
        <is>
          <t xml:space="preserve">Electrode lookup: 2 e⁻ per O₂ on the peroxide branch (SS cathode, neutral pH) for every current electrode. The current drawn per O₂ is the weighted n_ORR_eff (D141), not this value.</t>
        </is>
      </c>
      <c r="F27" s="20"/>
      <c r="G27" s="20"/>
      <c r="H27" s="20"/>
      <c r="I27" s="20"/>
    </row>
    <row r="28" spans="1:9" x14ac:dyDescent="0.2">
      <c r="A28" s="17" t="s">
        <v>374</v>
      </c>
      <c r="B28" s="18" t="s">
        <v>375</v>
      </c>
      <c r="C28" s="19" t="s">
        <v>354</v>
      </c>
      <c r="D28" s="48">
        <f>I_app*(1-etaF)/(n_ORR_eff*F_const)*3600</f>
        <v>2.391016190066e-06</v>
      </c>
      <c r="E28" s="99" t="inlineStr">
        <is>
          <t xml:space="preserve">Moles of O₂ reduced: the non-H₂ cathodic current (1−etaF) divided by n_ORR_eff·F. Equals the transport-limited O₂ flux when etaF is calculated; stays consistent if a measured etaF is in use. 0 at etaF = 1.</t>
        </is>
      </c>
      <c r="F28" s="20"/>
      <c r="G28" s="20"/>
      <c r="H28" s="20"/>
      <c r="I28" s="20"/>
    </row>
    <row r="29" spans="1:9" x14ac:dyDescent="0.2">
      <c r="A29" s="17" t="s">
        <v>377</v>
      </c>
      <c r="B29" s="18" t="s">
        <v>378</v>
      </c>
      <c r="C29" s="19" t="s">
        <v>354</v>
      </c>
      <c r="D29" s="48">
        <f>rO2_gen-O2_cathode_ORR</f>
        <v>4.979033518202e-05</v>
      </c>
      <c r="E29" s="99" t="s">
        <v>379</v>
      </c>
      <c r="F29" s="20"/>
      <c r="G29" s="20"/>
      <c r="H29" s="20"/>
      <c r="I29" s="20"/>
    </row>
    <row r="30" spans="1:9" x14ac:dyDescent="0.2">
      <c r="A30" s="101" t="inlineStr">
        <is>
          <t xml:space="preserve">z_e_ORR = 2 is the peroxide branch only; the current per O₂ is n_ORR_eff (D141, 2 and 4 e⁻ weighted by f_HOOH). etaF unmeasured — both live here per electrode.</t>
        </is>
      </c>
      <c r="B30" s="20"/>
      <c r="C30" s="20"/>
      <c r="D30" s="20"/>
      <c r="E30" s="20"/>
      <c r="F30" s="20"/>
      <c r="G30" s="20"/>
      <c r="H30" s="20"/>
      <c r="I30" s="20"/>
    </row>
    <row r="31" spans="1:9" x14ac:dyDescent="0.2">
      <c r="A31" s="20" t="s">
        <v>381</v>
      </c>
      <c r="B31" s="20" t="s">
        <v>382</v>
      </c>
      <c r="C31" s="20"/>
      <c r="D31" s="28" t="str">
        <f>VLOOKUP(electrode_sel,$A$35:$I$38,4,FALSE)</f>
        <v>Tube</v>
      </c>
      <c r="E31" s="20"/>
      <c r="F31" s="20"/>
      <c r="G31" s="20"/>
      <c r="H31" s="20"/>
      <c r="I31" s="20"/>
    </row>
    <row r="32" spans="1:9" x14ac:dyDescent="0.2">
      <c r="A32" s="20" t="s">
        <v>383</v>
      </c>
      <c r="B32" s="20" t="s">
        <v>384</v>
      </c>
      <c r="C32" s="20"/>
      <c r="D32" s="28">
        <f>IF(ISNUMBER(cal_sinter),cal_sinter,IF(ISNUMBER(VLOOKUP(electrode_sel,$A$35:$I$38,5,FALSE)),VLOOKUP(electrode_sel,$A$35:$I$38,5,FALSE),0))</f>
        <v>0.0</v>
      </c>
      <c r="E32" s="147"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VLOOKUP(electrode_sel,$A$35:$N$38,10,FALSE)</f>
        <v>rod</v>
      </c>
      <c r="E41" s="99" t="s">
        <v>1310</v>
      </c>
    </row>
    <row r="42" spans="1:14" x14ac:dyDescent="0.2">
      <c r="A42" s="17" t="s">
        <v>1311</v>
      </c>
      <c r="B42" s="18" t="s">
        <v>1312</v>
      </c>
      <c r="C42" s="19" t="s">
        <v>146</v>
      </c>
      <c r="D42" s="48">
        <f>VLOOKUP(electrode_sel,$A$35:$N$38,3,FALSE)</f>
        <v>6.0</v>
      </c>
      <c r="E42" s="99" t="s">
        <v>1313</v>
      </c>
    </row>
    <row r="43" spans="1:14" x14ac:dyDescent="0.2">
      <c r="A43" s="17" t="s">
        <v>1314</v>
      </c>
      <c r="B43" s="18" t="s">
        <v>1315</v>
      </c>
      <c r="C43" s="19" t="s">
        <v>135</v>
      </c>
      <c r="D43" s="48" t="str">
        <f>VLOOKUP(electrode_sel,$A$35:$N$38,13,FALSE)</f>
        <v>rod</v>
      </c>
      <c r="E43" s="99" t="s">
        <v>1316</v>
      </c>
    </row>
    <row r="44" spans="1:14" x14ac:dyDescent="0.2">
      <c r="A44" s="17" t="s">
        <v>1317</v>
      </c>
      <c r="B44" s="18" t="s">
        <v>1318</v>
      </c>
      <c r="C44" s="19" t="s">
        <v>146</v>
      </c>
      <c r="D44" s="48">
        <f>VLOOKUP(electrode_sel,$A$35:$N$38,7,FALSE)</f>
        <v>6.0</v>
      </c>
      <c r="E44" s="99" t="s">
        <v>1313</v>
      </c>
    </row>
    <row r="45" spans="1:14" ht="36" x14ac:dyDescent="0.2">
      <c r="A45" s="17" t="s">
        <v>1319</v>
      </c>
      <c r="B45" s="18" t="s">
        <v>1320</v>
      </c>
      <c r="C45" s="19" t="s">
        <v>146</v>
      </c>
      <c r="D45" s="48">
        <f>Geometry!$D$93</f>
        <v>9.18130412738</v>
      </c>
      <c r="E45" s="99" t="inlineStr">
        <is>
          <t xml:space="preserve">Submerged length at the achieved liquid level (Geometry D93), not the bare datum (Geometry D35), which would overstate the wetted area by about 6.5% and understate every current density by the same factor.</t>
        </is>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VLOOKUP(electrode_sel,$A$35:$N$38,11,FALSE)</f>
        <v>100.0</v>
      </c>
      <c r="E50" s="99" t="s">
        <v>1333</v>
      </c>
    </row>
    <row r="51" spans="1:5" x14ac:dyDescent="0.2">
      <c r="A51" s="17" t="s">
        <v>1334</v>
      </c>
      <c r="B51" s="18" t="s">
        <v>1335</v>
      </c>
      <c r="C51" s="19" t="s">
        <v>1282</v>
      </c>
      <c r="D51" s="48">
        <f>VLOOKUP(electrode_sel,$A$35:$N$38,12,FALSE)</f>
        <v>500.0</v>
      </c>
      <c r="E51" s="99" t="s">
        <v>1336</v>
      </c>
    </row>
    <row r="52" spans="1:5" x14ac:dyDescent="0.2">
      <c r="A52" s="17" t="s">
        <v>1337</v>
      </c>
      <c r="B52" s="18" t="s">
        <v>1338</v>
      </c>
      <c r="C52" s="19" t="s">
        <v>1282</v>
      </c>
      <c r="D52" s="146">
        <v>80</v>
      </c>
      <c r="E52" s="51" t="s">
        <v>1339</v>
      </c>
    </row>
    <row r="53" spans="1:5" x14ac:dyDescent="0.2">
      <c r="A53" s="17" t="s">
        <v>1340</v>
      </c>
      <c r="B53" s="18" t="s">
        <v>1341</v>
      </c>
      <c r="C53" s="19" t="s">
        <v>1282</v>
      </c>
      <c r="D53" s="146">
        <v>250</v>
      </c>
      <c r="E53" s="51" t="s">
        <v>1342</v>
      </c>
    </row>
    <row r="54" spans="1:5" x14ac:dyDescent="0.2">
      <c r="A54" s="17" t="s">
        <v>1343</v>
      </c>
      <c r="B54" s="18" t="s">
        <v>1344</v>
      </c>
      <c r="C54" s="19" t="s">
        <v>1282</v>
      </c>
      <c r="D54" s="146">
        <v>1</v>
      </c>
      <c r="E54" s="114" t="s">
        <v>1345</v>
      </c>
    </row>
    <row r="55" spans="1:5" x14ac:dyDescent="0.2">
      <c r="A55" s="17" t="s">
        <v>1346</v>
      </c>
      <c r="B55" s="18" t="s">
        <v>1347</v>
      </c>
      <c r="C55" s="19" t="s">
        <v>1282</v>
      </c>
      <c r="D55" s="146">
        <v>2</v>
      </c>
      <c r="E55" s="114" t="s">
        <v>1348</v>
      </c>
    </row>
    <row r="56" spans="1:5" x14ac:dyDescent="0.2">
      <c r="A56" s="17" t="s">
        <v>1349</v>
      </c>
      <c r="B56" s="18" t="s">
        <v>1350</v>
      </c>
      <c r="C56" s="19" t="s">
        <v>1282</v>
      </c>
      <c r="D56" s="48">
        <f>IF(ISNUMBER(cal_j_opt),cal_j_opt,IFERROR(VLOOKUP(Summary!$D$4,$A$66:$E$71,2,FALSE),j_opt_default))</f>
        <v>2.14</v>
      </c>
      <c r="E56" s="99" t="s">
        <v>1351</v>
      </c>
    </row>
    <row r="57" spans="1:5" x14ac:dyDescent="0.2">
      <c r="A57" s="17" t="s">
        <v>1352</v>
      </c>
      <c r="B57" s="18" t="s">
        <v>1353</v>
      </c>
      <c r="C57" s="19" t="s">
        <v>1282</v>
      </c>
      <c r="D57" s="48">
        <f>IF(ISNUMBER(cal_j_ceiling),cal_j_ceiling,IFERROR(VLOOKUP(Summary!$D$4,$A$66:$E$71,3,FALSE),j_ceiling_default))</f>
        <v>4.29</v>
      </c>
      <c r="E57" s="99" t="s">
        <v>1354</v>
      </c>
    </row>
    <row r="58" spans="1:5" x14ac:dyDescent="0.2">
      <c r="A58" s="17" t="s">
        <v>1355</v>
      </c>
      <c r="B58" s="18" t="s">
        <v>1356</v>
      </c>
      <c r="C58" s="19" t="s">
        <v>135</v>
      </c>
      <c r="D58" s="48" t="str">
        <f>IFERROR(VLOOKUP(Summary!$D$4,$A$66:$E$71,4,FALSE),"unknown")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VLOOKUP(electrode_sel,$A$35:$N$38,2,FALSE)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146">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inlineStr">
        <is>
          <t xml:space="preserve">CALCULATED FARADAIC SPLIT – the cathode competes with dissolved O₂</t>
        </is>
      </c>
    </row>
    <row r="79" spans="1:5" x14ac:dyDescent="0.2">
      <c r="A79" t="s">
        <v>1626</v>
      </c>
      <c r="B79" s="18" t="s">
        <v>1627</v>
      </c>
      <c r="C79" s="19" t="s">
        <v>1274</v>
      </c>
      <c r="D79" s="141">
        <f>Biology!$D$60</f>
        <v>0.226086956522</v>
      </c>
      <c r="E79" s="67" t="s">
        <v>1628</v>
      </c>
    </row>
    <row r="80" spans="1:5" x14ac:dyDescent="0.2">
      <c r="A80" t="s">
        <v>1629</v>
      </c>
      <c r="B80" s="18" t="s">
        <v>1630</v>
      </c>
      <c r="C80" s="19" t="s">
        <v>1001</v>
      </c>
      <c r="D80" s="141">
        <f>Biology!$D$27</f>
        <v>0.36477</v>
      </c>
      <c r="E80" s="67" t="s">
        <v>1631</v>
      </c>
    </row>
    <row r="81" spans="1:5" x14ac:dyDescent="0.2">
      <c r="A81" t="s">
        <v>1632</v>
      </c>
      <c r="B81" s="18" t="s">
        <v>1633</v>
      </c>
      <c r="C81" s="19" t="s">
        <v>577</v>
      </c>
      <c r="D81" s="141">
        <f>'Mass Transfer'!$D$32</f>
        <v>1.997672318404e-09</v>
      </c>
      <c r="E81" s="67" t="s">
        <v>1634</v>
      </c>
    </row>
    <row r="82" spans="1:5" x14ac:dyDescent="0.2">
      <c r="A82" t="s">
        <v>1635</v>
      </c>
      <c r="B82" s="18" t="s">
        <v>1636</v>
      </c>
      <c r="C82" s="19" t="s">
        <v>858</v>
      </c>
      <c r="D82" s="141">
        <f>Biology!$D$6/1000</f>
        <v>0.015</v>
      </c>
      <c r="E82" s="67" t="s">
        <v>859</v>
      </c>
    </row>
    <row r="83" spans="1:5" ht="60" x14ac:dyDescent="0.2">
      <c r="A83" t="s">
        <v>1637</v>
      </c>
      <c r="B83" s="18" t="s">
        <v>1638</v>
      </c>
      <c r="C83" s="19" t="s">
        <v>1070</v>
      </c>
      <c r="D83" s="131">
        <v>4.0000000000000001E-3</v>
      </c>
      <c r="E83" s="75" t="s">
        <v>1639</v>
      </c>
    </row>
    <row r="84" spans="1:5" ht="24" x14ac:dyDescent="0.2">
      <c r="A84" t="s">
        <v>1640</v>
      </c>
      <c r="B84" s="18" t="s">
        <v>1641</v>
      </c>
      <c r="C84" s="19" t="s">
        <v>1274</v>
      </c>
      <c r="D84" s="146">
        <v>0.64400000000000002</v>
      </c>
      <c r="E84" s="99" t="s">
        <v>1642</v>
      </c>
    </row>
    <row r="85" spans="1:5" ht="36" x14ac:dyDescent="0.2">
      <c r="A85" t="s">
        <v>1643</v>
      </c>
      <c r="B85" s="18" t="s">
        <v>1644</v>
      </c>
      <c r="C85" s="19" t="s">
        <v>1001</v>
      </c>
      <c r="D85" s="141">
        <f>ec_DO_frac*ec_O2_ceil</f>
        <v>0.08246973913</v>
      </c>
      <c r="E85" s="67" t="s">
        <v>1645</v>
      </c>
    </row>
    <row r="86" spans="1:5" ht="48" x14ac:dyDescent="0.2">
      <c r="A86" t="s">
        <v>1646</v>
      </c>
      <c r="B86" s="18" t="s">
        <v>1647</v>
      </c>
      <c r="C86" s="19" t="s">
        <v>1076</v>
      </c>
      <c r="D86" s="141">
        <f>n_ORR_eff*F_const*(km_O2/100)*ec_DO_design*(A_cath_wet/10000)</f>
        <v>0.0002371062687363</v>
      </c>
      <c r="E86" s="67" t="inlineStr">
        <is>
          <t xml:space="preserve">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is>
      </c>
    </row>
    <row r="87" spans="1:5" x14ac:dyDescent="0.2">
      <c r="A87" t="s">
        <v>1649</v>
      </c>
      <c r="B87" s="18" t="s">
        <v>1650</v>
      </c>
      <c r="C87" s="19" t="s">
        <v>1076</v>
      </c>
      <c r="D87" s="141">
        <f>n_ORR_eff*F_const*(km_O2/100)*ec_O2_ceil*(A_cath_wet/10000)</f>
        <v>0.001048739266</v>
      </c>
      <c r="E87" s="67" t="s">
        <v>1651</v>
      </c>
    </row>
    <row r="88" spans="1:5" ht="36" x14ac:dyDescent="0.2">
      <c r="A88" t="s">
        <v>1652</v>
      </c>
      <c r="B88" s="18" t="s">
        <v>1653</v>
      </c>
      <c r="C88" s="19" t="s">
        <v>1274</v>
      </c>
      <c r="D88" s="141">
        <f>MAX(0,1-i_ORR_design/I_app)</f>
        <v>0.958329302507</v>
      </c>
      <c r="E88" s="67" t="inlineStr">
        <is>
          <t xml:space="preserve">1 − (cathodic O₂ current)/(applied current). Neutral-pH HER on stainless also has its own kinetic losses; this accounts only for the O₂ that competes for the current.</t>
        </is>
      </c>
    </row>
    <row r="89" spans="1:5" x14ac:dyDescent="0.2">
      <c r="A89" t="s">
        <v>1655</v>
      </c>
      <c r="B89" s="18" t="s">
        <v>1656</v>
      </c>
      <c r="C89" s="19" t="s">
        <v>1274</v>
      </c>
      <c r="D89" s="141">
        <f>MAX(0,1-i_ORR_ceiling/I_app)</f>
        <v>0.815687299549</v>
      </c>
      <c r="E89" s="67" t="s">
        <v>1657</v>
      </c>
    </row>
    <row r="90" spans="1:5" x14ac:dyDescent="0.2">
      <c r="A90" s="5" t="s">
        <v>1658</v>
      </c>
    </row>
    <row r="91" spans="1:5" ht="48" x14ac:dyDescent="0.2">
      <c r="A91" t="s">
        <v>1659</v>
      </c>
      <c r="B91" s="18" t="s">
        <v>1660</v>
      </c>
      <c r="C91" s="19" t="s">
        <v>1274</v>
      </c>
      <c r="D91" s="131">
        <v>0.15</v>
      </c>
      <c r="E91" s="75" t="s">
        <v>1661</v>
      </c>
    </row>
    <row r="92" spans="1:5" x14ac:dyDescent="0.2">
      <c r="A92" t="s">
        <v>1662</v>
      </c>
      <c r="B92" s="18" t="s">
        <v>1663</v>
      </c>
      <c r="C92" s="19" t="s">
        <v>1258</v>
      </c>
      <c r="D92" s="146">
        <v>34.014699999999998</v>
      </c>
      <c r="E92" s="99" t="s">
        <v>1664</v>
      </c>
    </row>
    <row r="93" spans="1:5" ht="24" x14ac:dyDescent="0.2">
      <c r="A93" t="s">
        <v>1665</v>
      </c>
      <c r="B93" s="18" t="s">
        <v>1666</v>
      </c>
      <c r="C93" s="19" t="s">
        <v>1266</v>
      </c>
      <c r="D93" s="141">
        <f>f_HOOH*I_app*(1-etaF)/(n_ORR_eff*F_const)*M_H2O2*1000*3600/ec_V_L</f>
        <v>0.813296984002</v>
      </c>
      <c r="E93" s="67" t="inlineStr">
        <is>
          <t xml:space="preserve">Peroxide-branch share of the moles of O₂ reduced (f_HOOH × D28 flux), so it follows a measured etaF too. One H₂O₂ per O₂ on that branch. This source runs whenever there is current and dissolved O₂.</t>
        </is>
      </c>
    </row>
    <row r="94" spans="1:5" ht="48" x14ac:dyDescent="0.2">
      <c r="A94" t="s">
        <v>1668</v>
      </c>
      <c r="B94" s="18" t="s">
        <v>1669</v>
      </c>
      <c r="C94" s="19" t="s">
        <v>639</v>
      </c>
      <c r="D94" s="131">
        <v>4.1000000000000003E-3</v>
      </c>
      <c r="E94" s="75" t="s">
        <v>1670</v>
      </c>
    </row>
    <row r="95" spans="1:5" ht="48" x14ac:dyDescent="0.2">
      <c r="A95" t="s">
        <v>1671</v>
      </c>
      <c r="B95" s="18" t="s">
        <v>1672</v>
      </c>
      <c r="C95" s="19" t="s">
        <v>1270</v>
      </c>
      <c r="D95" s="141">
        <f>r_H2O2/(k_cat_cells*3600)</f>
        <v>0.05510142168</v>
      </c>
      <c r="E95" s="67" t="s">
        <v>1673</v>
      </c>
    </row>
    <row r="96" spans="1:5" x14ac:dyDescent="0.2">
      <c r="A96" t="s">
        <v>1674</v>
      </c>
      <c r="B96" s="18" t="s">
        <v>1675</v>
      </c>
      <c r="C96" s="19" t="s">
        <v>1270</v>
      </c>
      <c r="D96" s="141">
        <f>r_H2O2_lag/(k_H2O2_anode*3600)*(1-EXP(-k_H2O2_anode*3600))</f>
        <v>0.740452814989</v>
      </c>
      <c r="E96" s="67" t="inlineStr">
        <is>
          <t xml:space="preserve">No catalase pool at inoculation: peroxide accumulates at the lag-phase rate (D152) against the anodic sink (D151), approaching the plateau r/k. This is the exposed window.</t>
        </is>
      </c>
    </row>
    <row r="97" spans="1:5" ht="60" x14ac:dyDescent="0.2">
      <c r="A97" t="s">
        <v>1677</v>
      </c>
      <c r="B97" s="18" t="s">
        <v>1678</v>
      </c>
      <c r="C97" s="19" t="s">
        <v>1270</v>
      </c>
      <c r="D97" s="146">
        <v>0.17</v>
      </c>
      <c r="E97" s="67" t="s">
        <v>1679</v>
      </c>
    </row>
    <row r="98" spans="1:5" ht="24" x14ac:dyDescent="0.2">
      <c r="A98" t="s">
        <v>1680</v>
      </c>
      <c r="B98" s="18" t="s">
        <v>1681</v>
      </c>
      <c r="C98" s="19" t="s">
        <v>962</v>
      </c>
      <c r="D98" s="141">
        <f>IF(r_H2O2_lag&gt;0,IF(1-H2O2_thresh*k_H2O2_anode*3600/r_H2O2_lag&gt;0,-LN(1-H2O2_thresh*k_H2O2_anode*3600/r_H2O2_lag)/k_H2O2_anode/60,NA()),NA())</f>
        <v>6.785954745632</v>
      </c>
      <c r="E98" s="67" t="inlineStr">
        <is>
          <t xml:space="preserve">Time for an un-inoculated or just-inoculated vessel to pass the growth-inhibition threshold, with the anodic sink. #N/A = the plateau r/k never reaches the threshold.</t>
        </is>
      </c>
    </row>
    <row r="99" spans="1:5" ht="48" x14ac:dyDescent="0.2">
      <c r="A99" t="s">
        <v>1683</v>
      </c>
      <c r="B99" s="18" t="s">
        <v>1684</v>
      </c>
      <c r="C99" s="19" t="s">
        <v>1274</v>
      </c>
      <c r="D99" s="14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(0.055 mg/L) but LAG PHASE is not: peroxide passes the threshold in 7 min before biomass can scavenge it</v>
      </c>
      <c r="E99" s="67" t="s">
        <v>1685</v>
      </c>
    </row>
    <row r="100" spans="1:5" x14ac:dyDescent="0.2">
      <c r="A100" s="5" t="s">
        <v>1686</v>
      </c>
    </row>
    <row r="101" spans="1:5" x14ac:dyDescent="0.2">
      <c r="A101" t="s">
        <v>1687</v>
      </c>
      <c r="B101" s="18" t="s">
        <v>1688</v>
      </c>
      <c r="C101" s="19" t="s">
        <v>1076</v>
      </c>
      <c r="D101" s="141">
        <f>Chemistry!$D$133</f>
        <v>9.584998043788e-05</v>
      </c>
      <c r="E101" s="67" t="s">
        <v>1689</v>
      </c>
    </row>
    <row r="102" spans="1:5" x14ac:dyDescent="0.2">
      <c r="A102" t="s">
        <v>1690</v>
      </c>
      <c r="B102" s="18" t="s">
        <v>1691</v>
      </c>
      <c r="C102" s="19" t="s">
        <v>1274</v>
      </c>
      <c r="D102" s="141">
        <f>Chemistry!$D$158</f>
        <v>0.0</v>
      </c>
      <c r="E102" s="70" t="s">
        <v>1692</v>
      </c>
    </row>
    <row r="103" spans="1:5" ht="36" x14ac:dyDescent="0.2">
      <c r="A103" t="s">
        <v>1693</v>
      </c>
      <c r="B103" s="18" t="s">
        <v>1694</v>
      </c>
      <c r="C103" s="19" t="s">
        <v>1274</v>
      </c>
      <c r="D103" s="141">
        <f>ec_I_Cl/I_app</f>
        <v>0.016845339269</v>
      </c>
      <c r="E103" s="67" t="inlineStr">
        <is>
          <t xml:space="preserve">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is>
      </c>
    </row>
    <row r="104" spans="1:5" ht="36" x14ac:dyDescent="0.2">
      <c r="A104" t="s">
        <v>1696</v>
      </c>
      <c r="B104" s="18" t="s">
        <v>1697</v>
      </c>
      <c r="C104" s="19" t="s">
        <v>1274</v>
      </c>
      <c r="D104" s="141">
        <f>MAX(0,1-f_Cl_anode-IF(ISNUMBER(ec_corr_I),ec_corr_I,0)-IF(ISNUMBER(f_HOR_anode),f_HOR_anode,0))</f>
        <v>0.983154660731</v>
      </c>
      <c r="E104" s="67" t="inlineStr">
        <is>
          <t xml:space="preserve">1 − chlorine share − metal-dissolution share − anodic H₂-oxidation share (f_HOR_anode, D145). It remains an UPPER BOUND while those charges are unmeasured: a corroding anode, or one oxidising crossed-over H₂ (ceiling ~22 %, D148), takes current that this cell still credits to oxygen.</t>
        </is>
      </c>
    </row>
    <row r="105" spans="1:5" x14ac:dyDescent="0.2">
      <c r="A105" s="5" t="s">
        <v>1699</v>
      </c>
    </row>
    <row r="106" spans="1:5" ht="24" x14ac:dyDescent="0.2">
      <c r="A106" t="s">
        <v>1700</v>
      </c>
      <c r="B106" s="18" t="s">
        <v>1701</v>
      </c>
      <c r="C106" s="19" t="s">
        <v>1595</v>
      </c>
      <c r="D106" s="141">
        <f>Chemistry!$D$201</f>
        <v>1.229</v>
      </c>
      <c r="E106" s="99" t="s">
        <v>1702</v>
      </c>
    </row>
    <row r="107" spans="1:5" ht="48" x14ac:dyDescent="0.2">
      <c r="A107" t="s">
        <v>1703</v>
      </c>
      <c r="B107" s="18" t="s">
        <v>1704</v>
      </c>
      <c r="C107" s="19" t="s">
        <v>1705</v>
      </c>
      <c r="D107" s="131">
        <v>0.12</v>
      </c>
      <c r="E107" s="75" t="s">
        <v>1706</v>
      </c>
    </row>
    <row r="108" spans="1:5" ht="48" x14ac:dyDescent="0.2">
      <c r="A108" t="s">
        <v>1707</v>
      </c>
      <c r="B108" s="18" t="s">
        <v>1708</v>
      </c>
      <c r="C108" s="19" t="s">
        <v>1709</v>
      </c>
      <c r="D108" s="131">
        <v>1E-10</v>
      </c>
      <c r="E108" s="41" t="s">
        <v>1710</v>
      </c>
    </row>
    <row r="109" spans="1:5" ht="36" x14ac:dyDescent="0.2">
      <c r="A109" t="s">
        <v>1711</v>
      </c>
      <c r="B109" s="18" t="s">
        <v>1712</v>
      </c>
      <c r="C109" s="19" t="s">
        <v>1705</v>
      </c>
      <c r="D109" s="131">
        <v>0.14000000000000001</v>
      </c>
      <c r="E109" s="67" t="s">
        <v>1713</v>
      </c>
    </row>
    <row r="110" spans="1:5" ht="24" x14ac:dyDescent="0.2">
      <c r="A110" t="s">
        <v>1714</v>
      </c>
      <c r="B110" s="18" t="s">
        <v>1715</v>
      </c>
      <c r="C110" s="19" t="s">
        <v>1709</v>
      </c>
      <c r="D110" s="131">
        <v>1.5E-6</v>
      </c>
      <c r="E110" s="67" t="s">
        <v>1716</v>
      </c>
    </row>
    <row r="111" spans="1:5" x14ac:dyDescent="0.2">
      <c r="A111" t="s">
        <v>1717</v>
      </c>
      <c r="B111" s="18" t="s">
        <v>1718</v>
      </c>
      <c r="C111" s="19" t="s">
        <v>1595</v>
      </c>
      <c r="D111" s="141">
        <f>b_anode*LOG10(j_anode/1000/j0_anode)</f>
        <v>0.894142423496</v>
      </c>
      <c r="E111" s="67" t="s">
        <v>1719</v>
      </c>
    </row>
    <row r="112" spans="1:5" x14ac:dyDescent="0.2">
      <c r="A112" t="s">
        <v>1720</v>
      </c>
      <c r="B112" s="18" t="s">
        <v>1721</v>
      </c>
      <c r="C112" s="19" t="s">
        <v>1595</v>
      </c>
      <c r="D112" s="141">
        <f>b_cath*LOG10(j_cathode/1000/j0_cath)</f>
        <v>0.458513384477</v>
      </c>
      <c r="E112" s="67" t="s">
        <v>1722</v>
      </c>
    </row>
    <row r="113" spans="1:5" ht="72" x14ac:dyDescent="0.2">
      <c r="A113" t="s">
        <v>1723</v>
      </c>
      <c r="B113" s="18" t="s">
        <v>1724</v>
      </c>
      <c r="C113" s="19" t="s">
        <v>1595</v>
      </c>
      <c r="D113" s="131">
        <v>-0.15</v>
      </c>
      <c r="E113" s="75" t="s">
        <v>1725</v>
      </c>
    </row>
    <row r="114" spans="1:5" x14ac:dyDescent="0.2">
      <c r="A114" t="s">
        <v>1726</v>
      </c>
      <c r="B114" s="18" t="s">
        <v>1727</v>
      </c>
      <c r="C114" s="19" t="s">
        <v>1507</v>
      </c>
      <c r="D114" s="141">
        <f>Chemistry!$D$180</f>
        <v>0.706946657056</v>
      </c>
      <c r="E114" s="67" t="s">
        <v>1728</v>
      </c>
    </row>
    <row r="115" spans="1:5" x14ac:dyDescent="0.2">
      <c r="A115" t="s">
        <v>1729</v>
      </c>
      <c r="B115" s="18" t="s">
        <v>1730</v>
      </c>
      <c r="C115" s="19" t="s">
        <v>146</v>
      </c>
      <c r="D115" s="141">
        <f>Geometry!$D$92</f>
        <v>14.0</v>
      </c>
      <c r="E115" s="70" t="s">
        <v>1731</v>
      </c>
    </row>
    <row r="116" spans="1:5" ht="48" x14ac:dyDescent="0.2">
      <c r="A116" t="s">
        <v>1732</v>
      </c>
      <c r="B116" s="18" t="s">
        <v>1733</v>
      </c>
      <c r="C116" s="19" t="s">
        <v>1274</v>
      </c>
      <c r="D116" s="131">
        <v>1</v>
      </c>
      <c r="E116" s="75" t="inlineStr">
        <is>
          <t xml:space="preserve">Parallel-cylinder (2D) formula taken at face value. Lateral confinement by the 25 mm wall raises the resistance and current spreading through the ~22 mm of liquid below the rod tips lowers it; for rods with L/d ≈ 1.5 the two roughly cancel. Bounded above at ~1.2 by Gerrit’s Law holding linear to 25 % on a 5 V rail (D143–D144). Measure with a conductivity standard.</t>
        </is>
      </c>
    </row>
    <row r="117" spans="1:5" ht="24" x14ac:dyDescent="0.2">
      <c r="A117" t="s">
        <v>1735</v>
      </c>
      <c r="B117" s="18" t="s">
        <v>1736</v>
      </c>
      <c r="C117" s="19" t="s">
        <v>1737</v>
      </c>
      <c r="D117" s="141">
        <f>k_geom*ACOSH(ec_gap/anode_dia)/(PI()*ec_kappa*(L_sub/1000))</f>
        <v>73.119914854398</v>
      </c>
      <c r="E117" s="67" t="s">
        <v>1738</v>
      </c>
    </row>
    <row r="118" spans="1:5" ht="24" x14ac:dyDescent="0.2">
      <c r="A118" t="s">
        <v>1739</v>
      </c>
      <c r="B118" s="18" t="s">
        <v>1740</v>
      </c>
      <c r="C118" s="19" t="s">
        <v>1595</v>
      </c>
      <c r="D118" s="141">
        <f>I_app*R_cell</f>
        <v>0.416052315522</v>
      </c>
      <c r="E118" s="67" t="s">
        <v>1741</v>
      </c>
    </row>
    <row r="119" spans="1:5" ht="36" x14ac:dyDescent="0.2">
      <c r="A119" t="s">
        <v>1742</v>
      </c>
      <c r="B119" s="18" t="s">
        <v>1743</v>
      </c>
      <c r="C119" s="19" t="s">
        <v>1595</v>
      </c>
      <c r="D119" s="141">
        <f>ec_E_rev+eta_anode+eta_cath+pcet_credit+V_IR</f>
        <v>2.847708123495</v>
      </c>
      <c r="E119" s="67" t="s">
        <v>1744</v>
      </c>
    </row>
    <row r="120" spans="1:5" ht="24" x14ac:dyDescent="0.2">
      <c r="A120" t="s">
        <v>1745</v>
      </c>
      <c r="B120" s="18" t="s">
        <v>1746</v>
      </c>
      <c r="C120" s="19" t="s">
        <v>1595</v>
      </c>
      <c r="D120" s="146">
        <v>5</v>
      </c>
      <c r="E120" s="67" t="s">
        <v>1747</v>
      </c>
    </row>
    <row r="121" spans="1:5" x14ac:dyDescent="0.2">
      <c r="A121" t="s">
        <v>1748</v>
      </c>
      <c r="B121" s="18" t="s">
        <v>1749</v>
      </c>
      <c r="C121" s="19" t="s">
        <v>1595</v>
      </c>
      <c r="D121" s="141">
        <f>V_rail-V_cell_est</f>
        <v>2.152291876505</v>
      </c>
      <c r="E121" s="67" t="s">
        <v>1750</v>
      </c>
    </row>
    <row r="122" spans="1:5" ht="24" x14ac:dyDescent="0.2">
      <c r="A122" t="s">
        <v>1751</v>
      </c>
      <c r="B122" s="18" t="s">
        <v>1752</v>
      </c>
      <c r="C122" s="19" t="s">
        <v>1274</v>
      </c>
      <c r="D122" s="14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2.85 V estimated against a 5 V rail</v>
      </c>
      <c r="E122" s="67" t="inlineStr">
        <is>
          <t xml:space="preserve">Cross-check on Gerrit's Law: the fit is validated linear to gerrit_max (25 %), so the budget evaluated there (V_at_gerrit_max, D143) must stay at or below V_rail; D144 tests it live (about 4.7 V at 25 % with k_geom = 1).</t>
        </is>
      </c>
    </row>
    <row r="124">
      <c r="A124" s="104" t="inlineStr">
        <is>
          <t xml:space="preserve">NAMED DEFAULTS AND THRESHOLDS</t>
        </is>
      </c>
    </row>
    <row r="125">
      <c r="A125" s="17" t="inlineStr">
        <is>
          <t xml:space="preserve">Gerrit's Law slope (default)</t>
        </is>
      </c>
      <c r="B125" s="18" t="inlineStr">
        <is>
          <t xml:space="preserve">gerrit_slope_default</t>
        </is>
      </c>
      <c r="C125" s="19" t="inlineStr">
        <is>
          <t xml:space="preserve">mA/%</t>
        </is>
      </c>
      <c r="D125" s="131">
        <v>1.03</v>
      </c>
      <c r="E125" s="109" t="inlineStr">
        <is>
          <t xml:space="preserve">Gerrit's Law fit, LED_D current calibration (protocols/gerrit-current.md); used when no Calibrations run is included.</t>
        </is>
      </c>
    </row>
    <row r="126">
      <c r="A126" s="17" t="inlineStr">
        <is>
          <t xml:space="preserve">Gerrit's Law intercept (default)</t>
        </is>
      </c>
      <c r="B126" s="18" t="inlineStr">
        <is>
          <t xml:space="preserve">gerrit_int_default</t>
        </is>
      </c>
      <c r="C126" s="19" t="inlineStr">
        <is>
          <t xml:space="preserve">mA</t>
        </is>
      </c>
      <c r="D126" s="131">
        <v>2.6</v>
      </c>
      <c r="E126" s="109" t="inlineStr">
        <is>
          <t xml:space="preserve">Gerrit's Law fit, LED_D current calibration (protocols/gerrit-current.md); used when no Calibrations run is included.</t>
        </is>
      </c>
    </row>
    <row r="127">
      <c r="A127" s="17" t="inlineStr">
        <is>
          <t xml:space="preserve">Voltage headroom caution margin</t>
        </is>
      </c>
      <c r="B127" s="18" t="inlineStr">
        <is>
          <t xml:space="preserve">V_headroom_min</t>
        </is>
      </c>
      <c r="C127" s="19" t="inlineStr">
        <is>
          <t xml:space="preserve">V</t>
        </is>
      </c>
      <c r="D127" s="131">
        <v>1</v>
      </c>
      <c r="E127" s="114" t="inlineStr">
        <is>
          <t xml:space="preserve">Design assumption: the current law starts to bend within this margin of the drive rail.</t>
        </is>
      </c>
    </row>
    <row r="140">
      <c r="A140" s="104" t="inlineStr">
        <is>
          <t xml:space="preserve">PHYSICS CORRECTIONS — ORR electron count, voltage cross-check, anodic H₂ oxidation, lag-phase peroxide</t>
        </is>
      </c>
    </row>
    <row r="141">
      <c r="A141" t="inlineStr">
        <is>
          <t xml:space="preserve">Effective electrons per O₂ reduced (cathode)</t>
        </is>
      </c>
      <c r="B141" s="18" t="inlineStr">
        <is>
          <t xml:space="preserve">n_ORR_eff</t>
        </is>
      </c>
      <c r="C141" s="19" t="inlineStr">
        <is>
          <t xml:space="preserve">e⁻/O₂</t>
        </is>
      </c>
      <c r="D141" s="141">
        <f>z_e_ORR*f_HOOH+z_e_O2*(1-f_HOOH)</f>
        <v>3.7</v>
      </c>
      <c r="E141" s="114" t="inlineStr">
        <is>
          <t xml:space="preserve">Effective electrons per O₂ reduced at the SS cathode: 2 on the peroxide branch (z_e_ORR), 4 to water (z_e_O2, direct or 2+2 in series), weighted by the RRDE escape fraction f_HOOH (Le Bozec 2001). This is the mixed 2e⁻/4e⁻ regime E86 cites.</t>
        </is>
      </c>
    </row>
    <row r="142">
      <c r="A142" t="inlineStr">
        <is>
          <t xml:space="preserve">Current at the top of the validated Gerrit band</t>
        </is>
      </c>
      <c r="B142" s="18" t="inlineStr">
        <is>
          <t xml:space="preserve">I_at_gerrit_max</t>
        </is>
      </c>
      <c r="C142" s="19" t="inlineStr">
        <is>
          <t xml:space="preserve">A</t>
        </is>
      </c>
      <c r="D142" s="141">
        <f>(gerrit_slope*gerrit_max+gerrit_int)/1000</f>
        <v>0.02835</v>
      </c>
      <c r="E142" s="67" t="inlineStr">
        <is>
          <t xml:space="preserve">Gerrit's Law at gerrit_max (25 %), where the fit is still validated linear.</t>
        </is>
      </c>
    </row>
    <row r="143">
      <c r="A143" t="inlineStr">
        <is>
          <t xml:space="preserve">Cell voltage budget at the top of the validated band</t>
        </is>
      </c>
      <c r="B143" s="18" t="inlineStr">
        <is>
          <t xml:space="preserve">V_at_gerrit_max</t>
        </is>
      </c>
      <c r="C143" s="19" t="inlineStr">
        <is>
          <t xml:space="preserve">V</t>
        </is>
      </c>
      <c r="D143" s="141">
        <f>ec_E_rev+b_anode*LOG10(I_at_gerrit_max/A_anode_wet/j0_anode)+b_cath*LOG10(I_at_gerrit_max/A_cath_wet/j0_cath)+pcet_credit+I_at_gerrit_max*R_cell</f>
        <v>4.685940001272</v>
      </c>
      <c r="E143" s="75" t="inlineStr">
        <is>
          <t xml:space="preserve">Same budget as D119, evaluated at I_at_gerrit_max (j in A/cm²). A current source on the rail cannot deliver that current into a load needing more than V_rail, so this must not exceed V_rail.</t>
        </is>
      </c>
    </row>
    <row r="144">
      <c r="A144" t="inlineStr">
        <is>
          <t xml:space="preserve">Voltage budget vs validated Gerrit band</t>
        </is>
      </c>
      <c r="B144" s="18" t="inlineStr">
        <is>
          <t xml:space="preserve">V_gerrit_flag</t>
        </is>
      </c>
      <c r="C144" s="19" t="inlineStr">
        <is>
          <t xml:space="preserve">-</t>
        </is>
      </c>
      <c r="D144" s="14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4.69 V at 25 %, under the 5 V rail across the validated band</v>
      </c>
      <c r="E144" s="67" t="inlineStr">
        <is>
          <t xml:space="preserve">Live form of the E122 cross-check: the voltage budget and the empirical current law must agree across the band the law is validated on.</t>
        </is>
      </c>
    </row>
    <row r="145">
      <c r="A145" t="inlineStr">
        <is>
          <t xml:space="preserve">Anodic current oxidising crossed-over H₂</t>
        </is>
      </c>
      <c r="B145" s="18" t="inlineStr">
        <is>
          <t xml:space="preserve">f_HOR_anode</t>
        </is>
      </c>
      <c r="C145" s="19" t="inlineStr">
        <is>
          <t xml:space="preserve">-</t>
        </is>
      </c>
      <c r="D145" s="131"/>
      <c r="E145" s="70" t="inlineStr">
        <is>
          <t xml:space="preserve">DATA GAP — fraction of the anodic current oxidising dissolved H₂ on the Pt anode (or recombining H₂ + O₂). Measure: anode-gas O₂ collection per faradaic-efficiency.md, or initial-slope vs plateau rates with a divided cell. Left empty = not modelled (0); transport ceiling D148.</t>
        </is>
      </c>
    </row>
    <row r="146">
      <c r="A146" t="inlineStr">
        <is>
          <t xml:space="preserve">(import) dissolved-H₂ saturation</t>
        </is>
      </c>
      <c r="B146" s="18" t="inlineStr">
        <is>
          <t xml:space="preserve">ec_C_H2_sat</t>
        </is>
      </c>
      <c r="C146" s="19" t="inlineStr">
        <is>
          <t xml:space="preserve">mol/m³</t>
        </is>
      </c>
      <c r="D146" s="141">
        <f>Biology!$D$41</f>
        <v>0.790335</v>
      </c>
      <c r="E146" s="67" t="inlineStr">
        <is>
          <t xml:space="preserve">→ Biology (C_H2_sat, 1 atm)</t>
        </is>
      </c>
    </row>
    <row r="147">
      <c r="A147" t="inlineStr">
        <is>
          <t xml:space="preserve">Anodic H₂ oxidation — transport-limited ceiling</t>
        </is>
      </c>
      <c r="B147" s="18" t="inlineStr">
        <is>
          <t xml:space="preserve">i_HOR_lim</t>
        </is>
      </c>
      <c r="C147" s="19" t="inlineStr">
        <is>
          <t xml:space="preserve">A</t>
        </is>
      </c>
      <c r="D147" s="141">
        <f>z_e_H2*F_const*(km_O2/100)*ec_C_H2_sat*(A_anode_wet/10000)</f>
        <v>0.001228253194</v>
      </c>
      <c r="E147" s="75" t="inlineStr">
        <is>
          <t xml:space="preserve">Informational ceiling: every H₂ molecule reaching the anode at k_m(O₂) and saturated H₂ is oxidised. The actual value depends on HOR activity of hydrous-oxide Pt at ~1.6 V (strongly suppressed; PEM anodes pass crossover H₂ largely unoxidised) — unmeasured.</t>
        </is>
      </c>
    </row>
    <row r="148">
      <c r="A148" t="inlineStr">
        <is>
          <t xml:space="preserve">Same, as a fraction of the applied current</t>
        </is>
      </c>
      <c r="B148" s="18" t="inlineStr">
        <is>
          <t xml:space="preserve">f_HOR_lim</t>
        </is>
      </c>
      <c r="C148" s="19" t="inlineStr">
        <is>
          <t xml:space="preserve">-</t>
        </is>
      </c>
      <c r="D148" s="141">
        <f>i_HOR_lim/I_app</f>
        <v>0.215861721249</v>
      </c>
      <c r="E148" s="75" t="inlineStr">
        <is>
          <t xml:space="preserve">Upper bound for f_HOR_anode (D145).</t>
        </is>
      </c>
    </row>
    <row r="149">
      <c r="A149" t="inlineStr">
        <is>
          <t xml:space="preserve">H₂ oxidised at the anode</t>
        </is>
      </c>
      <c r="B149" s="18" t="inlineStr">
        <is>
          <t xml:space="preserve">r_H2_HOR</t>
        </is>
      </c>
      <c r="C149" s="19" t="inlineStr">
        <is>
          <t xml:space="preserve">mol/h</t>
        </is>
      </c>
      <c r="D149" s="141">
        <f>IF(ISNUMBER(f_HOR_anode),f_HOR_anode*I_app/(z_e_H2*F_const)*3600,0)</f>
        <v>0.0</v>
      </c>
      <c r="E149" s="67" t="inlineStr">
        <is>
          <t xml:space="preserve">Crossed-over H₂ consumed by the anode; 0 while f_HOR_anode is a data gap. Subtracted from the H₂ the culture receives (Biology H2_cons).</t>
        </is>
      </c>
    </row>
    <row r="150">
      <c r="A150" t="inlineStr">
        <is>
          <t xml:space="preserve">(import) lag-phase dissolved O₂</t>
        </is>
      </c>
      <c r="B150" s="18" t="inlineStr">
        <is>
          <t xml:space="preserve">ec_DO_lag</t>
        </is>
      </c>
      <c r="C150" s="19" t="inlineStr">
        <is>
          <t xml:space="preserve">mol/m³</t>
        </is>
      </c>
      <c r="D150" s="141">
        <f>'Mass Transfer'!$D$135</f>
        <v>0.169683392542</v>
      </c>
      <c r="E150" s="67" t="inlineStr">
        <is>
          <t xml:space="preserve">→ Mass Transfer (DO_ss_sawtooth_lag: steady DO with the lag source, no uptake)</t>
        </is>
      </c>
    </row>
    <row r="151">
      <c r="A151" t="inlineStr">
        <is>
          <t xml:space="preserve">Anodic peroxide sink (transport-limited)</t>
        </is>
      </c>
      <c r="B151" s="18" t="inlineStr">
        <is>
          <t xml:space="preserve">k_H2O2_anode</t>
        </is>
      </c>
      <c r="C151" s="19" t="inlineStr">
        <is>
          <t xml:space="preserve">1/s</t>
        </is>
      </c>
      <c r="D151" s="141">
        <f>(km_O2/100)*(A_anode_wet/10000)/(ec_V_L/1000)</f>
        <v>0.0005369009052374</v>
      </c>
      <c r="E151" s="75" t="inlineStr">
        <is>
          <t xml:space="preserve">H₂O₂ is oxidised at the anode (E° 0.695 V, ~0.9 V below the anode potential) at the transport limit: k = k_m·A/V. Reuses the ferricyanide-measurable km_O2, so no new unknown; heterogeneous decomposition on Pt would add to it.</t>
        </is>
      </c>
    </row>
    <row r="152">
      <c r="A152" t="inlineStr">
        <is>
          <t xml:space="preserve">Peroxide production during lag</t>
        </is>
      </c>
      <c r="B152" s="18" t="inlineStr">
        <is>
          <t xml:space="preserve">r_H2O2_lag</t>
        </is>
      </c>
      <c r="C152" s="19" t="inlineStr">
        <is>
          <t xml:space="preserve">mg/L/h</t>
        </is>
      </c>
      <c r="D152" s="141">
        <f>r_H2O2*ec_DO_lag/ec_DO_design</f>
        <v>1.673377324158</v>
      </c>
      <c r="E152" s="67" t="inlineStr">
        <is>
          <t xml:space="preserve">r_H2O2 scaled to the lag-phase DO (D150): the cathodic O₂ flux is first order in DO, and before uptake starts DO runs above the design value.</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inlineStr">
        <is>
          <t xml:space="preserve">(import) Dissolved CO₂ (cycle average)</t>
        </is>
      </c>
      <c r="B5" s="18" t="s">
        <v>846</v>
      </c>
      <c r="C5" s="19" t="s">
        <v>847</v>
      </c>
      <c r="D5" s="64">
        <f>'Mass Transfer'!$D$162</f>
        <v>0.00952617025</v>
      </c>
      <c r="E5" s="51" t="inlineStr">
        <is>
          <t xml:space="preserve">Schedule-dependent cycle-average dissolved CO₂ (mass-conserving limit cycle, bounded by air equilibrium and pure-CO₂ saturation).</t>
        </is>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s">
        <v>856</v>
      </c>
      <c r="B8" s="18" t="s">
        <v>857</v>
      </c>
      <c r="C8" s="19" t="s">
        <v>858</v>
      </c>
      <c r="D8" s="64">
        <f>Biology!$D$6/1000</f>
        <v>0.015</v>
      </c>
      <c r="E8" s="51" t="s">
        <v>859</v>
      </c>
    </row>
    <row r="9" spans="1:6" x14ac:dyDescent="0.2">
      <c r="A9" s="17" t="s">
        <v>860</v>
      </c>
      <c r="B9" s="18" t="s">
        <v>861</v>
      </c>
      <c r="C9" s="19" t="s">
        <v>862</v>
      </c>
      <c r="D9" s="148">
        <f>'Mass Transfer'!$D$101</f>
        <v>8.314462618</v>
      </c>
      <c r="E9" s="84" t="inlineStr">
        <is>
          <t xml:space="preserve">→ Mass Transfer (R_gas).</t>
        </is>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B13*EXP(-C13*1000/R_gas*(1/TKc-1/T_ref))</f>
        <v>4.45e-07</v>
      </c>
      <c r="E13" s="84" t="s">
        <v>870</v>
      </c>
    </row>
    <row r="14" spans="1:6" x14ac:dyDescent="0.2">
      <c r="A14" s="17" t="s">
        <v>872</v>
      </c>
      <c r="B14" s="52">
        <v>4.6900000000000001E-11</v>
      </c>
      <c r="C14" s="52">
        <v>14.9</v>
      </c>
      <c r="D14" s="64">
        <f>B14*EXP(-C14*1000/R_gas*(1/TKc-1/T_ref))</f>
        <v>4.69e-11</v>
      </c>
      <c r="E14" s="84" t="s">
        <v>870</v>
      </c>
    </row>
    <row r="15" spans="1:6" x14ac:dyDescent="0.2">
      <c r="A15" s="17" t="s">
        <v>873</v>
      </c>
      <c r="B15" s="52">
        <v>7.1000000000000004E-3</v>
      </c>
      <c r="C15" s="52">
        <v>-8</v>
      </c>
      <c r="D15" s="64">
        <f>B15*EXP(-C15*1000/R_gas*(1/TKc-1/T_ref))</f>
        <v>0.0071</v>
      </c>
      <c r="E15" s="84" t="s">
        <v>870</v>
      </c>
    </row>
    <row r="16" spans="1:6" x14ac:dyDescent="0.2">
      <c r="A16" s="17" t="s">
        <v>874</v>
      </c>
      <c r="B16" s="52">
        <v>6.3100000000000003E-8</v>
      </c>
      <c r="C16" s="52">
        <v>3.6</v>
      </c>
      <c r="D16" s="64">
        <f>B16*EXP(-C16*1000/R_gas*(1/TKc-1/T_ref))</f>
        <v>6.31e-08</v>
      </c>
      <c r="E16" s="84" t="s">
        <v>870</v>
      </c>
    </row>
    <row r="17" spans="1:6" x14ac:dyDescent="0.2">
      <c r="A17" s="17" t="s">
        <v>1007</v>
      </c>
      <c r="B17" s="52">
        <v>4.1999999999999998E-13</v>
      </c>
      <c r="C17" s="52">
        <v>16</v>
      </c>
      <c r="D17" s="64">
        <f>B17*EXP(-C17*1000/R_gas*(1/TKc-1/T_ref))</f>
        <v>4.2e-13</v>
      </c>
      <c r="E17" s="84" t="s">
        <v>870</v>
      </c>
    </row>
    <row r="18" spans="1:6" x14ac:dyDescent="0.2">
      <c r="A18" s="17" t="s">
        <v>875</v>
      </c>
      <c r="B18" s="52">
        <v>5.6000000000000003E-10</v>
      </c>
      <c r="C18" s="52">
        <v>52.2</v>
      </c>
      <c r="D18" s="64">
        <f>B18*EXP(-C18*1000/R_gas*(1/TKc-1/T_ref))</f>
        <v>5.6e-10</v>
      </c>
      <c r="E18" s="84" t="s">
        <v>870</v>
      </c>
    </row>
    <row r="19" spans="1:6" x14ac:dyDescent="0.2">
      <c r="A19" s="17" t="s">
        <v>876</v>
      </c>
      <c r="B19" s="52">
        <v>1E-14</v>
      </c>
      <c r="C19" s="52">
        <v>55.8</v>
      </c>
      <c r="D19" s="64">
        <f>B19*EXP(-C19*1000/R_gas*(1/TKc-1/T_ref))</f>
        <v>1e-14</v>
      </c>
      <c r="E19" s="84" t="s">
        <v>870</v>
      </c>
    </row>
    <row r="20" spans="1:6" x14ac:dyDescent="0.2">
      <c r="A20" s="17" t="s">
        <v>877</v>
      </c>
      <c r="B20" s="52">
        <v>2.8840315031266057E-8</v>
      </c>
      <c r="C20" s="52">
        <v>13.8</v>
      </c>
      <c r="D20" s="64">
        <f>B20*EXP(-C20*1000/R_gas*(1/TKc-1/T_ref))</f>
        <v>2.884031503127e-08</v>
      </c>
      <c r="E20" s="84" t="s">
        <v>870</v>
      </c>
    </row>
    <row r="21" spans="1:6" x14ac:dyDescent="0.2">
      <c r="A21" s="17" t="s">
        <v>878</v>
      </c>
      <c r="B21" s="18" t="s">
        <v>879</v>
      </c>
      <c r="C21" s="19" t="s">
        <v>880</v>
      </c>
      <c r="D21" s="149">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146">
        <v>2.2999999999999998</v>
      </c>
      <c r="E25" s="51" t="s">
        <v>884</v>
      </c>
    </row>
    <row r="26" spans="1:6" x14ac:dyDescent="0.2">
      <c r="A26" s="17" t="s">
        <v>892</v>
      </c>
      <c r="B26" s="52">
        <v>141.96</v>
      </c>
      <c r="C26" s="52">
        <v>2.895</v>
      </c>
      <c r="D26" s="146">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146">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146">
        <v>0.5</v>
      </c>
      <c r="E31" s="51" t="s">
        <v>885</v>
      </c>
    </row>
    <row r="32" spans="1:6" x14ac:dyDescent="0.2">
      <c r="A32" s="17" t="s">
        <v>898</v>
      </c>
      <c r="B32" s="52">
        <v>132.13999999999999</v>
      </c>
      <c r="C32" s="52">
        <v>0.94299999999999995</v>
      </c>
      <c r="D32" s="146">
        <v>0.47</v>
      </c>
      <c r="E32" s="51" t="s">
        <v>885</v>
      </c>
    </row>
    <row r="33" spans="1:5" ht="24" x14ac:dyDescent="0.2">
      <c r="A33" s="17" t="s">
        <v>899</v>
      </c>
      <c r="B33" s="52">
        <v>110.98</v>
      </c>
      <c r="C33" s="20">
        <v>0</v>
      </c>
      <c r="D33" s="146">
        <v>0.01</v>
      </c>
      <c r="E33" s="51" t="s">
        <v>1062</v>
      </c>
    </row>
    <row r="35" spans="1:5" x14ac:dyDescent="0.2">
      <c r="A35" s="17" t="s">
        <v>900</v>
      </c>
      <c r="B35" s="18" t="s">
        <v>901</v>
      </c>
      <c r="C35" s="19" t="s">
        <v>902</v>
      </c>
      <c r="D35" s="149">
        <f>mc_Na2HPO4/MW_Na2HPO4+mc_NaH2PO4_2H2O/MW_NaH2PO4_2H2O</f>
        <v>0.04000719577</v>
      </c>
      <c r="E35" s="51" t="s">
        <v>903</v>
      </c>
    </row>
    <row r="36" spans="1:5" x14ac:dyDescent="0.2">
      <c r="A36" s="17" t="s">
        <v>904</v>
      </c>
      <c r="B36" s="18" t="s">
        <v>905</v>
      </c>
      <c r="C36" s="19" t="s">
        <v>906</v>
      </c>
      <c r="D36" s="149">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149">
        <f>2*mc_NH42SO4/MW_NH42SO4</f>
        <v>0.014272741032</v>
      </c>
      <c r="E37" s="51" t="s">
        <v>911</v>
      </c>
    </row>
    <row r="38" spans="1:5" x14ac:dyDescent="0.2">
      <c r="A38" s="17" t="s">
        <v>912</v>
      </c>
      <c r="B38" s="18" t="s">
        <v>913</v>
      </c>
      <c r="C38" s="19" t="s">
        <v>914</v>
      </c>
      <c r="D38" s="149">
        <f>0</f>
        <v>0.0</v>
      </c>
      <c r="E38" s="51" t="s">
        <v>915</v>
      </c>
    </row>
    <row r="39" spans="1:5" x14ac:dyDescent="0.2">
      <c r="A39" s="17" t="s">
        <v>916</v>
      </c>
      <c r="B39" s="18" t="s">
        <v>917</v>
      </c>
      <c r="C39" s="19" t="s">
        <v>918</v>
      </c>
      <c r="D39" s="149">
        <f>udg_KH2PO4/MW_KH2PO4+udg_Na2HPO4/MW_Na2HPO4</f>
        <v>0.037329366919</v>
      </c>
      <c r="E39" s="51" t="s">
        <v>919</v>
      </c>
    </row>
    <row r="40" spans="1:5" x14ac:dyDescent="0.2">
      <c r="A40" s="17" t="s">
        <v>920</v>
      </c>
      <c r="B40" s="18" t="s">
        <v>921</v>
      </c>
      <c r="C40" s="19" t="s">
        <v>922</v>
      </c>
      <c r="D40" s="149">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149">
        <f>2*udg_NH42SO4/MW_NH42SO4</f>
        <v>0.007113667323</v>
      </c>
      <c r="E41" s="51" t="s">
        <v>927</v>
      </c>
    </row>
    <row r="42" spans="1:5" x14ac:dyDescent="0.2">
      <c r="A42" s="17" t="s">
        <v>928</v>
      </c>
      <c r="B42" s="18" t="s">
        <v>929</v>
      </c>
      <c r="C42" s="19" t="s">
        <v>930</v>
      </c>
      <c r="D42" s="149">
        <f>2*udg_CaCl2/MW_CaCl2</f>
        <v>0.0001802126509281</v>
      </c>
      <c r="E42" s="51" t="s">
        <v>931</v>
      </c>
    </row>
    <row r="44" spans="1:5" x14ac:dyDescent="0.2">
      <c r="A44" s="17" t="s">
        <v>932</v>
      </c>
      <c r="B44" s="18" t="s">
        <v>933</v>
      </c>
      <c r="C44" s="19" t="s">
        <v>934</v>
      </c>
      <c r="D44" s="149">
        <f>IF(Summary!$D$5="MC02",SID_mc02,IF(Summary!$D$5="UdG phosphate",SID_udg,NA()))</f>
        <v>0.063142947676</v>
      </c>
      <c r="E44" s="51" t="s">
        <v>935</v>
      </c>
    </row>
    <row r="45" spans="1:5" x14ac:dyDescent="0.2">
      <c r="A45" s="17" t="s">
        <v>936</v>
      </c>
      <c r="B45" s="18" t="s">
        <v>937</v>
      </c>
      <c r="C45" s="19" t="s">
        <v>938</v>
      </c>
      <c r="D45" s="149">
        <f>IF(Summary!$D$5="MC02",PT_mc02,IF(Summary!$D$5="UdG phosphate",PT_udg,NA()))</f>
        <v>0.037329366919</v>
      </c>
      <c r="E45" s="51" t="s">
        <v>939</v>
      </c>
    </row>
    <row r="46" spans="1:5" x14ac:dyDescent="0.2">
      <c r="A46" s="17" t="s">
        <v>940</v>
      </c>
      <c r="B46" s="18" t="s">
        <v>941</v>
      </c>
      <c r="C46" s="19" t="s">
        <v>942</v>
      </c>
      <c r="D46" s="149">
        <f>IF(Summary!$D$5="MC02",NT_mc02,IF(Summary!$D$5="UdG phosphate",NT_udg,NA()))</f>
        <v>0.007113667323</v>
      </c>
      <c r="E46" s="51" t="s">
        <v>943</v>
      </c>
    </row>
    <row r="47" spans="1:5" x14ac:dyDescent="0.2">
      <c r="A47" s="17" t="s">
        <v>944</v>
      </c>
      <c r="B47" s="18" t="s">
        <v>945</v>
      </c>
      <c r="C47" s="19" t="s">
        <v>946</v>
      </c>
      <c r="D47" s="149">
        <f>IF(Summary!$D$5="MC02",Cl_mc02,IF(Summary!$D$5="UdG phosphate",Cl_udg,NA()))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0.033207024661</v>
      </c>
      <c r="C50" s="64">
        <f>IF(AND(B50&gt;=0,B51&lt;0),A50+pH_step*B50/(B50-B51),0)</f>
        <v>0.0</v>
      </c>
    </row>
    <row r="51" spans="1:3" x14ac:dyDescent="0.2">
      <c r="A51" s="20">
        <v>4.0999999999999996</v>
      </c>
      <c r="B51" s="64">
        <f t="shared" si="1"/>
        <v>0.033087302614</v>
      </c>
      <c r="C51" s="64">
        <f>IF(AND(B51&gt;=0,B52&lt;0),A51+pH_step*B51/(B51-B52),0)</f>
        <v>0.0</v>
      </c>
    </row>
    <row r="52" spans="1:3" x14ac:dyDescent="0.2">
      <c r="A52" s="20">
        <v>4.2</v>
      </c>
      <c r="B52" s="64">
        <f t="shared" si="1"/>
        <v>0.032975861045</v>
      </c>
      <c r="C52" s="64">
        <f>IF(AND(B52&gt;=0,B53&lt;0),A52+pH_step*B52/(B52-B53),0)</f>
        <v>0.0</v>
      </c>
    </row>
    <row r="53" spans="1:3" x14ac:dyDescent="0.2">
      <c r="A53" s="20">
        <v>4.3</v>
      </c>
      <c r="B53" s="64">
        <f t="shared" si="1"/>
        <v>0.032866881589</v>
      </c>
      <c r="C53" s="64">
        <f>IF(AND(B53&gt;=0,B54&lt;0),A53+pH_step*B53/(B53-B54),0)</f>
        <v>0.0</v>
      </c>
    </row>
    <row r="54" spans="1:3" x14ac:dyDescent="0.2">
      <c r="A54" s="20">
        <v>4.4000000000000004</v>
      </c>
      <c r="B54" s="64">
        <f t="shared" si="1"/>
        <v>0.03275465025</v>
      </c>
      <c r="C54" s="64">
        <f>IF(AND(B54&gt;=0,B55&lt;0),A54+pH_step*B54/(B54-B55),0)</f>
        <v>0.0</v>
      </c>
    </row>
    <row r="55" spans="1:3" x14ac:dyDescent="0.2">
      <c r="A55" s="20">
        <v>4.5</v>
      </c>
      <c r="B55" s="64">
        <f t="shared" si="1"/>
        <v>0.032633272003</v>
      </c>
      <c r="C55" s="64">
        <f>IF(AND(B55&gt;=0,B56&lt;0),A55+pH_step*B55/(B55-B56),0)</f>
        <v>0.0</v>
      </c>
    </row>
    <row r="56" spans="1:3" x14ac:dyDescent="0.2">
      <c r="A56" s="20">
        <v>4.5999999999999996</v>
      </c>
      <c r="B56" s="64">
        <f t="shared" si="1"/>
        <v>0.032496374136</v>
      </c>
      <c r="C56" s="64">
        <f>IF(AND(B56&gt;=0,B57&lt;0),A56+pH_step*B56/(B56-B57),0)</f>
        <v>0.0</v>
      </c>
    </row>
    <row r="57" spans="1:3" x14ac:dyDescent="0.2">
      <c r="A57" s="20">
        <v>4.7</v>
      </c>
      <c r="B57" s="64">
        <f t="shared" si="1"/>
        <v>0.032336786093</v>
      </c>
      <c r="C57" s="64">
        <f>IF(AND(B57&gt;=0,B58&lt;0),A57+pH_step*B57/(B57-B58),0)</f>
        <v>0.0</v>
      </c>
    </row>
    <row r="58" spans="1:3" x14ac:dyDescent="0.2">
      <c r="A58" s="20">
        <v>4.8</v>
      </c>
      <c r="B58" s="64">
        <f t="shared" si="1"/>
        <v>0.032146182686</v>
      </c>
      <c r="C58" s="64">
        <f>IF(AND(B58&gt;=0,B59&lt;0),A58+pH_step*B58/(B58-B59),0)</f>
        <v>0.0</v>
      </c>
    </row>
    <row r="59" spans="1:3" x14ac:dyDescent="0.2">
      <c r="A59" s="20">
        <v>4.9000000000000004</v>
      </c>
      <c r="B59" s="64">
        <f t="shared" si="1"/>
        <v>0.031914676733</v>
      </c>
      <c r="C59" s="64">
        <f>IF(AND(B59&gt;=0,B60&lt;0),A59+pH_step*B59/(B59-B60),0)</f>
        <v>0.0</v>
      </c>
    </row>
    <row r="60" spans="1:3" x14ac:dyDescent="0.2">
      <c r="A60" s="20">
        <v>5</v>
      </c>
      <c r="B60" s="64">
        <f t="shared" si="1"/>
        <v>0.031630346466</v>
      </c>
      <c r="C60" s="64">
        <f>IF(AND(B60&gt;=0,B61&lt;0),A60+pH_step*B60/(B60-B61),0)</f>
        <v>0.0</v>
      </c>
    </row>
    <row r="61" spans="1:3" x14ac:dyDescent="0.2">
      <c r="A61" s="20">
        <v>5.0999999999999996</v>
      </c>
      <c r="B61" s="64">
        <f t="shared" si="1"/>
        <v>0.031278682881</v>
      </c>
      <c r="C61" s="64">
        <f>IF(AND(B61&gt;=0,B62&lt;0),A61+pH_step*B61/(B61-B62),0)</f>
        <v>0.0</v>
      </c>
    </row>
    <row r="62" spans="1:3" x14ac:dyDescent="0.2">
      <c r="A62" s="20">
        <v>5.2</v>
      </c>
      <c r="B62" s="64">
        <f t="shared" si="1"/>
        <v>0.030841942713</v>
      </c>
      <c r="C62" s="64">
        <f>IF(AND(B62&gt;=0,B63&lt;0),A62+pH_step*B62/(B62-B63),0)</f>
        <v>0.0</v>
      </c>
    </row>
    <row r="63" spans="1:3" x14ac:dyDescent="0.2">
      <c r="A63" s="20">
        <v>5.3</v>
      </c>
      <c r="B63" s="64">
        <f t="shared" si="1"/>
        <v>0.030298394749</v>
      </c>
      <c r="C63" s="64">
        <f>IF(AND(B63&gt;=0,B64&lt;0),A63+pH_step*B63/(B63-B64),0)</f>
        <v>0.0</v>
      </c>
    </row>
    <row r="64" spans="1:3" x14ac:dyDescent="0.2">
      <c r="A64" s="20">
        <v>5.4</v>
      </c>
      <c r="B64" s="64">
        <f t="shared" si="1"/>
        <v>0.029621451096</v>
      </c>
      <c r="C64" s="64">
        <f>IF(AND(B64&gt;=0,B65&lt;0),A64+pH_step*B64/(B64-B65),0)</f>
        <v>0.0</v>
      </c>
    </row>
    <row r="65" spans="1:3" x14ac:dyDescent="0.2">
      <c r="A65" s="20">
        <v>5.5</v>
      </c>
      <c r="B65" s="64">
        <f t="shared" si="1"/>
        <v>0.028778681611</v>
      </c>
      <c r="C65" s="64">
        <f>IF(AND(B65&gt;=0,B66&lt;0),A65+pH_step*B65/(B65-B66),0)</f>
        <v>0.0</v>
      </c>
    </row>
    <row r="66" spans="1:3" x14ac:dyDescent="0.2">
      <c r="A66" s="20">
        <v>5.6</v>
      </c>
      <c r="B66" s="64">
        <f t="shared" si="1"/>
        <v>0.02773071881</v>
      </c>
      <c r="C66" s="64">
        <f>IF(AND(B66&gt;=0,B67&lt;0),A66+pH_step*B66/(B66-B67),0)</f>
        <v>0.0</v>
      </c>
    </row>
    <row r="67" spans="1:3" x14ac:dyDescent="0.2">
      <c r="A67" s="20">
        <v>5.7</v>
      </c>
      <c r="B67" s="64">
        <f t="shared" si="1"/>
        <v>0.026430071236</v>
      </c>
      <c r="C67" s="64">
        <f>IF(AND(B67&gt;=0,B68&lt;0),A67+pH_step*B67/(B67-B68),0)</f>
        <v>0.0</v>
      </c>
    </row>
    <row r="68" spans="1:3" x14ac:dyDescent="0.2">
      <c r="A68" s="20">
        <v>5.8</v>
      </c>
      <c r="B68" s="64">
        <f t="shared" si="1"/>
        <v>0.024819871701</v>
      </c>
      <c r="C68" s="64">
        <f>IF(AND(B68&gt;=0,B69&lt;0),A68+pH_step*B68/(B68-B69),0)</f>
        <v>0.0</v>
      </c>
    </row>
    <row r="69" spans="1:3" x14ac:dyDescent="0.2">
      <c r="A69" s="20">
        <v>5.9</v>
      </c>
      <c r="B69" s="64">
        <f t="shared" si="1"/>
        <v>0.022832585328</v>
      </c>
      <c r="C69" s="64">
        <f>IF(AND(B69&gt;=0,B70&lt;0),A69+pH_step*B69/(B69-B70),0)</f>
        <v>0.0</v>
      </c>
    </row>
    <row r="70" spans="1:3" x14ac:dyDescent="0.2">
      <c r="A70" s="20">
        <v>6</v>
      </c>
      <c r="B70" s="64">
        <f t="shared" si="1"/>
        <v>0.020388677363</v>
      </c>
      <c r="C70" s="64">
        <f>IF(AND(B70&gt;=0,B71&lt;0),A70+pH_step*B70/(B70-B71),0)</f>
        <v>0.0</v>
      </c>
    </row>
    <row r="71" spans="1:3" x14ac:dyDescent="0.2">
      <c r="A71" s="20">
        <v>6.1</v>
      </c>
      <c r="B71" s="64">
        <f t="shared" si="1"/>
        <v>0.017395173018</v>
      </c>
      <c r="C71" s="64">
        <f>IF(AND(B71&gt;=0,B72&lt;0),A71+pH_step*B71/(B71-B72),0)</f>
        <v>0.0</v>
      </c>
    </row>
    <row r="72" spans="1:3" x14ac:dyDescent="0.2">
      <c r="A72" s="20">
        <v>6.2</v>
      </c>
      <c r="B72" s="64">
        <f t="shared" si="1"/>
        <v>0.013743909634</v>
      </c>
      <c r="C72" s="64">
        <f>IF(AND(B72&gt;=0,B73&lt;0),A72+pH_step*B72/(B72-B73),0)</f>
        <v>0.0</v>
      </c>
    </row>
    <row r="73" spans="1:3" x14ac:dyDescent="0.2">
      <c r="A73" s="20">
        <v>6.3</v>
      </c>
      <c r="B73" s="64">
        <f t="shared" si="1"/>
        <v>0.009309071874</v>
      </c>
      <c r="C73" s="64">
        <f>IF(AND(B73&gt;=0,B74&lt;0),A73+pH_step*B73/(B73-B74),0)</f>
        <v>0.0</v>
      </c>
    </row>
    <row r="74" spans="1:3" x14ac:dyDescent="0.2">
      <c r="A74" s="20">
        <v>6.4</v>
      </c>
      <c r="B74" s="64">
        <f t="shared" si="1"/>
        <v>0.003943325701</v>
      </c>
      <c r="C74" s="64">
        <f>IF(AND(B74&gt;=0,B75&lt;0),A74+pH_step*B74/(B74-B75),0)</f>
        <v>6.460931418262</v>
      </c>
    </row>
    <row r="75" spans="1:3" x14ac:dyDescent="0.2">
      <c r="A75" s="20">
        <v>6.5</v>
      </c>
      <c r="B75" s="64">
        <f t="shared" si="1"/>
        <v>-0.002528418784</v>
      </c>
      <c r="C75" s="64">
        <f>IF(AND(B75&gt;=0,B76&lt;0),A75+pH_step*B75/(B75-B76),0)</f>
        <v>0.0</v>
      </c>
    </row>
    <row r="76" spans="1:3" x14ac:dyDescent="0.2">
      <c r="A76" s="20">
        <v>6.6</v>
      </c>
      <c r="B76" s="64">
        <f t="shared" si="1"/>
        <v>-0.010318783037</v>
      </c>
      <c r="C76" s="64">
        <f>IF(AND(B76&gt;=0,B77&lt;0),A76+pH_step*B76/(B76-B77),0)</f>
        <v>0.0</v>
      </c>
    </row>
    <row r="77" spans="1:3" x14ac:dyDescent="0.2">
      <c r="A77" s="20">
        <v>6.7</v>
      </c>
      <c r="B77" s="64">
        <f t="shared" si="1"/>
        <v>-0.019692404515</v>
      </c>
      <c r="C77" s="64">
        <f>IF(AND(B77&gt;=0,B78&lt;0),A77+pH_step*B77/(B77-B78),0)</f>
        <v>0.0</v>
      </c>
    </row>
    <row r="78" spans="1:3" x14ac:dyDescent="0.2">
      <c r="A78" s="20">
        <v>6.8</v>
      </c>
      <c r="B78" s="64">
        <f t="shared" si="1"/>
        <v>-0.03098606724</v>
      </c>
      <c r="C78" s="64">
        <f>IF(AND(B78&gt;=0,B79&lt;0),A78+pH_step*B78/(B78-B79),0)</f>
        <v>0.0</v>
      </c>
    </row>
    <row r="79" spans="1:3" x14ac:dyDescent="0.2">
      <c r="A79" s="20">
        <v>6.9</v>
      </c>
      <c r="B79" s="64">
        <f t="shared" si="1"/>
        <v>-0.044635046365</v>
      </c>
      <c r="C79" s="64">
        <f>IF(AND(B79&gt;=0,B80&lt;0),A79+pH_step*B79/(B79-B80),0)</f>
        <v>0.0</v>
      </c>
    </row>
    <row r="80" spans="1:3" x14ac:dyDescent="0.2">
      <c r="A80" s="20">
        <v>7</v>
      </c>
      <c r="B80" s="64">
        <f t="shared" si="1"/>
        <v>-0.061205970764</v>
      </c>
      <c r="C80" s="64">
        <f>IF(AND(B80&gt;=0,B81&lt;0),A80+pH_step*B80/(B80-B81),0)</f>
        <v>0.0</v>
      </c>
    </row>
    <row r="81" spans="1:3" x14ac:dyDescent="0.2">
      <c r="A81" s="20">
        <v>7.1</v>
      </c>
      <c r="B81" s="64">
        <f t="shared" si="1"/>
        <v>-0.08143663178</v>
      </c>
      <c r="C81" s="64">
        <f>IF(AND(B81&gt;=0,B82&lt;0),A81+pH_step*B81/(B81-B82),0)</f>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-0.10628384514</v>
      </c>
      <c r="C82" s="64">
        <f>IF(AND(B82&gt;=0,B83&lt;0),A82+pH_step*B82/(B82-B83),0)</f>
        <v>0.0</v>
      </c>
    </row>
    <row r="83" spans="1:3" x14ac:dyDescent="0.2">
      <c r="A83" s="20">
        <v>7.3</v>
      </c>
      <c r="B83" s="64">
        <f t="shared" si="3"/>
        <v>-0.136981674648</v>
      </c>
      <c r="C83" s="64">
        <f>IF(AND(B83&gt;=0,B84&lt;0),A83+pH_step*B83/(B83-B84),0)</f>
        <v>0.0</v>
      </c>
    </row>
    <row r="84" spans="1:3" x14ac:dyDescent="0.2">
      <c r="A84" s="20">
        <v>7.4</v>
      </c>
      <c r="B84" s="64">
        <f t="shared" si="3"/>
        <v>-0.175113886331</v>
      </c>
      <c r="C84" s="64">
        <f>IF(AND(B84&gt;=0,B85&lt;0),A84+pH_step*B84/(B84-B85),0)</f>
        <v>0.0</v>
      </c>
    </row>
    <row r="85" spans="1:3" x14ac:dyDescent="0.2">
      <c r="A85" s="20">
        <v>7.5</v>
      </c>
      <c r="B85" s="64">
        <f t="shared" si="3"/>
        <v>-0.222706290329</v>
      </c>
      <c r="C85" s="64">
        <f>IF(AND(B85&gt;=0,B86&lt;0),A85+pH_step*B85/(B85-B86),0)</f>
        <v>0.0</v>
      </c>
    </row>
    <row r="86" spans="1:3" x14ac:dyDescent="0.2">
      <c r="A86" s="20">
        <v>7.6</v>
      </c>
      <c r="B86" s="64">
        <f t="shared" si="3"/>
        <v>-0.282346696413</v>
      </c>
      <c r="C86" s="64">
        <f>IF(AND(B86&gt;=0,B87&lt;0),A86+pH_step*B86/(B86-B87),0)</f>
        <v>0.0</v>
      </c>
    </row>
    <row r="87" spans="1:3" x14ac:dyDescent="0.2">
      <c r="A87" s="20">
        <v>7.7</v>
      </c>
      <c r="B87" s="64">
        <f t="shared" si="3"/>
        <v>-0.357342842397</v>
      </c>
      <c r="C87" s="64">
        <f>IF(AND(B87&gt;=0,B88&lt;0),A87+pH_step*B87/(B87-B88),0)</f>
        <v>0.0</v>
      </c>
    </row>
    <row r="88" spans="1:3" x14ac:dyDescent="0.2">
      <c r="A88" s="20">
        <v>7.8</v>
      </c>
      <c r="B88" s="64">
        <f t="shared" si="3"/>
        <v>-0.45193235682</v>
      </c>
      <c r="C88" s="64">
        <f>IF(AND(B88&gt;=0,B89&lt;0),A88+pH_step*B88/(B88-B89),0)</f>
        <v>0.0</v>
      </c>
    </row>
    <row r="89" spans="1:3" x14ac:dyDescent="0.2">
      <c r="A89" s="20">
        <v>7.9</v>
      </c>
      <c r="B89" s="64">
        <f t="shared" si="3"/>
        <v>-0.571564309028</v>
      </c>
      <c r="C89" s="64">
        <f>IF(AND(B89&gt;=0,B90&lt;0),A89+pH_step*B89/(B89-B90),0)</f>
        <v>0.0</v>
      </c>
    </row>
    <row r="90" spans="1:3" x14ac:dyDescent="0.2">
      <c r="A90" s="20">
        <v>8</v>
      </c>
      <c r="B90" s="64">
        <f t="shared" si="3"/>
        <v>-0.723280193768</v>
      </c>
      <c r="C90" s="64">
        <f>IF(AND(B90&gt;=0,B91&lt;0),A90+pH_step*B90/(B90-B91),0)</f>
        <v>0.0</v>
      </c>
    </row>
    <row r="91" spans="1:3" x14ac:dyDescent="0.2">
      <c r="A91" s="20">
        <v>8.1</v>
      </c>
      <c r="B91" s="64">
        <f t="shared" si="3"/>
        <v>-0.916234780256</v>
      </c>
      <c r="C91" s="64">
        <f>IF(AND(B91&gt;=0,B92&lt;0),A91+pH_step*B91/(B91-B92),0)</f>
        <v>0.0</v>
      </c>
    </row>
    <row r="92" spans="1:3" x14ac:dyDescent="0.2">
      <c r="A92" s="20">
        <v>8.1999999999999993</v>
      </c>
      <c r="B92" s="64">
        <f t="shared" si="3"/>
        <v>-1.162416400965</v>
      </c>
      <c r="C92" s="64">
        <f>IF(AND(B92&gt;=0,B93&lt;0),A92+pH_step*B92/(B92-B93),0)</f>
        <v>0.0</v>
      </c>
    </row>
    <row r="93" spans="1:3" x14ac:dyDescent="0.2">
      <c r="A93" s="20">
        <v>8.3000000000000007</v>
      </c>
      <c r="B93" s="64">
        <f t="shared" si="3"/>
        <v>-1.477655509108</v>
      </c>
      <c r="C93" s="64">
        <f>IF(AND(B93&gt;=0,B94&lt;0),A93+pH_step*B93/(B93-B94),0)</f>
        <v>0.0</v>
      </c>
    </row>
    <row r="94" spans="1:3" x14ac:dyDescent="0.2">
      <c r="A94" s="20">
        <v>8.4</v>
      </c>
      <c r="B94" s="64">
        <f t="shared" si="3"/>
        <v>-1.883055266022</v>
      </c>
      <c r="C94" s="64">
        <f>IF(AND(B94&gt;=0,B95&lt;0),A94+pH_step*B94/(B94-B95),0)</f>
        <v>0.0</v>
      </c>
    </row>
    <row r="95" spans="1:3" x14ac:dyDescent="0.2">
      <c r="A95" s="20">
        <v>8.5</v>
      </c>
      <c r="B95" s="64">
        <f t="shared" si="3"/>
        <v>-2.407047296867</v>
      </c>
      <c r="C95" s="64">
        <f>IF(AND(B95&gt;=0,B96&lt;0),A95+pH_step*B95/(B95-B96),0)</f>
        <v>0.0</v>
      </c>
    </row>
    <row r="96" spans="1:3" x14ac:dyDescent="0.2">
      <c r="A96" s="20">
        <v>8.6</v>
      </c>
      <c r="B96" s="64">
        <f t="shared" si="3"/>
        <v>-3.088383384182</v>
      </c>
      <c r="C96" s="64">
        <f>IF(AND(B96&gt;=0,B97&lt;0),A96+pH_step*B96/(B96-B97),0)</f>
        <v>0.0</v>
      </c>
    </row>
    <row r="97" spans="1:7" x14ac:dyDescent="0.2">
      <c r="A97" s="20">
        <v>8.6999999999999993</v>
      </c>
      <c r="B97" s="64">
        <f t="shared" si="3"/>
        <v>-3.980541523763</v>
      </c>
      <c r="C97" s="64">
        <f>IF(AND(B97&gt;=0,B98&lt;0),A97+pH_step*B97/(B97-B98),0)</f>
        <v>0.0</v>
      </c>
    </row>
    <row r="98" spans="1:7" x14ac:dyDescent="0.2">
      <c r="A98" s="20">
        <v>8.8000000000000007</v>
      </c>
      <c r="B98" s="64">
        <f t="shared" si="3"/>
        <v>-5.158286793953</v>
      </c>
      <c r="C98" s="64">
        <f>IF(AND(B98&gt;=0,B99&lt;0),A98+pH_step*B98/(B98-B99),0)</f>
        <v>0.0</v>
      </c>
    </row>
    <row r="99" spans="1:7" x14ac:dyDescent="0.2">
      <c r="A99" s="20">
        <v>8.9</v>
      </c>
      <c r="B99" s="64">
        <f t="shared" si="3"/>
        <v>-6.727538125688</v>
      </c>
      <c r="C99" s="64">
        <f>IF(AND(B99&gt;=0,B100&lt;0),A99+pH_step*B99/(B99-B100),0)</f>
        <v>0.0</v>
      </c>
    </row>
    <row r="100" spans="1:7" x14ac:dyDescent="0.2">
      <c r="A100" s="20">
        <v>9</v>
      </c>
      <c r="B100" s="64">
        <f t="shared" si="3"/>
        <v>-8.840337015349</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inlineStr">
        <is>
          <t xml:space="preserve">OPERATING pH (buffered, cycle average)</t>
        </is>
      </c>
      <c r="B103" s="18" t="s">
        <v>951</v>
      </c>
      <c r="C103" s="19" t="s">
        <v>952</v>
      </c>
      <c r="D103" s="149">
        <f>IF(n_cross=1,SUM(C50:C100),NA())</f>
        <v>6.460931418262</v>
      </c>
      <c r="E103" s="51" t="s">
        <v>1878</v>
      </c>
      <c r="F103" s="101" t="inlineStr">
        <is>
          <t xml:space="preserve">pH at the cycle-average dissolved CO₂ of the schedule in use. The trough just after a CO₂ pulse is lower; a probe with response lag reads near this value, not the trough.</t>
        </is>
      </c>
    </row>
    <row r="104" spans="1:7" ht="36" x14ac:dyDescent="0.2">
      <c r="A104" s="17" t="s">
        <v>954</v>
      </c>
      <c r="B104" s="18" t="s">
        <v>955</v>
      </c>
      <c r="C104" s="19" t="s">
        <v>956</v>
      </c>
      <c r="D104" s="149">
        <f>1/(1+KaHOCl_c/10^-pH_op)</f>
        <v>0.878640899134</v>
      </c>
      <c r="E104" s="51" t="s">
        <v>1879</v>
      </c>
    </row>
    <row r="105" spans="1:7" ht="36" x14ac:dyDescent="0.2">
      <c r="A105" s="17" t="s">
        <v>1003</v>
      </c>
      <c r="B105" s="18" t="s">
        <v>1004</v>
      </c>
      <c r="C105" s="19" t="s">
        <v>1005</v>
      </c>
      <c r="D105" s="149">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149">
        <f>Iappc/(2*Fcc)*M_HOCl*3600/VLc</f>
        <v>371.244905447914</v>
      </c>
      <c r="E107" s="51" t="inlineStr">
        <is>
          <t xml:space="preserve">Naïve FE=1 upper bound (all anode current → Cl₂). Superseded by the mass-transport-limited chlorine current I_Cl (D133) and the production rate P_HOCl (D134). Kept only to show the overstatement (~40× at the current operating point).</t>
        </is>
      </c>
      <c r="G107" s="69" t="s">
        <v>1009</v>
      </c>
    </row>
    <row r="108" spans="1:7" ht="284" x14ac:dyDescent="0.2">
      <c r="A108" s="17" t="s">
        <v>960</v>
      </c>
      <c r="B108" s="18" t="s">
        <v>961</v>
      </c>
      <c r="C108" s="19" t="s">
        <v>962</v>
      </c>
      <c r="D108" s="149">
        <f>1/(bleach_rate)*60</f>
        <v>0.161618379457</v>
      </c>
      <c r="E108" s="51" t="s">
        <v>963</v>
      </c>
      <c r="G108" s="69" t="s">
        <v>1010</v>
      </c>
    </row>
    <row r="109" spans="1:7" ht="204" x14ac:dyDescent="0.2">
      <c r="A109" s="17" t="s">
        <v>964</v>
      </c>
      <c r="B109" s="18" t="s">
        <v>965</v>
      </c>
      <c r="C109" s="19" t="s">
        <v>966</v>
      </c>
      <c r="D109" s="64"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0.34 mg/L as Cl₂ (band 0.01-0.64);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IF(pH_meas&lt;pH_band_lo,"pH BELOW HOB optimum (&lt;"&amp;TEXT(pH_band_lo,"0.0")&amp;") — reduce the CO₂ dose or lengthen the interval",IF(pH_meas&gt;pH_band_hi,"pH above optimum (&gt;"&amp;TEXT(pH_band_hi,"0.0")&amp;")","pH in HOB band "&amp;TEXT(pH_band_lo,"0.0")&amp;"–"&amp;TEXT(pH_band_hi,"0.0")))</f>
        <v>pH in HOB band 6.5–7.5</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149">
        <f>pH_Cl*pH_fHOCl*M_HOCl</f>
        <v>8.306632108229</v>
      </c>
      <c r="E125" s="51" t="s">
        <v>1460</v>
      </c>
    </row>
    <row r="127" spans="1:5" ht="16" x14ac:dyDescent="0.2">
      <c r="A127" s="104" t="s">
        <v>1064</v>
      </c>
    </row>
    <row r="128" spans="1:5" ht="60" x14ac:dyDescent="0.2">
      <c r="A128" s="17" t="s">
        <v>1065</v>
      </c>
      <c r="B128" s="18" t="s">
        <v>1066</v>
      </c>
      <c r="C128" s="19" t="s">
        <v>1067</v>
      </c>
      <c r="D128" s="146">
        <v>0.5</v>
      </c>
      <c r="E128" s="51" t="s">
        <v>1461</v>
      </c>
    </row>
    <row r="129" spans="1:5" ht="48" x14ac:dyDescent="0.2">
      <c r="A129" s="17" t="s">
        <v>1068</v>
      </c>
      <c r="B129" s="18" t="s">
        <v>1069</v>
      </c>
      <c r="C129" s="19" t="s">
        <v>1070</v>
      </c>
      <c r="D129" s="146">
        <f>km_O2_c*(D_Cl/D_O2_c)^km_exp_c</f>
        <v>0.004044131217</v>
      </c>
      <c r="E129" s="51" t="inlineStr">
        <is>
          <t xml:space="preserve">Scaled from the electrode O₂ mass-transfer coefficient by (D_Cl/D_O2)^0.644, the same correlation as km_HPO4/km_HCO3 (rows 275–276), so it follows a measured km_O2.</t>
        </is>
      </c>
    </row>
    <row r="130" spans="1:5" ht="24" x14ac:dyDescent="0.2">
      <c r="A130" s="17" t="s">
        <v>1071</v>
      </c>
      <c r="B130" s="18" t="s">
        <v>1072</v>
      </c>
      <c r="C130" s="19" t="s">
        <v>1073</v>
      </c>
      <c r="D130" s="141">
        <f>Electrochemistry!$D$46</f>
        <v>2.01337839464</v>
      </c>
      <c r="E130" s="51" t="s">
        <v>1392</v>
      </c>
    </row>
    <row r="131" spans="1:5" x14ac:dyDescent="0.2">
      <c r="A131" s="17" t="s">
        <v>1074</v>
      </c>
      <c r="B131" s="18" t="s">
        <v>1075</v>
      </c>
      <c r="C131" s="19" t="s">
        <v>1076</v>
      </c>
      <c r="D131" s="149">
        <f>Iappc*FE_CER</f>
        <v>0.002845</v>
      </c>
      <c r="E131" s="51" t="s">
        <v>1077</v>
      </c>
    </row>
    <row r="132" spans="1:5" ht="48" x14ac:dyDescent="0.2">
      <c r="A132" s="17" t="s">
        <v>1078</v>
      </c>
      <c r="B132" s="18" t="s">
        <v>1079</v>
      </c>
      <c r="C132" s="19" t="s">
        <v>1076</v>
      </c>
      <c r="D132" s="149">
        <f>n_e_Cl*Fcc*km_Cl*(pH_Cl*Cl_free_frac/1000)*A_anode</f>
        <v>9.584998043788e-05</v>
      </c>
      <c r="E132" s="75" t="inlineStr">
        <is>
          <t xml:space="preserve">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is>
      </c>
    </row>
    <row r="133" spans="1:5" x14ac:dyDescent="0.2">
      <c r="A133" s="17" t="s">
        <v>1080</v>
      </c>
      <c r="B133" s="18" t="s">
        <v>1081</v>
      </c>
      <c r="C133" s="19" t="s">
        <v>1076</v>
      </c>
      <c r="D133" s="149">
        <f>MIN(I_Cl_FE,I_Cl_mt)</f>
        <v>9.584998043788e-05</v>
      </c>
      <c r="E133" s="51" t="s">
        <v>1082</v>
      </c>
    </row>
    <row r="134" spans="1:5" x14ac:dyDescent="0.2">
      <c r="A134" s="17" t="s">
        <v>1083</v>
      </c>
      <c r="B134" s="18" t="s">
        <v>1084</v>
      </c>
      <c r="C134" s="19" t="s">
        <v>1085</v>
      </c>
      <c r="D134" s="149">
        <f>I_Cl/(n_e_Cl*Fcc*VLc)</f>
        <v>3.311383479466e-08</v>
      </c>
      <c r="E134" s="51" t="inlineStr">
        <is>
          <t xml:space="preserve">P_HOCl = I_Cl/(n_e_Cl·F·V), n_e_Cl = 2 on every route (D148); at the transport limit this is k_m·[Cl⁻]·A/V, one HOCl per arriving chloride.</t>
        </is>
      </c>
    </row>
    <row r="135" spans="1:5" x14ac:dyDescent="0.2">
      <c r="A135" s="17" t="s">
        <v>1086</v>
      </c>
      <c r="B135" s="18" t="s">
        <v>1087</v>
      </c>
      <c r="C135" s="19" t="s">
        <v>1088</v>
      </c>
      <c r="D135" s="149">
        <f>pH_NT*MW_N</f>
        <v>99.641138186772</v>
      </c>
      <c r="E135" s="51" t="s">
        <v>1089</v>
      </c>
    </row>
    <row r="136" spans="1:5" ht="36" x14ac:dyDescent="0.2">
      <c r="A136" s="17" t="s">
        <v>1090</v>
      </c>
      <c r="B136" s="18" t="s">
        <v>1091</v>
      </c>
      <c r="C136" s="19" t="s">
        <v>1092</v>
      </c>
      <c r="D136" s="146">
        <v>4200000</v>
      </c>
      <c r="E136" s="51" t="s">
        <v>1093</v>
      </c>
    </row>
    <row r="137" spans="1:5" ht="48" x14ac:dyDescent="0.2">
      <c r="A137" s="17" t="s">
        <v>1094</v>
      </c>
      <c r="B137" s="18" t="s">
        <v>1095</v>
      </c>
      <c r="C137" s="19" t="s">
        <v>1067</v>
      </c>
      <c r="D137" s="148">
        <f>-LOG10(Ka_NH4)</f>
        <v>9.251811972994</v>
      </c>
      <c r="E137" s="51" t="s">
        <v>1481</v>
      </c>
    </row>
    <row r="138" spans="1:5" ht="24" x14ac:dyDescent="0.2">
      <c r="A138" s="17" t="s">
        <v>1096</v>
      </c>
      <c r="B138" s="18" t="s">
        <v>1097</v>
      </c>
      <c r="C138" s="19" t="s">
        <v>1098</v>
      </c>
      <c r="D138" s="149">
        <f>pH_NT/(1+10^(pKa_NH4-pH_op))</f>
        <v>1.149504426795e-05</v>
      </c>
      <c r="E138" s="51" t="s">
        <v>1099</v>
      </c>
    </row>
    <row r="139" spans="1:5" ht="24" x14ac:dyDescent="0.2">
      <c r="A139" s="17" t="s">
        <v>1100</v>
      </c>
      <c r="B139" s="18" t="s">
        <v>1101</v>
      </c>
      <c r="C139" s="19" t="s">
        <v>1098</v>
      </c>
      <c r="D139" s="149">
        <f>P_HOCl/(k1_NH2Cl*NH3_free)</f>
        <v>6.858822111426e-10</v>
      </c>
      <c r="E139" s="51" t="s">
        <v>1102</v>
      </c>
    </row>
    <row r="140" spans="1:5" ht="24" x14ac:dyDescent="0.2">
      <c r="A140" s="17" t="s">
        <v>1103</v>
      </c>
      <c r="B140" s="18" t="s">
        <v>1104</v>
      </c>
      <c r="C140" s="19" t="s">
        <v>1088</v>
      </c>
      <c r="D140" s="149">
        <f>HOCl_ss*M_HOCl</f>
        <v>3.598138079654e-05</v>
      </c>
      <c r="E140" s="51" t="s">
        <v>1105</v>
      </c>
    </row>
    <row r="141" spans="1:5" ht="48" x14ac:dyDescent="0.2">
      <c r="A141" s="17" t="s">
        <v>1106</v>
      </c>
      <c r="B141" s="18" t="s">
        <v>1107</v>
      </c>
      <c r="C141" s="19" t="s">
        <v>1067</v>
      </c>
      <c r="D141" s="146">
        <v>10</v>
      </c>
      <c r="E141" s="51" t="s">
        <v>1108</v>
      </c>
    </row>
    <row r="142" spans="1:5" ht="36" x14ac:dyDescent="0.2">
      <c r="A142" s="17" t="s">
        <v>1109</v>
      </c>
      <c r="B142" s="18" t="s">
        <v>1110</v>
      </c>
      <c r="C142" s="19" t="s">
        <v>1111</v>
      </c>
      <c r="D142" s="146">
        <v>1</v>
      </c>
      <c r="E142" s="51" t="s">
        <v>1112</v>
      </c>
    </row>
    <row r="143" spans="1:5" ht="36" x14ac:dyDescent="0.2">
      <c r="A143" s="17" t="s">
        <v>1113</v>
      </c>
      <c r="B143" s="18" t="s">
        <v>1114</v>
      </c>
      <c r="C143" s="19" t="s">
        <v>1088</v>
      </c>
      <c r="D143" s="149">
        <f>MIN(Cl_pool_mgL*(k_Cl_turn*tau_NH2Cl*3600)/(1+k_Cl_turn*tau_NH2Cl*3600),cl_per_N*NH3_N*M_HOCl/M_Cl2)</f>
        <v>6.25374638398</v>
      </c>
      <c r="E143" s="51" t="inlineStr">
        <is>
          <t xml:space="preserve">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is>
      </c>
    </row>
    <row r="144" spans="1:5" ht="36" x14ac:dyDescent="0.2">
      <c r="A144" s="17" t="s">
        <v>1116</v>
      </c>
      <c r="B144" s="18" t="s">
        <v>1117</v>
      </c>
      <c r="C144" s="19" t="s">
        <v>1067</v>
      </c>
      <c r="D144" s="146">
        <v>25</v>
      </c>
      <c r="E144" s="51" t="s">
        <v>1118</v>
      </c>
    </row>
    <row r="145" spans="1:5" ht="60" x14ac:dyDescent="0.2">
      <c r="A145" s="17" t="s">
        <v>1119</v>
      </c>
      <c r="B145" s="18" t="s">
        <v>1120</v>
      </c>
      <c r="C145" s="19" t="s">
        <v>1088</v>
      </c>
      <c r="D145" s="149">
        <f>f_local*HOCl_ss_mgL+NH2Cl_mgL/R_chloramine</f>
        <v>0.250509669167</v>
      </c>
      <c r="E145" s="51" t="inlineStr">
        <is>
          <t xml:space="preserve">OPERATIVE bleaching value (HOCl basis): local-weighted free HOCl + combined chlorine ÷ potency. Combined chlorine is the recycling steady state (D143), so it rises with current and residence until it approaches the chloride pool (D149); Summary reports it as Cl₂ (D226).</t>
        </is>
      </c>
    </row>
    <row r="146" spans="1:5" ht="36" x14ac:dyDescent="0.2">
      <c r="A146" s="17" t="s">
        <v>1121</v>
      </c>
      <c r="B146" s="18" t="s">
        <v>1122</v>
      </c>
      <c r="C146" s="19" t="s">
        <v>1088</v>
      </c>
      <c r="D146" s="146">
        <v>0.1</v>
      </c>
      <c r="E146" s="51" t="s">
        <v>1123</v>
      </c>
    </row>
    <row r="147" spans="1:5" ht="24" x14ac:dyDescent="0.2">
      <c r="A147" s="17" t="s">
        <v>1124</v>
      </c>
      <c r="B147" s="18" t="s">
        <v>1125</v>
      </c>
      <c r="C147" s="19" t="s">
        <v>1088</v>
      </c>
      <c r="D147" s="146">
        <v>2</v>
      </c>
      <c r="E147" s="51" t="s">
        <v>1126</v>
      </c>
    </row>
    <row r="148" spans="1:5" ht="72" x14ac:dyDescent="0.2">
      <c r="A148" s="17" t="s">
        <v>1213</v>
      </c>
      <c r="B148" s="18" t="s">
        <v>1214</v>
      </c>
      <c r="C148" s="19" t="s">
        <v>1215</v>
      </c>
      <c r="D148" s="149">
        <f>2</f>
        <v>2.0</v>
      </c>
      <c r="E148" s="51" t="inlineStr">
        <is>
          <t xml:space="preserve">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is>
      </c>
    </row>
    <row r="149" spans="1:5" ht="36" x14ac:dyDescent="0.2">
      <c r="A149" s="17" t="s">
        <v>1216</v>
      </c>
      <c r="B149" s="18" t="s">
        <v>1217</v>
      </c>
      <c r="C149" s="19" t="s">
        <v>1218</v>
      </c>
      <c r="D149" s="149">
        <f>pH_Cl*M_HOCl</f>
        <v>9.453955667688</v>
      </c>
      <c r="E149" s="51" t="inlineStr">
        <is>
          <t xml:space="preserve">Total chloride pool as HOCl-equivalent; free + combined chlorine cannot exceed it at any instant, and the steady combined share is kτ/(1+kτ) of it (D143). UdG chloride is CaCl₂-derived (a closed batch also depletes it).</t>
        </is>
      </c>
    </row>
    <row r="150" spans="1:5" ht="24" x14ac:dyDescent="0.2">
      <c r="A150" s="17" t="s">
        <v>1220</v>
      </c>
      <c r="B150" s="18" t="s">
        <v>1221</v>
      </c>
      <c r="C150" s="19" t="s">
        <v>1222</v>
      </c>
      <c r="D150" s="146">
        <v>1.6666666666666666E-2</v>
      </c>
      <c r="E150" s="75" t="s">
        <v>1223</v>
      </c>
    </row>
    <row r="151" spans="1:5" ht="24" x14ac:dyDescent="0.2">
      <c r="A151" s="17" t="s">
        <v>1224</v>
      </c>
      <c r="B151" s="18" t="s">
        <v>1225</v>
      </c>
      <c r="C151" s="19" t="s">
        <v>1226</v>
      </c>
      <c r="D151" s="146">
        <v>5</v>
      </c>
      <c r="E151" s="75" t="s">
        <v>1227</v>
      </c>
    </row>
    <row r="152" spans="1:5" ht="24" x14ac:dyDescent="0.2">
      <c r="A152" s="17" t="s">
        <v>1228</v>
      </c>
      <c r="B152" s="18" t="s">
        <v>1229</v>
      </c>
      <c r="C152" s="19" t="s">
        <v>1230</v>
      </c>
      <c r="D152" s="146">
        <v>18</v>
      </c>
      <c r="E152" s="75" t="s">
        <v>1231</v>
      </c>
    </row>
    <row r="153" spans="1:5" x14ac:dyDescent="0.2">
      <c r="A153" s="17" t="s">
        <v>1232</v>
      </c>
      <c r="B153" s="18" t="s">
        <v>1233</v>
      </c>
      <c r="C153" s="19" t="s">
        <v>1234</v>
      </c>
      <c r="D153" s="146">
        <v>70</v>
      </c>
      <c r="E153" s="75" t="s">
        <v>1235</v>
      </c>
    </row>
    <row r="154" spans="1:5" x14ac:dyDescent="0.2">
      <c r="A154" s="17" t="s">
        <v>1236</v>
      </c>
      <c r="B154" s="18" t="s">
        <v>1237</v>
      </c>
      <c r="C154" s="19" t="s">
        <v>1238</v>
      </c>
      <c r="D154" s="149">
        <f>MIN(Cl_pool_mgL*(k_Cl_turn*tau_NH2Cl_lo*3600)/(1+k_Cl_turn*tau_NH2Cl_lo*3600),cl_per_N*NH3_N*M_HOCl/M_Cl2)</f>
        <v>0.298198130773</v>
      </c>
      <c r="E154" s="51" t="inlineStr">
        <is>
          <t xml:space="preserve">Combined chlorine at the low-τ bound, recycling steady state (as D143)</t>
        </is>
      </c>
    </row>
    <row r="155" spans="1:5" x14ac:dyDescent="0.2">
      <c r="A155" s="17" t="s">
        <v>1240</v>
      </c>
      <c r="B155" s="18" t="s">
        <v>1241</v>
      </c>
      <c r="C155" s="19" t="s">
        <v>1242</v>
      </c>
      <c r="D155" s="149">
        <f>MIN(Cl_pool_mgL*(k_Cl_turn*tau_NH2Cl_hi*3600)/(1+k_Cl_turn*tau_NH2Cl_hi*3600),cl_per_N*NH3_N*M_HOCl/M_Cl2)</f>
        <v>8.57621949016</v>
      </c>
      <c r="E155" s="51" t="inlineStr">
        <is>
          <t xml:space="preserve">Combined chlorine at the high-τ bound, recycling steady state (as D143)</t>
        </is>
      </c>
    </row>
    <row r="156" spans="1:5" x14ac:dyDescent="0.2">
      <c r="A156" s="17" t="s">
        <v>1244</v>
      </c>
      <c r="B156" s="18" t="s">
        <v>1245</v>
      </c>
      <c r="C156" s="19" t="s">
        <v>1246</v>
      </c>
      <c r="D156" s="149">
        <f>f_local*HOCl_ss_mgL+NH2Cl_lo/R_chloramine_hi</f>
        <v>0.004619787105</v>
      </c>
      <c r="E156" s="51" t="s">
        <v>1247</v>
      </c>
    </row>
    <row r="157" spans="1:5" ht="24" x14ac:dyDescent="0.2">
      <c r="A157" s="17" t="s">
        <v>1248</v>
      </c>
      <c r="B157" s="18" t="s">
        <v>1249</v>
      </c>
      <c r="C157" s="19" t="s">
        <v>1250</v>
      </c>
      <c r="D157" s="149">
        <f>f_local*HOCl_ss_mgL+NH2Cl_hi/R_chloramine_lo</f>
        <v>0.47681645215</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146">
        <v>63.55</v>
      </c>
      <c r="E159" s="51" t="s">
        <v>1259</v>
      </c>
    </row>
    <row r="160" spans="1:5" x14ac:dyDescent="0.2">
      <c r="A160" s="17" t="s">
        <v>1260</v>
      </c>
      <c r="B160" s="18" t="s">
        <v>1261</v>
      </c>
      <c r="C160" s="19" t="s">
        <v>1262</v>
      </c>
      <c r="D160" s="146">
        <v>2</v>
      </c>
      <c r="E160" s="51" t="s">
        <v>1263</v>
      </c>
    </row>
    <row r="161" spans="1:5" ht="24" x14ac:dyDescent="0.2">
      <c r="A161" s="17" t="s">
        <v>1264</v>
      </c>
      <c r="B161" s="18" t="s">
        <v>1265</v>
      </c>
      <c r="C161" s="19" t="s">
        <v>1266</v>
      </c>
      <c r="D161" s="149" t="e">
        <f>IF(ISNUMBER(corr_I_frac),corr_I_frac*Iappc/(metal_z*Fcc)*metal_MW*1000*3600/VLc,NA())</f>
        <v>#N/A</v>
      </c>
      <c r="E161" s="57" t="s">
        <v>1267</v>
      </c>
    </row>
    <row r="162" spans="1:5" ht="24" x14ac:dyDescent="0.2">
      <c r="A162" s="17" t="s">
        <v>1268</v>
      </c>
      <c r="B162" s="18" t="s">
        <v>1269</v>
      </c>
      <c r="C162" s="19" t="s">
        <v>1270</v>
      </c>
      <c r="D162" s="146">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146">
        <v>50.08</v>
      </c>
      <c r="E166" s="99" t="s">
        <v>1486</v>
      </c>
    </row>
    <row r="167" spans="1:5" ht="36" x14ac:dyDescent="0.2">
      <c r="A167" t="s">
        <v>1487</v>
      </c>
      <c r="B167" s="18" t="s">
        <v>1488</v>
      </c>
      <c r="C167" s="19" t="s">
        <v>1485</v>
      </c>
      <c r="D167" s="146">
        <v>73.48</v>
      </c>
      <c r="E167" s="99" t="s">
        <v>1486</v>
      </c>
    </row>
    <row r="168" spans="1:5" ht="36" x14ac:dyDescent="0.2">
      <c r="A168" t="s">
        <v>1489</v>
      </c>
      <c r="B168" s="18" t="s">
        <v>1490</v>
      </c>
      <c r="C168" s="19" t="s">
        <v>1485</v>
      </c>
      <c r="D168" s="146">
        <v>73.5</v>
      </c>
      <c r="E168" s="99" t="s">
        <v>1486</v>
      </c>
    </row>
    <row r="169" spans="1:5" ht="36" x14ac:dyDescent="0.2">
      <c r="A169" t="s">
        <v>1491</v>
      </c>
      <c r="B169" s="18" t="s">
        <v>1492</v>
      </c>
      <c r="C169" s="19" t="s">
        <v>1485</v>
      </c>
      <c r="D169" s="146">
        <v>106</v>
      </c>
      <c r="E169" s="99" t="s">
        <v>1486</v>
      </c>
    </row>
    <row r="170" spans="1:5" ht="36" x14ac:dyDescent="0.2">
      <c r="A170" t="s">
        <v>1493</v>
      </c>
      <c r="B170" s="18" t="s">
        <v>1494</v>
      </c>
      <c r="C170" s="19" t="s">
        <v>1485</v>
      </c>
      <c r="D170" s="146">
        <v>118.94</v>
      </c>
      <c r="E170" s="99" t="s">
        <v>1486</v>
      </c>
    </row>
    <row r="171" spans="1:5" ht="36" x14ac:dyDescent="0.2">
      <c r="A171" t="s">
        <v>1495</v>
      </c>
      <c r="B171" s="18" t="s">
        <v>1496</v>
      </c>
      <c r="C171" s="19" t="s">
        <v>1485</v>
      </c>
      <c r="D171" s="146">
        <v>36</v>
      </c>
      <c r="E171" s="99" t="s">
        <v>1486</v>
      </c>
    </row>
    <row r="172" spans="1:5" ht="36" x14ac:dyDescent="0.2">
      <c r="A172" t="s">
        <v>1497</v>
      </c>
      <c r="B172" s="18" t="s">
        <v>1498</v>
      </c>
      <c r="C172" s="19" t="s">
        <v>1485</v>
      </c>
      <c r="D172" s="146">
        <v>114</v>
      </c>
      <c r="E172" s="99" t="s">
        <v>1486</v>
      </c>
    </row>
    <row r="173" spans="1:5" ht="36" x14ac:dyDescent="0.2">
      <c r="A173" t="s">
        <v>1499</v>
      </c>
      <c r="B173" s="18" t="s">
        <v>1500</v>
      </c>
      <c r="C173" s="19" t="s">
        <v>1485</v>
      </c>
      <c r="D173" s="146">
        <v>160</v>
      </c>
      <c r="E173" s="99" t="s">
        <v>1486</v>
      </c>
    </row>
    <row r="174" spans="1:5" ht="36" x14ac:dyDescent="0.2">
      <c r="A174" t="s">
        <v>1501</v>
      </c>
      <c r="B174" s="18" t="s">
        <v>1502</v>
      </c>
      <c r="C174" s="19" t="s">
        <v>1485</v>
      </c>
      <c r="D174" s="146">
        <v>44.5</v>
      </c>
      <c r="E174" s="99" t="s">
        <v>1486</v>
      </c>
    </row>
    <row r="175" spans="1:5" ht="36" x14ac:dyDescent="0.2">
      <c r="A175" t="s">
        <v>1503</v>
      </c>
      <c r="B175" s="18" t="s">
        <v>1504</v>
      </c>
      <c r="C175" s="19" t="s">
        <v>1485</v>
      </c>
      <c r="D175" s="146">
        <v>76.31</v>
      </c>
      <c r="E175" s="99" t="s">
        <v>1486</v>
      </c>
    </row>
    <row r="176" spans="1:5" ht="36" x14ac:dyDescent="0.2">
      <c r="A176" t="s">
        <v>1505</v>
      </c>
      <c r="B176" s="18" t="s">
        <v>1506</v>
      </c>
      <c r="C176" s="19" t="s">
        <v>1507</v>
      </c>
      <c r="D176" s="14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14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146">
        <v>0.78</v>
      </c>
      <c r="E178" s="75" t="s">
        <v>1514</v>
      </c>
    </row>
    <row r="179" spans="1:5" ht="48" x14ac:dyDescent="0.2">
      <c r="A179" t="s">
        <v>1515</v>
      </c>
      <c r="B179" s="18" t="s">
        <v>1516</v>
      </c>
      <c r="C179" s="19" t="s">
        <v>1517</v>
      </c>
      <c r="D179" s="146">
        <v>0.02</v>
      </c>
      <c r="E179" s="67" t="s">
        <v>1518</v>
      </c>
    </row>
    <row r="180" spans="1:5" ht="24" x14ac:dyDescent="0.2">
      <c r="A180" t="s">
        <v>1519</v>
      </c>
      <c r="B180" s="18" t="s">
        <v>1520</v>
      </c>
      <c r="C180" s="19" t="s">
        <v>1507</v>
      </c>
      <c r="D180" s="141">
        <f>IF(Summary!$D$5="MC02",kappa0_mc02,IF(Summary!$D$5="UdG phosphate",kappa0_udg,NA()))*kappa_fI*(1+kappa_TC*(TKc-T_ref))</f>
        <v>0.706946657056</v>
      </c>
      <c r="E180" s="67" t="s">
        <v>1521</v>
      </c>
    </row>
    <row r="182" spans="1:5" x14ac:dyDescent="0.2">
      <c r="A182" s="5" t="s">
        <v>1522</v>
      </c>
    </row>
    <row r="183" spans="1:5" ht="36" x14ac:dyDescent="0.2">
      <c r="A183" t="s">
        <v>1523</v>
      </c>
      <c r="B183" s="18" t="s">
        <v>1524</v>
      </c>
      <c r="C183" s="19" t="s">
        <v>1098</v>
      </c>
      <c r="D183" s="14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14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141">
        <f>IF(Summary!$D$5="MC02",I_mc02,IF(Summary!$D$5="UdG phosphate",I_udg,NA()))</f>
        <v>0.109739973238</v>
      </c>
      <c r="E185" s="67" t="s">
        <v>947</v>
      </c>
    </row>
    <row r="186" spans="1:5" ht="36" x14ac:dyDescent="0.2">
      <c r="A186" t="s">
        <v>1530</v>
      </c>
      <c r="B186" s="18" t="s">
        <v>1531</v>
      </c>
      <c r="C186" s="19" t="s">
        <v>1274</v>
      </c>
      <c r="D186" s="141">
        <f>DH_const*(eps_water_298*(T_ref/TKc)^eps_T_exp)^-1.5*TKc^-1.5</f>
        <v>0.507905390447</v>
      </c>
      <c r="E186" s="67" t="s">
        <v>1532</v>
      </c>
    </row>
    <row r="187" spans="1:5" ht="36" x14ac:dyDescent="0.2">
      <c r="A187" t="s">
        <v>1533</v>
      </c>
      <c r="B187" s="18" t="s">
        <v>1534</v>
      </c>
      <c r="C187" s="19" t="s">
        <v>1274</v>
      </c>
      <c r="D187" s="141">
        <f>10^(-A_DH*1*(SQRT(I_ionic)/(1+SQRT(I_ionic))-davies_c*I_ionic))</f>
        <v>0.776846550354</v>
      </c>
      <c r="E187" s="67" t="s">
        <v>1535</v>
      </c>
    </row>
    <row r="188" spans="1:5" ht="36" x14ac:dyDescent="0.2">
      <c r="A188" t="s">
        <v>1536</v>
      </c>
      <c r="B188" s="18" t="s">
        <v>1537</v>
      </c>
      <c r="C188" s="19" t="s">
        <v>1274</v>
      </c>
      <c r="D188" s="141">
        <f>10^(-A_DH*4*(SQRT(I_ionic)/(1+SQRT(I_ionic))-davies_c*I_ionic))</f>
        <v>0.364200859384</v>
      </c>
      <c r="E188" s="67" t="s">
        <v>1535</v>
      </c>
    </row>
    <row r="189" spans="1:5" ht="36" x14ac:dyDescent="0.2">
      <c r="A189" t="s">
        <v>1538</v>
      </c>
      <c r="B189" s="18" t="s">
        <v>1539</v>
      </c>
      <c r="C189" s="19" t="s">
        <v>1274</v>
      </c>
      <c r="D189" s="141">
        <f>10^(-A_DH*9*(SQRT(I_ionic)/(1+SQRT(I_ionic))-davies_c*I_ionic))</f>
        <v>0.103042686755</v>
      </c>
      <c r="E189" s="67" t="s">
        <v>1535</v>
      </c>
    </row>
    <row r="190" spans="1:5" ht="36" x14ac:dyDescent="0.2">
      <c r="A190" t="s">
        <v>1540</v>
      </c>
      <c r="B190" s="18" t="s">
        <v>1541</v>
      </c>
      <c r="C190" s="19" t="s">
        <v>1098</v>
      </c>
      <c r="D190" s="141">
        <f>Ka1c/gamma_1^2</f>
        <v>7.373768993803e-07</v>
      </c>
      <c r="E190" s="67" t="s">
        <v>1542</v>
      </c>
    </row>
    <row r="191" spans="1:5" ht="36" x14ac:dyDescent="0.2">
      <c r="A191" t="s">
        <v>1543</v>
      </c>
      <c r="B191" s="18" t="s">
        <v>1544</v>
      </c>
      <c r="C191" s="19" t="s">
        <v>1098</v>
      </c>
      <c r="D191" s="141">
        <f>Ka2c/gamma_2</f>
        <v>1.287750942688e-10</v>
      </c>
      <c r="E191" s="67" t="s">
        <v>1545</v>
      </c>
    </row>
    <row r="192" spans="1:5" ht="36" x14ac:dyDescent="0.2">
      <c r="A192" t="s">
        <v>1546</v>
      </c>
      <c r="B192" s="18" t="s">
        <v>1547</v>
      </c>
      <c r="C192" s="19" t="s">
        <v>1098</v>
      </c>
      <c r="D192" s="141">
        <f>Ka1p/gamma_1^2</f>
        <v>0.011764889855</v>
      </c>
      <c r="E192" s="67" t="s">
        <v>1548</v>
      </c>
    </row>
    <row r="193" spans="1:5" ht="60" x14ac:dyDescent="0.2">
      <c r="A193" t="s">
        <v>1549</v>
      </c>
      <c r="B193" s="18" t="s">
        <v>1550</v>
      </c>
      <c r="C193" s="19" t="s">
        <v>1098</v>
      </c>
      <c r="D193" s="141">
        <f>Ka2p/gamma_2</f>
        <v>1.732560436751e-07</v>
      </c>
      <c r="E193" s="67" t="s">
        <v>1551</v>
      </c>
    </row>
    <row r="194" spans="1:5" ht="36" x14ac:dyDescent="0.2">
      <c r="A194" t="s">
        <v>1552</v>
      </c>
      <c r="B194" s="18" t="s">
        <v>1553</v>
      </c>
      <c r="C194" s="19" t="s">
        <v>1098</v>
      </c>
      <c r="D194" s="141">
        <f>Ka3p*gamma_2/(gamma_1*gamma_3)</f>
        <v>1.910899474681e-12</v>
      </c>
      <c r="E194" s="67" t="s">
        <v>1554</v>
      </c>
    </row>
    <row r="195" spans="1:5" ht="24" x14ac:dyDescent="0.2">
      <c r="A195" t="s">
        <v>1555</v>
      </c>
      <c r="B195" s="18" t="s">
        <v>1556</v>
      </c>
      <c r="C195" s="19" t="s">
        <v>1098</v>
      </c>
      <c r="D195" s="141">
        <f>Kw_w/gamma_1^2</f>
        <v>1.65702674018e-14</v>
      </c>
      <c r="E195" s="67" t="s">
        <v>1557</v>
      </c>
    </row>
    <row r="196" spans="1:5" ht="36" x14ac:dyDescent="0.2">
      <c r="A196" t="s">
        <v>1558</v>
      </c>
      <c r="B196" s="18" t="s">
        <v>1559</v>
      </c>
      <c r="C196" s="19" t="s">
        <v>1098</v>
      </c>
      <c r="D196" s="141">
        <f>Ka_HOCl/gamma_1^2</f>
        <v>4.778917320203e-08</v>
      </c>
      <c r="E196" s="67" t="s">
        <v>1560</v>
      </c>
    </row>
    <row r="197" spans="1:5" ht="36" x14ac:dyDescent="0.2">
      <c r="A197" t="s">
        <v>1561</v>
      </c>
      <c r="B197" s="18" t="s">
        <v>1562</v>
      </c>
      <c r="C197" s="19" t="s">
        <v>1098</v>
      </c>
      <c r="D197" s="141">
        <f>Ka_NH4</f>
        <v>5.6e-10</v>
      </c>
      <c r="E197" s="99" t="s">
        <v>1563</v>
      </c>
    </row>
    <row r="199" spans="1:5" x14ac:dyDescent="0.2">
      <c r="A199" s="5" t="s">
        <v>1564</v>
      </c>
    </row>
    <row r="200" spans="1:5" x14ac:dyDescent="0.2">
      <c r="A200" t="s">
        <v>1565</v>
      </c>
      <c r="B200" s="18" t="s">
        <v>1566</v>
      </c>
      <c r="C200" s="19" t="s">
        <v>1567</v>
      </c>
      <c r="D200" s="141">
        <f>R_gas*TKc/Fcc*LN(10)</f>
        <v>0.059159349686</v>
      </c>
      <c r="E200" s="99" t="s">
        <v>1568</v>
      </c>
    </row>
    <row r="201" spans="1:5" ht="36" x14ac:dyDescent="0.2">
      <c r="A201" t="s">
        <v>1569</v>
      </c>
      <c r="B201" s="18" t="s">
        <v>1570</v>
      </c>
      <c r="C201" s="19" t="s">
        <v>1571</v>
      </c>
      <c r="D201" s="146">
        <v>1.2290000000000001</v>
      </c>
      <c r="E201" s="99" t="s">
        <v>1572</v>
      </c>
    </row>
    <row r="202" spans="1:5" ht="24" x14ac:dyDescent="0.2">
      <c r="A202" t="s">
        <v>1573</v>
      </c>
      <c r="B202" s="18" t="s">
        <v>1574</v>
      </c>
      <c r="C202" s="19" t="s">
        <v>1571</v>
      </c>
      <c r="D202" s="146">
        <v>0</v>
      </c>
      <c r="E202" s="99" t="s">
        <v>1575</v>
      </c>
    </row>
    <row r="203" spans="1:5" x14ac:dyDescent="0.2">
      <c r="A203" t="s">
        <v>1576</v>
      </c>
      <c r="B203" s="18" t="s">
        <v>1577</v>
      </c>
      <c r="C203" s="19" t="s">
        <v>1571</v>
      </c>
      <c r="D203" s="146">
        <v>1.3580000000000001</v>
      </c>
      <c r="E203" s="99" t="s">
        <v>1578</v>
      </c>
    </row>
    <row r="204" spans="1:5" x14ac:dyDescent="0.2">
      <c r="A204" t="s">
        <v>1579</v>
      </c>
      <c r="B204" s="18" t="s">
        <v>1580</v>
      </c>
      <c r="C204" s="19" t="s">
        <v>1571</v>
      </c>
      <c r="D204" s="146">
        <v>0.69499999999999995</v>
      </c>
      <c r="E204" s="99" t="s">
        <v>1581</v>
      </c>
    </row>
    <row r="205" spans="1:5" x14ac:dyDescent="0.2">
      <c r="A205" t="s">
        <v>1582</v>
      </c>
      <c r="B205" s="18" t="s">
        <v>1583</v>
      </c>
      <c r="C205" s="19" t="s">
        <v>1571</v>
      </c>
      <c r="D205" s="146">
        <v>0.34189999999999998</v>
      </c>
      <c r="E205" s="99" t="s">
        <v>1578</v>
      </c>
    </row>
    <row r="206" spans="1:5" ht="24" x14ac:dyDescent="0.2">
      <c r="A206" t="s">
        <v>1584</v>
      </c>
      <c r="B206" s="18" t="s">
        <v>1585</v>
      </c>
      <c r="C206" s="19" t="s">
        <v>1571</v>
      </c>
      <c r="D206" s="141">
        <f>E0_OER-nernst_slope*pH_meas</f>
        <v>0.840287803139</v>
      </c>
      <c r="E206" s="99" t="s">
        <v>1586</v>
      </c>
    </row>
    <row r="207" spans="1:5" x14ac:dyDescent="0.2">
      <c r="A207" t="s">
        <v>1587</v>
      </c>
      <c r="B207" s="18" t="s">
        <v>1588</v>
      </c>
      <c r="C207" s="19" t="s">
        <v>1571</v>
      </c>
      <c r="D207" s="141">
        <f>E0_HER-nernst_slope*pH_meas</f>
        <v>-0.388712196861</v>
      </c>
      <c r="E207" s="99" t="s">
        <v>1589</v>
      </c>
    </row>
    <row r="208" spans="1:5" ht="24" x14ac:dyDescent="0.2">
      <c r="A208" t="inlineStr">
        <is>
          <t xml:space="preserve">Cl₂/Cl⁻ potential at the medium chloride (Cl₂ gas at 1 atm, reference only)</t>
        </is>
      </c>
      <c r="B208" s="18" t="s">
        <v>1591</v>
      </c>
      <c r="C208" s="19" t="s">
        <v>1571</v>
      </c>
      <c r="D208" s="141">
        <f>E0_Cl2+nernst_slope*(-LOG10(MAX(pH_Cl,Cl_floor_molL)))</f>
        <v>1.579505308204</v>
      </c>
      <c r="E208" s="67" t="s">
        <v>1592</v>
      </c>
    </row>
    <row r="209" spans="1:5" ht="60" x14ac:dyDescent="0.2">
      <c r="A209" t="inlineStr">
        <is>
          <t xml:space="preserve">HOCl/Cl⁻ couple minus operating anode potential</t>
        </is>
      </c>
      <c r="B209" s="18" t="s">
        <v>1594</v>
      </c>
      <c r="C209" s="19" t="s">
        <v>1595</v>
      </c>
      <c r="D209" s="141">
        <f>E_HOCl_Cl-E_anode_op</f>
        <v>-0.42751475509</v>
      </c>
      <c r="E209" s="67" t="inlineStr">
        <is>
          <t xml:space="preserve">Negative = the anode sits above the HOCl/Cl⁻ couple, so chloride oxidation is thermodynamically accessible and, on Pt, transport-limited (Chemistry D132). Cl₂ gas at 1 atm (D208) is a reference only: at trace chloride the product is HOCl.</t>
        </is>
      </c>
    </row>
    <row r="210" spans="1:5" ht="48" x14ac:dyDescent="0.2">
      <c r="A210" t="s">
        <v>1597</v>
      </c>
      <c r="B210" s="18" t="s">
        <v>1598</v>
      </c>
      <c r="C210" s="19" t="s">
        <v>1571</v>
      </c>
      <c r="D210" s="141">
        <f>E0_ORR2-nernst_slope*pH_meas</f>
        <v>0.306287803139</v>
      </c>
      <c r="E210" s="67" t="s">
        <v>1599</v>
      </c>
    </row>
    <row r="211" spans="1:5" ht="48" x14ac:dyDescent="0.2">
      <c r="A211" t="inlineStr">
        <is>
          <t xml:space="preserve">Operating anode potential above Cu²⁺/Cu</t>
        </is>
      </c>
      <c r="B211" s="18" t="s">
        <v>1601</v>
      </c>
      <c r="C211" s="19" t="s">
        <v>1595</v>
      </c>
      <c r="D211" s="141">
        <f>E_anode_op-E0_Cu</f>
        <v>1.242530226635</v>
      </c>
      <c r="E211" s="67" t="s">
        <v>1602</v>
      </c>
    </row>
    <row r="213" spans="1:5" x14ac:dyDescent="0.2">
      <c r="A213" s="5" t="s">
        <v>1603</v>
      </c>
    </row>
    <row r="214" spans="1:5" ht="24" x14ac:dyDescent="0.2">
      <c r="A214" t="s">
        <v>1604</v>
      </c>
      <c r="B214" s="18" t="s">
        <v>1605</v>
      </c>
      <c r="C214" s="19" t="s">
        <v>577</v>
      </c>
      <c r="D214" s="146">
        <v>7.5899999999999996E-10</v>
      </c>
      <c r="E214" s="99" t="s">
        <v>1606</v>
      </c>
    </row>
    <row r="215" spans="1:5" ht="60" x14ac:dyDescent="0.2">
      <c r="A215" t="inlineStr">
        <is>
          <t xml:space="preserve">Diffusion layer thickness for O₂ (derived, display only)</t>
        </is>
      </c>
      <c r="B215" s="18" t="s">
        <v>1608</v>
      </c>
      <c r="C215" s="19" t="s">
        <v>580</v>
      </c>
      <c r="D215" s="141">
        <f>D_O2_c/(km_O2_c/100)*1000000</f>
        <v>49.941807960105</v>
      </c>
      <c r="E215" s="67" t="inlineStr">
        <is>
          <t xml:space="preserve">δ = D_O₂/k_m(O₂), display only — the buffer limit uses species-specific k_m (D275–D276); δ_i ∝ D_i^0.356 under the same correlation, so a single fixed δ is not used.</t>
        </is>
      </c>
    </row>
    <row r="216" spans="1:5" ht="60" x14ac:dyDescent="0.2">
      <c r="A216" t="s">
        <v>1610</v>
      </c>
      <c r="B216" s="18" t="s">
        <v>1611</v>
      </c>
      <c r="C216" s="19" t="s">
        <v>1282</v>
      </c>
      <c r="D216" s="141">
        <f>Fcc*((km_HPO4/100)*HPO4_op+(km_HCO3/100)*HCO3_op)*1000/10</f>
        <v>8.175182209731</v>
      </c>
      <c r="E216" s="67" t="inlineStr">
        <is>
          <t xml:space="preserve">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is>
      </c>
    </row>
    <row r="217" spans="1:5" x14ac:dyDescent="0.2">
      <c r="A217" t="s">
        <v>1613</v>
      </c>
      <c r="B217" s="18" t="s">
        <v>1614</v>
      </c>
      <c r="C217" s="19" t="s">
        <v>1282</v>
      </c>
      <c r="D217" s="141">
        <f>Electrochemistry!$D$48</f>
        <v>2.826095688296</v>
      </c>
      <c r="E217" s="67" t="s">
        <v>1615</v>
      </c>
    </row>
    <row r="218" spans="1:5" ht="48" x14ac:dyDescent="0.2">
      <c r="A218" t="s">
        <v>1616</v>
      </c>
      <c r="B218" s="18" t="s">
        <v>1617</v>
      </c>
      <c r="C218" s="19" t="s">
        <v>1274</v>
      </c>
      <c r="D218" s="141">
        <f>j_anode_c/j_buffer_lim</f>
        <v>0.345692073374</v>
      </c>
      <c r="E218" s="67" t="s">
        <v>1618</v>
      </c>
    </row>
    <row r="219" spans="1:5" ht="48" x14ac:dyDescent="0.2">
      <c r="A219" t="s">
        <v>1619</v>
      </c>
      <c r="B219" s="18" t="s">
        <v>1620</v>
      </c>
      <c r="C219" s="19" t="s">
        <v>1274</v>
      </c>
      <c r="D219" s="14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67" t="s">
        <v>1621</v>
      </c>
    </row>
    <row r="220" spans="1:5" ht="60" x14ac:dyDescent="0.2">
      <c r="A220" t="s">
        <v>1622</v>
      </c>
      <c r="B220" s="18" t="s">
        <v>1623</v>
      </c>
      <c r="C220" s="19" t="s">
        <v>1274</v>
      </c>
      <c r="D220" s="141">
        <f>pH_op-LOG10(gamma_1)</f>
        <v>6.570596176702</v>
      </c>
      <c r="E220" s="67" t="s">
        <v>1624</v>
      </c>
    </row>
    <row r="221" spans="1:5" x14ac:dyDescent="0.2">
      <c r="A221" s="5" t="inlineStr">
        <is>
          <t xml:space="preserve">UNIT CONSTANTS</t>
        </is>
      </c>
    </row>
    <row r="222" spans="1:5" ht="48" x14ac:dyDescent="0.2">
      <c r="A222" t="s">
        <v>1883</v>
      </c>
      <c r="B222" s="18" t="s">
        <v>1884</v>
      </c>
      <c r="C222" s="19" t="s">
        <v>1885</v>
      </c>
      <c r="D222" s="146">
        <v>52460</v>
      </c>
      <c r="E222" s="99" t="s">
        <v>1886</v>
      </c>
    </row>
    <row r="223" spans="1:5" x14ac:dyDescent="0.2">
      <c r="A223" t="s">
        <v>1887</v>
      </c>
      <c r="B223" s="18" t="s">
        <v>1888</v>
      </c>
      <c r="C223" s="19" t="s">
        <v>1885</v>
      </c>
      <c r="D223" s="146">
        <v>70906</v>
      </c>
      <c r="E223" s="99" t="s">
        <v>1889</v>
      </c>
    </row>
    <row r="224" spans="1:5" ht="48" x14ac:dyDescent="0.2">
      <c r="A224" t="s">
        <v>1890</v>
      </c>
      <c r="B224" s="18" t="s">
        <v>1891</v>
      </c>
      <c r="C224" s="19" t="s">
        <v>1892</v>
      </c>
      <c r="D224" s="146">
        <v>5.0599999999999996</v>
      </c>
      <c r="E224" s="67" t="s">
        <v>1893</v>
      </c>
    </row>
    <row r="225" spans="1:5" x14ac:dyDescent="0.2">
      <c r="A225" t="s">
        <v>1894</v>
      </c>
      <c r="B225" s="18" t="s">
        <v>1895</v>
      </c>
      <c r="C225" s="19" t="s">
        <v>1885</v>
      </c>
      <c r="D225" s="146">
        <v>14007</v>
      </c>
      <c r="E225" s="99" t="s">
        <v>1896</v>
      </c>
    </row>
    <row r="226" spans="1:5" ht="48" x14ac:dyDescent="0.2">
      <c r="A226" t="s">
        <v>1897</v>
      </c>
      <c r="B226" s="18" t="s">
        <v>1898</v>
      </c>
      <c r="C226" s="19" t="s">
        <v>1270</v>
      </c>
      <c r="D226" s="141">
        <f>C_eff*M_Cl2/M_HOCl</f>
        <v>0.338593949713</v>
      </c>
      <c r="E226" s="67" t="s">
        <v>1899</v>
      </c>
    </row>
    <row r="228">
      <c r="A228" s="104" t="inlineStr">
        <is>
          <t xml:space="preserve">NAMED CONSTANTS, THRESHOLDS AND IMPORTS</t>
        </is>
      </c>
    </row>
    <row r="229">
      <c r="A229" s="17" t="inlineStr">
        <is>
          <t xml:space="preserve">(import) Reference temperature (25 °C)</t>
        </is>
      </c>
      <c r="B229" s="18" t="inlineStr">
        <is>
          <t xml:space="preserve">T_ref</t>
        </is>
      </c>
      <c r="C229" s="19" t="inlineStr">
        <is>
          <t xml:space="preserve">K</t>
        </is>
      </c>
      <c r="D229" s="141">
        <f>Biology!$D$23</f>
        <v>298.15</v>
      </c>
      <c r="E229" s="51" t="inlineStr">
        <is>
          <t xml:space="preserve">Import from Biology!D23</t>
        </is>
      </c>
    </row>
    <row r="230">
      <c r="A230" s="17" t="inlineStr">
        <is>
          <t xml:space="preserve">Debye–Hückel A coefficient constant</t>
        </is>
      </c>
      <c r="B230" s="18" t="inlineStr">
        <is>
          <t xml:space="preserve">DH_const</t>
        </is>
      </c>
      <c r="C230" s="19" t="inlineStr">
        <is>
          <t xml:space="preserve">K^1.5</t>
        </is>
      </c>
      <c r="D230" s="131">
        <v>1820000</v>
      </c>
      <c r="E230" s="84" t="inlineStr">
        <is>
          <t xml:space="preserve">A = 1.82×10⁶·(εT)^-1.5 (standard Debye–Hückel form; gives 0.509 at 25 °C).</t>
        </is>
      </c>
    </row>
    <row r="231">
      <c r="A231" s="17" t="inlineStr">
        <is>
          <t xml:space="preserve">Relative permittivity of water at 298.15 K</t>
        </is>
      </c>
      <c r="B231" s="18" t="inlineStr">
        <is>
          <t xml:space="preserve">eps_water_298</t>
        </is>
      </c>
      <c r="C231" s="19" t="inlineStr">
        <is>
          <t xml:space="preserve">-</t>
        </is>
      </c>
      <c r="D231" s="131">
        <v>78.54</v>
      </c>
      <c r="E231" s="84" t="inlineStr">
        <is>
          <t xml:space="preserve">CRC Handbook, water dielectric constant at 25 °C.</t>
        </is>
      </c>
    </row>
    <row r="232">
      <c r="A232" s="17" t="inlineStr">
        <is>
          <t xml:space="preserve">Permittivity temperature exponent</t>
        </is>
      </c>
      <c r="B232" s="18" t="inlineStr">
        <is>
          <t xml:space="preserve">eps_T_exp</t>
        </is>
      </c>
      <c r="C232" s="19" t="inlineStr">
        <is>
          <t xml:space="preserve">-</t>
        </is>
      </c>
      <c r="D232" s="131">
        <v>1.368</v>
      </c>
      <c r="E232" s="67" t="inlineStr">
        <is>
          <t xml:space="preserve">ε(T) = ε₂₉₈·(298.15/T)^n, power-law fit to the water permittivity (as in E186).</t>
        </is>
      </c>
    </row>
    <row r="233">
      <c r="A233" s="17" t="inlineStr">
        <is>
          <t xml:space="preserve">Davies equation linear coefficient</t>
        </is>
      </c>
      <c r="B233" s="18" t="inlineStr">
        <is>
          <t xml:space="preserve">davies_c</t>
        </is>
      </c>
      <c r="C233" s="19" t="inlineStr">
        <is>
          <t xml:space="preserve">-</t>
        </is>
      </c>
      <c r="D233" s="131">
        <v>0.3</v>
      </c>
      <c r="E233" s="84" t="inlineStr">
        <is>
          <t xml:space="preserve">Davies (1962): log γ = −A z²(√I/(1+√I) − 0.3 I).</t>
        </is>
      </c>
    </row>
    <row r="234">
      <c r="A234" s="17" t="inlineStr">
        <is>
          <t xml:space="preserve">Chloride numerical floor</t>
        </is>
      </c>
      <c r="B234" s="18" t="inlineStr">
        <is>
          <t xml:space="preserve">Cl_floor_molL</t>
        </is>
      </c>
      <c r="C234" s="19" t="inlineStr">
        <is>
          <t xml:space="preserve">mol/L</t>
        </is>
      </c>
      <c r="D234" s="131">
        <v>1e-12</v>
      </c>
      <c r="E234" s="84" t="inlineStr">
        <is>
          <t xml:space="preserve">Defined: numerical floor so LOG10 never sees zero chloride; far below any real chloride level.</t>
        </is>
      </c>
    </row>
    <row r="235">
      <c r="A235" s="17" t="inlineStr">
        <is>
          <t xml:space="preserve">pH solve grid step</t>
        </is>
      </c>
      <c r="B235" s="18" t="inlineStr">
        <is>
          <t xml:space="preserve">pH_step</t>
        </is>
      </c>
      <c r="C235" s="19" t="inlineStr">
        <is>
          <t xml:space="preserve">pH</t>
        </is>
      </c>
      <c r="D235" s="131">
        <v>0.1</v>
      </c>
      <c r="E235" s="84" t="inlineStr">
        <is>
          <t xml:space="preserve">Defined: spacing of the typed pH grid A50:A100 (4.0 to 9.0).</t>
        </is>
      </c>
    </row>
    <row r="236">
      <c r="A236" s="17" t="inlineStr">
        <is>
          <t xml:space="preserve">HOB pH band, lower edge</t>
        </is>
      </c>
      <c r="B236" s="18" t="inlineStr">
        <is>
          <t xml:space="preserve">pH_band_lo</t>
        </is>
      </c>
      <c r="C236" s="19" t="inlineStr">
        <is>
          <t xml:space="preserve">pH</t>
        </is>
      </c>
      <c r="D236" s="131">
        <v>6.5</v>
      </c>
      <c r="E236" s="67" t="inlineStr">
        <is>
          <t xml:space="preserve">HOB optimum 6.5–7.5 (Pous 2022/23; Rovira-Alsina 2025).</t>
        </is>
      </c>
    </row>
    <row r="237">
      <c r="A237" s="17" t="inlineStr">
        <is>
          <t xml:space="preserve">HOB pH band, upper edge</t>
        </is>
      </c>
      <c r="B237" s="18" t="inlineStr">
        <is>
          <t xml:space="preserve">pH_band_hi</t>
        </is>
      </c>
      <c r="C237" s="19" t="inlineStr">
        <is>
          <t xml:space="preserve">pH</t>
        </is>
      </c>
      <c r="D237" s="131">
        <v>7.5</v>
      </c>
      <c r="E237" s="67" t="inlineStr">
        <is>
          <t xml:space="preserve">HOB optimum 6.5–7.5 (Pous 2022/23; Rovira-Alsina 2025).</t>
        </is>
      </c>
    </row>
    <row r="238">
      <c r="A238" s="17" t="inlineStr">
        <is>
          <t xml:space="preserve">Buffer caution fraction</t>
        </is>
      </c>
      <c r="B238" s="18" t="inlineStr">
        <is>
          <t xml:space="preserve">buffer_caution_frac</t>
        </is>
      </c>
      <c r="C238" s="19" t="inlineStr">
        <is>
          <t xml:space="preserve">-</t>
        </is>
      </c>
      <c r="D238" s="131">
        <v>0.5</v>
      </c>
      <c r="E238" s="75" t="inlineStr">
        <is>
          <t xml:space="preserve">Coarse estimate: flag "watch" above this fraction of the buffer-limited current density.</t>
        </is>
      </c>
    </row>
    <row r="250">
      <c r="A250" s="5" t="inlineStr">
        <is>
          <t xml:space="preserve">ELECTRODE-SURFACE CHEMISTRY AT THE OPERATING POINT</t>
        </is>
      </c>
    </row>
    <row r="251">
      <c r="A251" t="inlineStr">
        <is>
          <t xml:space="preserve">Diffusion coefficient — HCO₃⁻</t>
        </is>
      </c>
      <c r="B251" s="18" t="inlineStr">
        <is>
          <t xml:space="preserve">D_HCO3</t>
        </is>
      </c>
      <c r="C251" s="19" t="inlineStr">
        <is>
          <t xml:space="preserve">m²/s</t>
        </is>
      </c>
      <c r="D251" s="146">
        <v>1.185e-09</v>
      </c>
      <c r="E251" s="99" t="inlineStr">
        <is>
          <t xml:space="preserve">CRC Handbook (Vanýsek), ionic diffusion coefficient at 25 °C, 1.185×10⁻⁵ cm²/s.</t>
        </is>
      </c>
    </row>
    <row r="252">
      <c r="A252" t="inlineStr">
        <is>
          <t xml:space="preserve">Bicarbonate at the operating point</t>
        </is>
      </c>
      <c r="B252" s="18" t="inlineStr">
        <is>
          <t xml:space="preserve">HCO3_op</t>
        </is>
      </c>
      <c r="C252" s="19" t="inlineStr">
        <is>
          <t xml:space="preserve">mol/L</t>
        </is>
      </c>
      <c r="D252" s="141">
        <f>Ka1c_c*CO2aqc/10^-pH_op</f>
        <v>0.020302021576</v>
      </c>
      <c r="E252" s="67" t="inlineStr">
        <is>
          <t xml:space="preserve">Concentration scale, same speciation the charge balance solves (Ka1c_c with pH_op).</t>
        </is>
      </c>
    </row>
    <row r="253">
      <c r="A253" t="inlineStr">
        <is>
          <t xml:space="preserve">Hydrogen phosphate at the operating point</t>
        </is>
      </c>
      <c r="B253" s="18" t="inlineStr">
        <is>
          <t xml:space="preserve">HPO4_op</t>
        </is>
      </c>
      <c r="C253" s="19" t="inlineStr">
        <is>
          <t xml:space="preserve">mol/L</t>
        </is>
      </c>
      <c r="D253" s="141">
        <f>pH_PT/(1+10^(-LOG10(Ka2p_c)-pH_op))</f>
        <v>0.012455537296</v>
      </c>
      <c r="E253" s="67" t="inlineStr">
        <is>
          <t xml:space="preserve">Concentration scale: HPO₄²⁻ share of total phosphate at pH_op with the concentration-scale pKa2.</t>
        </is>
      </c>
    </row>
    <row r="254">
      <c r="A254" t="inlineStr">
        <is>
          <t xml:space="preserve">(import) anode overpotential</t>
        </is>
      </c>
      <c r="B254" s="18" t="inlineStr">
        <is>
          <t xml:space="preserve">eta_anode_c</t>
        </is>
      </c>
      <c r="C254" s="19" t="inlineStr">
        <is>
          <t xml:space="preserve">V</t>
        </is>
      </c>
      <c r="D254" s="141">
        <f>Electrochemistry!$D$111</f>
        <v>0.894142423496</v>
      </c>
      <c r="E254" s="67" t="inlineStr">
        <is>
          <t xml:space="preserve">Import from Electrochemistry!D111 (Tafel, at the operating current density).</t>
        </is>
      </c>
    </row>
    <row r="255">
      <c r="A255" t="inlineStr">
        <is>
          <t xml:space="preserve">(import) proton-coupled credit</t>
        </is>
      </c>
      <c r="B255" s="18" t="inlineStr">
        <is>
          <t xml:space="preserve">pcet_credit_c</t>
        </is>
      </c>
      <c r="C255" s="19" t="inlineStr">
        <is>
          <t xml:space="preserve">V</t>
        </is>
      </c>
      <c r="D255" s="141">
        <f>Electrochemistry!$D$113</f>
        <v>-0.15</v>
      </c>
      <c r="E255" s="67" t="inlineStr">
        <is>
          <t xml:space="preserve">Import from Electrochemistry!D113.</t>
        </is>
      </c>
    </row>
    <row r="256">
      <c r="A256" t="inlineStr">
        <is>
          <t xml:space="preserve">Operating anode potential</t>
        </is>
      </c>
      <c r="B256" s="18" t="inlineStr">
        <is>
          <t xml:space="preserve">E_anode_op</t>
        </is>
      </c>
      <c r="C256" s="19" t="inlineStr">
        <is>
          <t xml:space="preserve">V vs SHE</t>
        </is>
      </c>
      <c r="D256" s="141">
        <f>E_OER+eta_anode_c+pcet_credit_c</f>
        <v>1.584430226635</v>
      </c>
      <c r="E256" s="67" t="inlineStr">
        <is>
          <t xml:space="preserve">Reversible O₂/H₂O potential at the bulk pH plus the anode overpotential and the proton-coupled credit from the cell-voltage budget.</t>
        </is>
      </c>
    </row>
    <row r="257">
      <c r="A257" t="inlineStr">
        <is>
          <t xml:space="preserve">Standard potential — HOCl + H⁺ + 2e⁻ → Cl⁻ + H₂O</t>
        </is>
      </c>
      <c r="B257" s="18" t="inlineStr">
        <is>
          <t xml:space="preserve">E0_HOCl</t>
        </is>
      </c>
      <c r="C257" s="19" t="inlineStr">
        <is>
          <t xml:space="preserve">V</t>
        </is>
      </c>
      <c r="D257" s="146">
        <v>1.482</v>
      </c>
      <c r="E257" s="99" t="inlineStr">
        <is>
          <t xml:space="preserve">CRC Handbook §5, ±0.002 V.</t>
        </is>
      </c>
    </row>
    <row r="258">
      <c r="A258" t="inlineStr">
        <is>
          <t xml:space="preserve">HOCl/Cl⁻ potential at the operating point</t>
        </is>
      </c>
      <c r="B258" s="18" t="inlineStr">
        <is>
          <t xml:space="preserve">E_HOCl_Cl</t>
        </is>
      </c>
      <c r="C258" s="19" t="inlineStr">
        <is>
          <t xml:space="preserve">V vs SHE</t>
        </is>
      </c>
      <c r="D258" s="141">
        <f>E0_HOCl+nernst_slope/2*(LOG10(MAX(HOCl_ss*f_local,1E-12))-pH_meas-LOG10(MAX(pH_Cl,1E-12)))</f>
        <v>1.156915471544</v>
      </c>
      <c r="E258" s="67" t="inlineStr">
        <is>
          <t xml:space="preserve">Nernst for the couple actually formed at trace chloride (HOCl at nanomolar level, not Cl₂ gas at 1 atm), at the electrode-enriched HOCl.</t>
        </is>
      </c>
    </row>
    <row r="259">
      <c r="A259" t="inlineStr">
        <is>
          <t xml:space="preserve">Free chlorine low end, as Cl₂</t>
        </is>
      </c>
      <c r="B259" s="18" t="inlineStr">
        <is>
          <t xml:space="preserve">C_eff_lo_Cl2</t>
        </is>
      </c>
      <c r="C259" s="19" t="inlineStr">
        <is>
          <t xml:space="preserve">mg/L</t>
        </is>
      </c>
      <c r="D259" s="141">
        <f>C_eff_lo*M_Cl2/M_HOCl</f>
        <v>0.00624419795</v>
      </c>
      <c r="E259" s="67" t="inlineStr">
        <is>
          <t xml:space="preserve">C_eff_lo on the as-Cl₂ basis the thresholds use.</t>
        </is>
      </c>
    </row>
    <row r="260">
      <c r="A260" t="inlineStr">
        <is>
          <t xml:space="preserve">Free chlorine high end, as Cl₂</t>
        </is>
      </c>
      <c r="B260" s="18" t="inlineStr">
        <is>
          <t xml:space="preserve">C_eff_hi_Cl2</t>
        </is>
      </c>
      <c r="C260" s="19" t="inlineStr">
        <is>
          <t xml:space="preserve">mg/L</t>
        </is>
      </c>
      <c r="D260" s="141">
        <f>C_eff_hi*M_Cl2/M_HOCl</f>
        <v>0.644474787575</v>
      </c>
      <c r="E260" s="67" t="inlineStr">
        <is>
          <t xml:space="preserve">C_eff_hi on the as-Cl₂ basis the thresholds use.</t>
        </is>
      </c>
    </row>
    <row r="270">
      <c r="A270" s="5" t="inlineStr">
        <is>
          <t xml:space="preserve">CHLORIDE RECYCLING AND SPECIES-SPECIFIC ELECTRODE MASS TRANSFER</t>
        </is>
      </c>
    </row>
    <row r="271">
      <c r="A271" t="inlineStr">
        <is>
          <t xml:space="preserve">First-order anodic chloride turnover</t>
        </is>
      </c>
      <c r="B271" s="18" t="inlineStr">
        <is>
          <t xml:space="preserve">k_Cl_turn</t>
        </is>
      </c>
      <c r="C271" s="19" t="inlineStr">
        <is>
          <t xml:space="preserve">1/s</t>
        </is>
      </c>
      <c r="D271" s="141">
        <f>km_Cl*A_anode/1000/VLc</f>
        <v>0.0005428244278184</v>
      </c>
      <c r="E271" s="75" t="inlineStr">
        <is>
          <t xml:space="preserve">First-order anodic chloride turnover at the transport limit, km_Cl·A/V (cm³ → L by /1000). Independent of the chloride level, so the recycling split (D278, D143) is not circular.</t>
        </is>
      </c>
    </row>
    <row r="272">
      <c r="A272" t="inlineStr">
        <is>
          <t xml:space="preserve">(import) electrode mass-transfer coefficient — O₂</t>
        </is>
      </c>
      <c r="B272" s="18" t="inlineStr">
        <is>
          <t xml:space="preserve">km_O2_c</t>
        </is>
      </c>
      <c r="C272" s="19" t="inlineStr">
        <is>
          <t xml:space="preserve">cm/s</t>
        </is>
      </c>
      <c r="D272" s="141">
        <f>Electrochemistry!$D$83</f>
        <v>0.004</v>
      </c>
      <c r="E272" s="67" t="inlineStr">
        <is>
          <t xml:space="preserve">→ Electrochemistry (km_O2; Eisenberg–Tobias–Wilke, unmeasured swirl)</t>
        </is>
      </c>
    </row>
    <row r="273">
      <c r="A273" t="inlineStr">
        <is>
          <t xml:space="preserve">(import) diffusivity exponent for k_m scaling</t>
        </is>
      </c>
      <c r="B273" s="18" t="inlineStr">
        <is>
          <t xml:space="preserve">km_exp_c</t>
        </is>
      </c>
      <c r="C273" s="19" t="inlineStr">
        <is>
          <t xml:space="preserve">-</t>
        </is>
      </c>
      <c r="D273" s="141">
        <f>Electrochemistry!$D$84</f>
        <v>0.644</v>
      </c>
      <c r="E273" s="67" t="inlineStr">
        <is>
          <t xml:space="preserve">→ Electrochemistry (km_exp)</t>
        </is>
      </c>
    </row>
    <row r="274">
      <c r="A274" t="inlineStr">
        <is>
          <t xml:space="preserve">(import) O₂ diffusivity at reactor T</t>
        </is>
      </c>
      <c r="B274" s="18" t="inlineStr">
        <is>
          <t xml:space="preserve">D_O2_c</t>
        </is>
      </c>
      <c r="C274" s="19" t="inlineStr">
        <is>
          <t xml:space="preserve">m²/s</t>
        </is>
      </c>
      <c r="D274" s="141">
        <f>Electrochemistry!$D$81</f>
        <v>1.997672318404e-09</v>
      </c>
      <c r="E274" s="67" t="inlineStr">
        <is>
          <t xml:space="preserve">→ Electrochemistry (ec_D_O2)</t>
        </is>
      </c>
    </row>
    <row r="275">
      <c r="A275" t="inlineStr">
        <is>
          <t xml:space="preserve">Electrode mass-transfer coefficient — HPO₄²⁻</t>
        </is>
      </c>
      <c r="B275" s="18" t="inlineStr">
        <is>
          <t xml:space="preserve">km_HPO4</t>
        </is>
      </c>
      <c r="C275" s="19" t="inlineStr">
        <is>
          <t xml:space="preserve">cm/s</t>
        </is>
      </c>
      <c r="D275" s="141">
        <f>km_O2_c*(D_HPO4/D_O2_c)^km_exp_c</f>
        <v>0.002144855688</v>
      </c>
      <c r="E275" s="75" t="inlineStr">
        <is>
          <t xml:space="preserve">k_m,i = k_m(O₂)·(D_i/D_O₂)^km_exp, the same Eisenberg scaling as km_Cl (D129).</t>
        </is>
      </c>
    </row>
    <row r="276">
      <c r="A276" t="inlineStr">
        <is>
          <t xml:space="preserve">Electrode mass-transfer coefficient — HCO₃⁻</t>
        </is>
      </c>
      <c r="B276" s="18" t="inlineStr">
        <is>
          <t xml:space="preserve">km_HCO3</t>
        </is>
      </c>
      <c r="C276" s="19" t="inlineStr">
        <is>
          <t xml:space="preserve">cm/s</t>
        </is>
      </c>
      <c r="D276" s="141">
        <f>km_O2_c*(D_HCO3/D_O2_c)^km_exp_c</f>
        <v>0.002857570744</v>
      </c>
      <c r="E276" s="75" t="inlineStr">
        <is>
          <t xml:space="preserve">As D275, for bicarbonate.</t>
        </is>
      </c>
    </row>
    <row r="277">
      <c r="A277" t="inlineStr">
        <is>
          <t xml:space="preserve">Diffusion coefficient — Cl⁻</t>
        </is>
      </c>
      <c r="B277" s="18" t="inlineStr">
        <is>
          <t xml:space="preserve">D_Cl</t>
        </is>
      </c>
      <c r="C277" s="19" t="inlineStr">
        <is>
          <t xml:space="preserve">m²/s</t>
        </is>
      </c>
      <c r="D277" s="146">
        <v>2.032e-09</v>
      </c>
      <c r="E277" s="99" t="inlineStr">
        <is>
          <t xml:space="preserve">CRC Handbook (Vanýsek), ionic diffusion coefficient at 25 °C, 2.032×10⁻⁵ cm²/s.</t>
        </is>
      </c>
    </row>
    <row r="278">
      <c r="A278" t="inlineStr">
        <is>
          <t xml:space="preserve">Free share of the chloride pool</t>
        </is>
      </c>
      <c r="B278" s="18" t="inlineStr">
        <is>
          <t xml:space="preserve">Cl_free_frac</t>
        </is>
      </c>
      <c r="C278" s="19" t="inlineStr">
        <is>
          <t xml:space="preserve">-</t>
        </is>
      </c>
      <c r="D278" s="141">
        <f>1/(1+k_Cl_turn*tau_NH2Cl*3600)</f>
        <v>0.338504790608</v>
      </c>
      <c r="E278" s="67" t="inlineStr">
        <is>
          <t xml:space="preserve">At steady state the chloride pool splits free : combined = 1 : kτ (row 271 and D143), so only this share is available to the anode.</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150">
        <f>Electrochemistry!$D$21</f>
        <v>0.0001017274698715</v>
      </c>
      <c r="E4" s="135" t="str">
        <f>HYPERLINK("#Electrochemistry!D21","→ Electrochemistry")</f>
        <v>→ Electrochemistry</v>
      </c>
      <c r="F4" s="20"/>
    </row>
    <row r="5" spans="1:6" x14ac:dyDescent="0.2">
      <c r="A5" s="20" t="s">
        <v>404</v>
      </c>
      <c r="B5" s="18" t="s">
        <v>378</v>
      </c>
      <c r="C5" s="20" t="s">
        <v>354</v>
      </c>
      <c r="D5" s="150">
        <f>Electrochemistry!$D$29</f>
        <v>4.979033518202e-05</v>
      </c>
      <c r="E5" s="135" t="str">
        <f>HYPERLINK("#Electrochemistry!D29","→ Electrochemistry")</f>
        <v>→ Electrochemistry</v>
      </c>
      <c r="F5" s="20"/>
    </row>
    <row r="6" spans="1:6" x14ac:dyDescent="0.2">
      <c r="A6" s="20" t="s">
        <v>405</v>
      </c>
      <c r="B6" s="18" t="s">
        <v>228</v>
      </c>
      <c r="C6" s="20" t="s">
        <v>57</v>
      </c>
      <c r="D6" s="151">
        <f>Geometry!$D$41</f>
        <v>15.0</v>
      </c>
      <c r="E6" s="135" t="str">
        <f>HYPERLINK("#Geometry!D41","→ Geometry")</f>
        <v>→ Geometry</v>
      </c>
      <c r="F6" s="20"/>
    </row>
    <row r="7" spans="1:6" x14ac:dyDescent="0.2">
      <c r="A7" s="20" t="s">
        <v>406</v>
      </c>
      <c r="B7" s="18" t="s">
        <v>38</v>
      </c>
      <c r="C7" s="20"/>
      <c r="D7" s="134" t="str">
        <f>Summary!$D$4</f>
        <v>UdG (mixed)</v>
      </c>
      <c r="E7" s="135"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58">
        <f>IF(ISNUMBER(cal_knall_H2),cal_knall_H2,knall_H2_default)</f>
        <v>6.0</v>
      </c>
      <c r="E10" s="61" t="s">
        <v>409</v>
      </c>
      <c r="F10" s="20"/>
    </row>
    <row r="11" spans="1:6" x14ac:dyDescent="0.2">
      <c r="A11" s="17" t="s">
        <v>410</v>
      </c>
      <c r="B11" s="18" t="s">
        <v>411</v>
      </c>
      <c r="C11" s="19" t="s">
        <v>135</v>
      </c>
      <c r="D11" s="58">
        <f>IF(ISNUMBER(cal_knall_O2),cal_knall_O2,knall_O2_default)</f>
        <v>2.0</v>
      </c>
      <c r="E11" s="61" t="s">
        <v>412</v>
      </c>
      <c r="F11" s="20"/>
    </row>
    <row r="12" spans="1:6" x14ac:dyDescent="0.2">
      <c r="A12" s="17" t="s">
        <v>413</v>
      </c>
      <c r="B12" s="18" t="s">
        <v>414</v>
      </c>
      <c r="C12" s="19" t="s">
        <v>135</v>
      </c>
      <c r="D12" s="58">
        <f>IF(ISNUMBER(cal_knall_CO2),cal_knall_CO2,knall_CO2_default)</f>
        <v>1.0</v>
      </c>
      <c r="E12" s="61" t="s">
        <v>415</v>
      </c>
      <c r="F12" s="20"/>
    </row>
    <row r="13" spans="1:6" x14ac:dyDescent="0.2">
      <c r="A13" s="17" t="s">
        <v>416</v>
      </c>
      <c r="B13" s="18" t="s">
        <v>417</v>
      </c>
      <c r="C13" s="19" t="s">
        <v>354</v>
      </c>
      <c r="D13" s="48">
        <f>MAX(0,rH2_gen-H2_HOR_b)</f>
        <v>0.0001017274698715</v>
      </c>
      <c r="E13" s="37" t="inlineStr">
        <is>
          <t xml:space="preserve">Evolved H₂ minus any crossed-over H₂ the Pt anode oxidises (D96; 0 until measured), assumed fully consumed — steady growth only; ~0 during lag (see §13).</t>
        </is>
      </c>
      <c r="F13" s="20"/>
    </row>
    <row r="14" spans="1:6" ht="26" customHeight="1" x14ac:dyDescent="0.2">
      <c r="A14" s="17" t="s">
        <v>419</v>
      </c>
      <c r="B14" s="18" t="s">
        <v>420</v>
      </c>
      <c r="C14" s="19" t="s">
        <v>354</v>
      </c>
      <c r="D14" s="48">
        <f>H2_cons*bio_O2/bio_H2</f>
        <v>3.390915662382e-05</v>
      </c>
      <c r="E14" s="107" t="s">
        <v>421</v>
      </c>
      <c r="F14" s="20"/>
    </row>
    <row r="15" spans="1:6" x14ac:dyDescent="0.2">
      <c r="A15" s="17" t="s">
        <v>422</v>
      </c>
      <c r="B15" s="18" t="s">
        <v>423</v>
      </c>
      <c r="C15" s="19" t="s">
        <v>354</v>
      </c>
      <c r="D15" s="48">
        <f>H2_cons*bio_CO2/bio_H2</f>
        <v>1.695457831191e-05</v>
      </c>
      <c r="E15" s="37" t="s">
        <v>424</v>
      </c>
      <c r="F15" s="20"/>
    </row>
    <row r="16" spans="1:6" ht="52" x14ac:dyDescent="0.2">
      <c r="A16" s="113" t="s">
        <v>425</v>
      </c>
      <c r="B16" s="18" t="s">
        <v>426</v>
      </c>
      <c r="C16" s="19" t="s">
        <v>354</v>
      </c>
      <c r="D16" s="48">
        <f>MAX(0,O2_net_gen-O2_cons)</f>
        <v>1.58811785582e-05</v>
      </c>
      <c r="E16" s="115" t="s">
        <v>1926</v>
      </c>
      <c r="F16" s="20"/>
    </row>
    <row r="17" spans="1:6" x14ac:dyDescent="0.2">
      <c r="A17" s="17" t="s">
        <v>427</v>
      </c>
      <c r="B17" s="18" t="s">
        <v>428</v>
      </c>
      <c r="C17" s="19" t="s">
        <v>53</v>
      </c>
      <c r="D17" s="149">
        <f>Summary!$D$8</f>
        <v>25.0</v>
      </c>
      <c r="E17" s="37" t="s">
        <v>429</v>
      </c>
      <c r="F17" s="20"/>
    </row>
    <row r="18" spans="1:6" ht="24" customHeight="1" x14ac:dyDescent="0.2">
      <c r="A18" s="17" t="s">
        <v>430</v>
      </c>
      <c r="B18" s="18" t="s">
        <v>308</v>
      </c>
      <c r="C18" s="19" t="s">
        <v>309</v>
      </c>
      <c r="D18" s="42">
        <f>T_C+T_zero_C</f>
        <v>298.15</v>
      </c>
      <c r="E18" s="99" t="s">
        <v>431</v>
      </c>
      <c r="F18" s="20"/>
    </row>
    <row r="19" spans="1:6" x14ac:dyDescent="0.2">
      <c r="A19" s="17" t="s">
        <v>432</v>
      </c>
      <c r="B19" s="18" t="s">
        <v>311</v>
      </c>
      <c r="C19" s="19" t="s">
        <v>62</v>
      </c>
      <c r="D19" s="134">
        <f>IF(P_atm_set&gt;0,P_atm_set,Pa_per_atm)</f>
        <v>101325.0</v>
      </c>
      <c r="E19" s="37" t="s">
        <v>433</v>
      </c>
      <c r="F19" s="20"/>
    </row>
    <row r="20" spans="1:6" x14ac:dyDescent="0.2">
      <c r="A20" s="17" t="s">
        <v>434</v>
      </c>
      <c r="B20" s="18" t="s">
        <v>435</v>
      </c>
      <c r="C20" s="19" t="s">
        <v>436</v>
      </c>
      <c r="D20" s="146">
        <v>101325</v>
      </c>
      <c r="E20" s="99" t="s">
        <v>437</v>
      </c>
      <c r="F20" s="20"/>
    </row>
    <row r="21" spans="1:6" x14ac:dyDescent="0.2">
      <c r="A21" s="17" t="s">
        <v>438</v>
      </c>
      <c r="B21" s="18" t="s">
        <v>439</v>
      </c>
      <c r="C21" s="19" t="s">
        <v>440</v>
      </c>
      <c r="D21" s="146">
        <v>1.2E-5</v>
      </c>
      <c r="E21" s="51" t="s">
        <v>441</v>
      </c>
      <c r="F21" s="20"/>
    </row>
    <row r="22" spans="1:6" x14ac:dyDescent="0.2">
      <c r="A22" s="17" t="s">
        <v>442</v>
      </c>
      <c r="B22" s="18" t="s">
        <v>443</v>
      </c>
      <c r="C22" s="19" t="s">
        <v>309</v>
      </c>
      <c r="D22" s="146">
        <v>1500</v>
      </c>
      <c r="E22" s="51" t="s">
        <v>444</v>
      </c>
      <c r="F22" s="20"/>
    </row>
    <row r="23" spans="1:6" x14ac:dyDescent="0.2">
      <c r="A23" s="17" t="s">
        <v>445</v>
      </c>
      <c r="B23" s="18" t="s">
        <v>446</v>
      </c>
      <c r="C23" s="19" t="s">
        <v>309</v>
      </c>
      <c r="D23" s="146">
        <v>298.14999999999998</v>
      </c>
      <c r="E23" s="99" t="s">
        <v>447</v>
      </c>
      <c r="F23" s="20"/>
    </row>
    <row r="24" spans="1:6" x14ac:dyDescent="0.2">
      <c r="A24" s="17" t="s">
        <v>448</v>
      </c>
      <c r="B24" s="18" t="s">
        <v>449</v>
      </c>
      <c r="C24" s="19" t="s">
        <v>440</v>
      </c>
      <c r="D24" s="64">
        <f>H_O2ref*EXP(H_O2T*(1/T_K-1/T_ref))</f>
        <v>1.2e-05</v>
      </c>
      <c r="E24" s="99" t="s">
        <v>450</v>
      </c>
      <c r="F24" s="20"/>
    </row>
    <row r="25" spans="1:6" ht="24" customHeight="1" x14ac:dyDescent="0.2">
      <c r="A25" s="17" t="s">
        <v>451</v>
      </c>
      <c r="B25" s="18" t="s">
        <v>452</v>
      </c>
      <c r="C25" s="19" t="s">
        <v>453</v>
      </c>
      <c r="D25" s="146">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0.36477</v>
      </c>
      <c r="E27" s="99" t="s">
        <v>461</v>
      </c>
      <c r="F27" s="20"/>
    </row>
    <row r="28" spans="1:6" x14ac:dyDescent="0.2">
      <c r="A28" s="113" t="s">
        <v>458</v>
      </c>
      <c r="B28" s="18" t="s">
        <v>462</v>
      </c>
      <c r="C28" s="19" t="s">
        <v>463</v>
      </c>
      <c r="D28" s="43">
        <f>O2_ceil_C*1000</f>
        <v>364.77</v>
      </c>
      <c r="E28" s="65" t="s">
        <v>464</v>
      </c>
      <c r="F28" s="20"/>
    </row>
    <row r="29" spans="1:6" x14ac:dyDescent="0.2">
      <c r="A29" s="17" t="s">
        <v>465</v>
      </c>
      <c r="B29" s="18" t="s">
        <v>466</v>
      </c>
      <c r="C29" s="19" t="s">
        <v>440</v>
      </c>
      <c r="D29" s="152">
        <v>3.3E-4</v>
      </c>
      <c r="E29" s="67" t="s">
        <v>1054</v>
      </c>
      <c r="F29" s="20"/>
    </row>
    <row r="30" spans="1:6" ht="24" customHeight="1" x14ac:dyDescent="0.2">
      <c r="A30" s="17" t="s">
        <v>467</v>
      </c>
      <c r="B30" s="18" t="s">
        <v>468</v>
      </c>
      <c r="C30" s="19" t="s">
        <v>309</v>
      </c>
      <c r="D30" s="152">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131">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152">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152">
        <v>7.7999999999999999E-6</v>
      </c>
      <c r="E38" s="67" t="s">
        <v>1055</v>
      </c>
      <c r="F38" s="20"/>
    </row>
    <row r="39" spans="1:6" x14ac:dyDescent="0.2">
      <c r="A39" s="17" t="s">
        <v>494</v>
      </c>
      <c r="B39" s="18" t="s">
        <v>495</v>
      </c>
      <c r="C39" s="19" t="s">
        <v>309</v>
      </c>
      <c r="D39" s="152">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6.992226395671</v>
      </c>
      <c r="E42" s="99" t="s">
        <v>504</v>
      </c>
      <c r="F42" s="20"/>
    </row>
    <row r="43" spans="1:6" x14ac:dyDescent="0.2">
      <c r="A43" s="17" t="s">
        <v>505</v>
      </c>
      <c r="B43" s="18" t="s">
        <v>506</v>
      </c>
      <c r="C43" s="19" t="s">
        <v>507</v>
      </c>
      <c r="D43" s="48">
        <f>rH2_gen/(V_charge/1000000)/C_H2_sat</f>
        <v>8.580957853016</v>
      </c>
      <c r="E43" s="69" t="s">
        <v>508</v>
      </c>
      <c r="F43" s="20"/>
    </row>
    <row r="44" spans="1:6" ht="24" customHeight="1" x14ac:dyDescent="0.2">
      <c r="A44" s="17" t="inlineStr">
        <is>
          <t xml:space="preserve">H₂ headspace flammability verdict</t>
        </is>
      </c>
      <c r="B44" s="18" t="s">
        <v>510</v>
      </c>
      <c r="C44" s="19" t="s">
        <v>135</v>
      </c>
      <c r="D44" s="48" t="str">
        <f>IF(AND(y_H2_hs_lag&gt;=H2_LFL,y_O2_hs_lag&gt;=O2_LOC_H2*LOC_margin),"FLAMMABLE HEADSPACE (lag): H₂ "&amp;TEXT(y_H2_hs_lag,"0%")&amp;", O₂ "&amp;TEXT(y_O2_hs_lag,"0%")&amp;" – until uptake starts, sparge every ≤"&amp;TEXT(spg_int_H2safe/2,"0.0")&amp;" min or sweep ≥"&amp;TEXT(N2_sweep_H2safe,"0.0")&amp;" mL/min N₂; vent to a hood; no ignition sources","Below the H₂ LFL or under the O₂ LOC margin (lag basis)")</f>
        <v>FLAMMABLE HEADSPACE (lag): H₂ 17%, O₂ 8% – until uptake starts, sparge every ≤2.2 min or sweep ≥1.0 mL/min N₂; vent to a hood; no ignition sources</v>
      </c>
      <c r="E44" s="70" t="inlineStr">
        <is>
          <t xml:space="preserve">Tests the lag-phase headspace mix (rows 84–85) against the H₂ lower flammability limit and the limiting O₂ concentration with a design margin.</t>
        </is>
      </c>
      <c r="F44" s="101" t="inlineStr">
        <is>
          <t xml:space="preserve">Hazard verdict (lag-phase headspace flammability), not a data gap.</t>
        </is>
      </c>
    </row>
    <row r="45" spans="1:6" x14ac:dyDescent="0.2">
      <c r="A45" s="20" t="s">
        <v>513</v>
      </c>
      <c r="B45" s="20" t="s">
        <v>514</v>
      </c>
      <c r="C45" s="20" t="s">
        <v>102</v>
      </c>
      <c r="D45" s="32" t="e">
        <f>IF(ISNUMBER(cal_DO_min),cal_DO_min,IF(ISNUMBER(VLOOKUP(organism_sel,$A$52:$F$57,2,FALSE)),VLOOKUP(organism_sel,$A$52:$F$57,2,FALSE),NA()))</f>
        <v>#N/A</v>
      </c>
      <c r="E45" s="20"/>
      <c r="F45" s="20"/>
    </row>
    <row r="46" spans="1:6" x14ac:dyDescent="0.2">
      <c r="A46" s="20" t="s">
        <v>515</v>
      </c>
      <c r="B46" s="20" t="s">
        <v>516</v>
      </c>
      <c r="C46" s="20" t="s">
        <v>102</v>
      </c>
      <c r="D46" s="28" t="e">
        <f>IF(ISNUMBER(cal_DO_opt),cal_DO_opt,IF(ISNUMBER(VLOOKUP(organism_sel,$A$52:$F$57,3,FALSE)),VLOOKUP(organism_sel,$A$52:$F$57,3,FALSE),NA()))</f>
        <v>#N/A</v>
      </c>
      <c r="E46" s="20"/>
      <c r="F46" s="20"/>
    </row>
    <row r="47" spans="1:6" x14ac:dyDescent="0.2">
      <c r="A47" s="20" t="s">
        <v>517</v>
      </c>
      <c r="B47" s="20" t="s">
        <v>518</v>
      </c>
      <c r="C47" s="20" t="s">
        <v>102</v>
      </c>
      <c r="D47" s="28" t="e">
        <f>IF(ISNUMBER(cal_DO_impair),cal_DO_impair,IF(ISNUMBER(VLOOKUP(organism_sel,$A$52:$F$57,4,FALSE)),VLOOKUP(organism_sel,$A$52:$F$57,4,FALSE),NA()))</f>
        <v>#N/A</v>
      </c>
      <c r="E47" s="20"/>
      <c r="F47" s="20"/>
    </row>
    <row r="48" spans="1:6" x14ac:dyDescent="0.2">
      <c r="A48" s="20" t="s">
        <v>519</v>
      </c>
      <c r="B48" s="20" t="s">
        <v>520</v>
      </c>
      <c r="C48" s="20" t="s">
        <v>102</v>
      </c>
      <c r="D48" s="28" t="e">
        <f>IF(ISNUMBER(cal_DO_toxic),cal_DO_toxic,IF(ISNUMBER(VLOOKUP(organism_sel,$A$52:$F$57,5,FALSE)),VLOOKUP(organism_sel,$A$52:$F$57,5,FALSE),NA()))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inlineStr">
        <is>
          <t xml:space="preserve">TARGET DISSOLVED-OXYGEN FRACTION (one definition, used by every guard)</t>
        </is>
      </c>
    </row>
    <row r="60" spans="1:6" ht="24" x14ac:dyDescent="0.2">
      <c r="A60" t="s">
        <v>1474</v>
      </c>
      <c r="B60" s="18" t="s">
        <v>1475</v>
      </c>
      <c r="C60" s="19" t="s">
        <v>1274</v>
      </c>
      <c r="D60" s="141">
        <f>IF(AND(ISNUMBER(DO_opt),ISNUMBER(DO_toxic)),DO_opt/DO_toxic,DO_frac_fallback)</f>
        <v>0.226086956522</v>
      </c>
      <c r="E60" s="67" t="s">
        <v>1476</v>
      </c>
    </row>
    <row r="61" spans="1:6" ht="48" x14ac:dyDescent="0.2">
      <c r="A61" t="s">
        <v>1477</v>
      </c>
      <c r="B61" s="18" t="s">
        <v>1478</v>
      </c>
      <c r="C61" s="19" t="s">
        <v>1274</v>
      </c>
      <c r="D61" s="146">
        <v>0.22608695652173899</v>
      </c>
      <c r="E61" s="68" t="inlineStr">
        <is>
          <t xml:space="preserve">C. necator DO_opt 2.6 ÷ DO_toxic 11.5 mg/L (row 52), the only organism in the table with a measured band, used as the stand-in for the rest. Same optimum ÷ ceiling ratio the row above computes, so the fallback is consistent with the definition.</t>
        </is>
      </c>
    </row>
    <row r="62">
      <c r="A62" s="5" t="inlineStr">
        <is>
          <t xml:space="preserve">NAMED DEFAULTS, CONSTANTS AND IMPORTS</t>
        </is>
      </c>
    </row>
    <row r="63">
      <c r="A63" s="17" t="inlineStr">
        <is>
          <t xml:space="preserve">Default H₂ uptake ratio (no calibration)</t>
        </is>
      </c>
      <c r="B63" s="18" t="inlineStr">
        <is>
          <t xml:space="preserve">knall_H2_default</t>
        </is>
      </c>
      <c r="C63" s="19" t="inlineStr">
        <is>
          <t xml:space="preserve">-</t>
        </is>
      </c>
      <c r="D63" s="131">
        <v>6</v>
      </c>
      <c r="E63" s="61" t="inlineStr">
        <is>
          <t xml:space="preserve">Used when no Calibrations knallgas run is included. 6:2:1 = mid-range central uptake ratio (Lu &amp; Yu 2019; feed optimum 7:2:1, Ishizaki 2001).</t>
        </is>
      </c>
    </row>
    <row r="64">
      <c r="A64" s="17" t="inlineStr">
        <is>
          <t xml:space="preserve">Default O₂ uptake ratio (no calibration)</t>
        </is>
      </c>
      <c r="B64" s="18" t="inlineStr">
        <is>
          <t xml:space="preserve">knall_O2_default</t>
        </is>
      </c>
      <c r="C64" s="19" t="inlineStr">
        <is>
          <t xml:space="preserve">-</t>
        </is>
      </c>
      <c r="D64" s="131">
        <v>2</v>
      </c>
      <c r="E64" s="61" t="inlineStr">
        <is>
          <t xml:space="preserve">As above: O₂:H₂ uptake 0.29–0.35 (×6 → 1.75–2.1), 2 = central.</t>
        </is>
      </c>
    </row>
    <row r="65">
      <c r="A65" s="17" t="inlineStr">
        <is>
          <t xml:space="preserve">Default CO₂ uptake ratio (no calibration)</t>
        </is>
      </c>
      <c r="B65" s="18" t="inlineStr">
        <is>
          <t xml:space="preserve">knall_CO2_default</t>
        </is>
      </c>
      <c r="C65" s="19" t="inlineStr">
        <is>
          <t xml:space="preserve">-</t>
        </is>
      </c>
      <c r="D65" s="131">
        <v>1</v>
      </c>
      <c r="E65" s="61" t="inlineStr">
        <is>
          <t xml:space="preserve">As above: CO₂:H₂ uptake 0.15–0.19 (×6 → 0.9–1.15), 1 = central.</t>
        </is>
      </c>
    </row>
    <row r="66">
      <c r="A66" s="17" t="inlineStr">
        <is>
          <t xml:space="preserve">Celsius-to-kelvin offset</t>
        </is>
      </c>
      <c r="B66" s="18" t="inlineStr">
        <is>
          <t xml:space="preserve">T_zero_C</t>
        </is>
      </c>
      <c r="C66" s="19" t="inlineStr">
        <is>
          <t xml:space="preserve">K</t>
        </is>
      </c>
      <c r="D66" s="131">
        <v>273.15</v>
      </c>
      <c r="E66" s="99" t="inlineStr">
        <is>
          <t xml:space="preserve">Defined (SI): 0 °C = 273.15 K exactly.</t>
        </is>
      </c>
    </row>
    <row r="67">
      <c r="A67" s="20" t="inlineStr">
        <is>
          <t xml:space="preserve">(import) Ambient pressure setpoint</t>
        </is>
      </c>
      <c r="B67" s="18" t="inlineStr">
        <is>
          <t xml:space="preserve">P_atm_set</t>
        </is>
      </c>
      <c r="C67" s="20" t="inlineStr">
        <is>
          <t xml:space="preserve">Pa</t>
        </is>
      </c>
      <c r="D67" s="151">
        <f>Summary!$D$10</f>
        <v>0.0</v>
      </c>
      <c r="E67" s="135" t="inlineStr">
        <is>
          <t xml:space="preserve">Import from Summary!D10 (blank reads as 0, so P_atm falls back to Pa_per_atm).</t>
        </is>
      </c>
    </row>
    <row r="75">
      <c r="A75" s="5" t="inlineStr">
        <is>
          <t xml:space="preserve">HEADSPACE FLAMMABILITY (lag phase: electrolysis running, no H₂ uptake yet)</t>
        </is>
      </c>
    </row>
    <row r="76">
      <c r="A76" s="20" t="inlineStr">
        <is>
          <t xml:space="preserve">(import) average CO₂ supply rate</t>
        </is>
      </c>
      <c r="B76" s="18" t="inlineStr">
        <is>
          <t xml:space="preserve">CO2_supply_b</t>
        </is>
      </c>
      <c r="C76" s="20" t="inlineStr">
        <is>
          <t xml:space="preserve">mol/h</t>
        </is>
      </c>
      <c r="D76" s="150">
        <f>'Mass Transfer'!$D$100</f>
        <v>0.0004480356964998</v>
      </c>
      <c r="E76" s="135" t="inlineStr">
        <is>
          <t xml:space="preserve">Import from Mass Transfer!D100 (schedule in use).</t>
        </is>
      </c>
    </row>
    <row r="77">
      <c r="A77" s="20" t="inlineStr">
        <is>
          <t xml:space="preserve">(import) CO₂ rate while the valve is open</t>
        </is>
      </c>
      <c r="B77" s="18" t="inlineStr">
        <is>
          <t xml:space="preserve">CO2_rate_full_b</t>
        </is>
      </c>
      <c r="C77" s="20" t="inlineStr">
        <is>
          <t xml:space="preserve">mol/h</t>
        </is>
      </c>
      <c r="D77" s="150">
        <f>'Mass Transfer'!$D$178</f>
        <v>0.489998045758</v>
      </c>
      <c r="E77" s="135" t="inlineStr">
        <is>
          <t xml:space="preserve">Import from Mass Transfer!D178.</t>
        </is>
      </c>
    </row>
    <row r="78">
      <c r="A78" s="20" t="inlineStr">
        <is>
          <t xml:space="preserve">(import) pulse duration</t>
        </is>
      </c>
      <c r="B78" s="18" t="inlineStr">
        <is>
          <t xml:space="preserve">spg_dur_b</t>
        </is>
      </c>
      <c r="C78" s="20" t="inlineStr">
        <is>
          <t xml:space="preserve">s</t>
        </is>
      </c>
      <c r="D78" s="150">
        <f>'Mass Transfer'!$D$90</f>
        <v>0.784513049825</v>
      </c>
      <c r="E78" s="135" t="inlineStr">
        <is>
          <t xml:space="preserve">Import from Mass Transfer!D90.</t>
        </is>
      </c>
    </row>
    <row r="79">
      <c r="A79" s="20" t="inlineStr">
        <is>
          <t xml:space="preserve">(import) ideal gas constant</t>
        </is>
      </c>
      <c r="B79" s="18" t="inlineStr">
        <is>
          <t xml:space="preserve">R_gas_b</t>
        </is>
      </c>
      <c r="C79" s="20" t="inlineStr">
        <is>
          <t xml:space="preserve">J/(mol·K)</t>
        </is>
      </c>
      <c r="D79" s="150">
        <f>'Mass Transfer'!$D$101</f>
        <v>8.314462618</v>
      </c>
      <c r="E79" s="135" t="inlineStr">
        <is>
          <t xml:space="preserve">Import from Mass Transfer!D101.</t>
        </is>
      </c>
    </row>
    <row r="80">
      <c r="A80" s="17" t="inlineStr">
        <is>
          <t xml:space="preserve">H₂ lower flammability limit</t>
        </is>
      </c>
      <c r="B80" s="18" t="inlineStr">
        <is>
          <t xml:space="preserve">H2_LFL</t>
        </is>
      </c>
      <c r="C80" s="19" t="inlineStr">
        <is>
          <t xml:space="preserve">-</t>
        </is>
      </c>
      <c r="D80" s="146">
        <v>0.04</v>
      </c>
      <c r="E80" s="99" t="inlineStr">
        <is>
          <t xml:space="preserve">4.0 vol% in air or O₂ (Coward &amp; Jones 1952; Zabetakis 1965, USBM Bulletin 627).</t>
        </is>
      </c>
    </row>
    <row r="81">
      <c r="A81" s="17" t="inlineStr">
        <is>
          <t xml:space="preserve">Limiting O₂ concentration for H₂, CO₂ diluent</t>
        </is>
      </c>
      <c r="B81" s="18" t="inlineStr">
        <is>
          <t xml:space="preserve">O2_LOC_H2</t>
        </is>
      </c>
      <c r="C81" s="19" t="inlineStr">
        <is>
          <t xml:space="preserve">-</t>
        </is>
      </c>
      <c r="D81" s="146">
        <v>0.052</v>
      </c>
      <c r="E81" s="99" t="inlineStr">
        <is>
          <t xml:space="preserve">About 5.2 vol% O₂ with CO₂ as diluent (5.0 % with N₂): Zabetakis 1965; NFPA 69 annex table.</t>
        </is>
      </c>
    </row>
    <row r="82">
      <c r="A82" s="17" t="inlineStr">
        <is>
          <t xml:space="preserve">Design margin on the LOC</t>
        </is>
      </c>
      <c r="B82" s="18" t="inlineStr">
        <is>
          <t xml:space="preserve">LOC_margin</t>
        </is>
      </c>
      <c r="C82" s="19" t="inlineStr">
        <is>
          <t xml:space="preserve">-</t>
        </is>
      </c>
      <c r="D82" s="146">
        <v>0.6</v>
      </c>
      <c r="E82" s="99" t="inlineStr">
        <is>
          <t xml:space="preserve">NFPA 69: hold O₂ at or below 60 % of the LOC when it is not monitored continuously (check the edition in force).</t>
        </is>
      </c>
    </row>
    <row r="83">
      <c r="A83" s="17" t="inlineStr">
        <is>
          <t xml:space="preserve">Gas evolved into the headspace (lag)</t>
        </is>
      </c>
      <c r="B83" s="18" t="inlineStr">
        <is>
          <t xml:space="preserve">n_flamm_src</t>
        </is>
      </c>
      <c r="C83" s="19" t="inlineStr">
        <is>
          <t xml:space="preserve">mol/h</t>
        </is>
      </c>
      <c r="D83" s="48">
        <f>rH2_gen+O2_net_gen</f>
        <v>0.0001515178050535</v>
      </c>
      <c r="E83" s="69" t="inlineStr">
        <is>
          <t xml:space="preserve">Lag phase: no uptake, so all electrolytic H₂ and net O₂ reach the headspace.</t>
        </is>
      </c>
    </row>
    <row r="84">
      <c r="A84" s="17" t="inlineStr">
        <is>
          <t xml:space="preserve">Headspace H₂ fraction (lag, mean-field)</t>
        </is>
      </c>
      <c r="B84" s="18" t="inlineStr">
        <is>
          <t xml:space="preserve">y_H2_hs_lag</t>
        </is>
      </c>
      <c r="C84" s="19" t="inlineStr">
        <is>
          <t xml:space="preserve">-</t>
        </is>
      </c>
      <c r="D84" s="48">
        <f>rH2_gen/(n_flamm_src+CO2_supply_b)</f>
        <v>0.169672046961</v>
      </c>
      <c r="E84" s="69" t="inlineStr">
        <is>
          <t xml:space="preserve">Outflow-only mean-field balance: H₂ over all gas entering the headspace. Air ingress through the vent would lower H₂ and raise O₂.</t>
        </is>
      </c>
    </row>
    <row r="85">
      <c r="A85" s="17" t="inlineStr">
        <is>
          <t xml:space="preserve">Headspace O₂ fraction (lag, mean-field)</t>
        </is>
      </c>
      <c r="B85" s="18" t="inlineStr">
        <is>
          <t xml:space="preserve">y_O2_hs_lag</t>
        </is>
      </c>
      <c r="C85" s="19" t="inlineStr">
        <is>
          <t xml:space="preserve">-</t>
        </is>
      </c>
      <c r="D85" s="48">
        <f>O2_net_gen/(n_flamm_src+CO2_supply_b)</f>
        <v>0.083045691591</v>
      </c>
      <c r="E85" s="69" t="inlineStr">
        <is>
          <t xml:space="preserve">As above, for O₂.</t>
        </is>
      </c>
    </row>
    <row r="86">
      <c r="A86" s="17" t="inlineStr">
        <is>
          <t xml:space="preserve">CO₂ duty that makes the lag headspace non-flammable</t>
        </is>
      </c>
      <c r="B86" s="18" t="inlineStr">
        <is>
          <t xml:space="preserve">duty_H2safe</t>
        </is>
      </c>
      <c r="C86" s="19" t="inlineStr">
        <is>
          <t xml:space="preserve">-</t>
        </is>
      </c>
      <c r="D86" s="48">
        <f>MAX(0,MIN(rH2_gen/H2_LFL-n_flamm_src,O2_net_gen/(O2_LOC_H2*LOC_margin)-n_flamm_src))/CO2_rate_full_b</f>
        <v>0.002947616391</v>
      </c>
      <c r="E86" s="69" t="inlineStr">
        <is>
          <t xml:space="preserve">Least valve-open fraction that brings H₂ below the LFL or O₂ below the LOC margin, whichever needs less CO₂.</t>
        </is>
      </c>
    </row>
    <row r="87">
      <c r="A87" s="17" t="inlineStr">
        <is>
          <t xml:space="preserve">Interval that makes the lag headspace non-flammable</t>
        </is>
      </c>
      <c r="B87" s="18" t="inlineStr">
        <is>
          <t xml:space="preserve">spg_int_H2safe</t>
        </is>
      </c>
      <c r="C87" s="19" t="inlineStr">
        <is>
          <t xml:space="preserve">min</t>
        </is>
      </c>
      <c r="D87" s="48">
        <f>IF(duty_H2safe&gt;0,spg_dur_b/(60*duty_H2safe),NA())</f>
        <v>4.43586130694</v>
      </c>
      <c r="E87" s="69" t="inlineStr">
        <is>
          <t xml:space="preserve">Mean-field; the pulse-to-pulse sawtooth peaks need roughly half this interval.</t>
        </is>
      </c>
    </row>
    <row r="88">
      <c r="A88" s="17" t="inlineStr">
        <is>
          <t xml:space="preserve">N₂ sweep that keeps lag H₂ below the LFL</t>
        </is>
      </c>
      <c r="B88" s="18" t="inlineStr">
        <is>
          <t xml:space="preserve">N2_sweep_H2safe</t>
        </is>
      </c>
      <c r="C88" s="19" t="inlineStr">
        <is>
          <t xml:space="preserve">mL/min</t>
        </is>
      </c>
      <c r="D88" s="48">
        <f>MAX(0,rH2_gen/H2_LFL-n_flamm_src)/3600*R_gas_b*T_K/P_atm*1000000*60</f>
        <v>0.975219102801</v>
      </c>
      <c r="E88" s="69" t="inlineStr">
        <is>
          <t xml:space="preserve">Continuous inert headspace sweep that dilutes H₂ below the LFL with no CO₂ at all.</t>
        </is>
      </c>
    </row>
    <row r="95">
      <c r="A95" s="5" t="inlineStr">
        <is>
          <t xml:space="preserve">ANODIC H₂ LOSS AND CARBON AT THE CYCLE TROUGH</t>
        </is>
      </c>
    </row>
    <row r="96">
      <c r="A96" s="17" t="inlineStr">
        <is>
          <t xml:space="preserve">(import) H₂ oxidised at the anode</t>
        </is>
      </c>
      <c r="B96" s="18" t="inlineStr">
        <is>
          <t xml:space="preserve">H2_HOR_b</t>
        </is>
      </c>
      <c r="C96" s="19" t="inlineStr">
        <is>
          <t xml:space="preserve">mol/h</t>
        </is>
      </c>
      <c r="D96" s="48">
        <f>Electrochemistry!$D$149</f>
        <v>0.0</v>
      </c>
      <c r="E96" s="67" t="inlineStr">
        <is>
          <t xml:space="preserve">→ Electrochemistry (r_H2_HOR; 0 while f_HOR_anode is a data gap)</t>
        </is>
      </c>
    </row>
    <row r="97">
      <c r="A97" s="17" t="inlineStr">
        <is>
          <t xml:space="preserve">(import) dissolved CO₂ at the start of a pulse (cycle trough)</t>
        </is>
      </c>
      <c r="B97" s="18" t="inlineStr">
        <is>
          <t xml:space="preserve">C_cycle_start_b</t>
        </is>
      </c>
      <c r="C97" s="19" t="inlineStr">
        <is>
          <t xml:space="preserve">mol/m³</t>
        </is>
      </c>
      <c r="D97" s="48">
        <f>'Mass Transfer'!$D$198</f>
        <v>7.42516851712</v>
      </c>
      <c r="E97" s="67" t="inlineStr">
        <is>
          <t xml:space="preserve">→ Mass Transfer (C_cycle_start, mass-conserving limit cycle)</t>
        </is>
      </c>
    </row>
    <row r="98">
      <c r="A98" s="17" t="inlineStr">
        <is>
          <t xml:space="preserve">Carbon margin at the cycle trough (dissolved CO₂ : Km)</t>
        </is>
      </c>
      <c r="B98" s="18" t="inlineStr">
        <is>
          <t xml:space="preserve">CO2_margin_trough</t>
        </is>
      </c>
      <c r="C98" s="19" t="inlineStr">
        <is>
          <t xml:space="preserve">×</t>
        </is>
      </c>
      <c r="D98" s="48">
        <f>C_cycle_start_b*1000/Km_CO2</f>
        <v>148.503370342395</v>
      </c>
      <c r="E98" s="69" t="inlineStr">
        <is>
          <t xml:space="preserve">Lowest dissolved CO₂ of the dosing cycle (mol/m³ = mM, ×1000 → µM) against RuBisCO Km. A sub-second pulse never approaches the full-sparge saturation D33 uses, so this, not D35, is the carbon-availability test; schedule-dependent.</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153">
        <f>Geometry!$D$52</f>
        <v>12.0</v>
      </c>
      <c r="E5" s="73" t="str">
        <f>HYPERLINK("#Geometry!D52","→ Geometry")</f>
        <v>→ Geometry</v>
      </c>
      <c r="F5" s="101" t="inlineStr">
        <is>
          <t xml:space="preserve">Magnetic stir bar. Pioreactor max 20 mm; confirm the supplied bar's length.</t>
        </is>
      </c>
    </row>
    <row r="6" spans="1:6" x14ac:dyDescent="0.2">
      <c r="A6" s="20" t="s">
        <v>541</v>
      </c>
      <c r="B6" s="20" t="s">
        <v>459</v>
      </c>
      <c r="C6" s="20" t="s">
        <v>460</v>
      </c>
      <c r="D6" s="142">
        <f>Biology!$D$27</f>
        <v>0.36477</v>
      </c>
      <c r="E6" s="135" t="str">
        <f>HYPERLINK("#Biology!D27","→ Biology")</f>
        <v>→ Biology</v>
      </c>
      <c r="F6" s="20"/>
    </row>
    <row r="7" spans="1:6" x14ac:dyDescent="0.2">
      <c r="A7" s="20" t="s">
        <v>542</v>
      </c>
      <c r="B7" s="20" t="s">
        <v>456</v>
      </c>
      <c r="C7" s="20" t="s">
        <v>62</v>
      </c>
      <c r="D7" s="142">
        <f>Biology!$D$26</f>
        <v>30397.5</v>
      </c>
      <c r="E7" s="135" t="str">
        <f>HYPERLINK("#Biology!D26","→ Biology")</f>
        <v>→ Biology</v>
      </c>
      <c r="F7" s="20"/>
    </row>
    <row r="8" spans="1:6" ht="24" customHeight="1" x14ac:dyDescent="0.2">
      <c r="A8" s="20" t="s">
        <v>307</v>
      </c>
      <c r="B8" s="20" t="s">
        <v>308</v>
      </c>
      <c r="C8" s="20" t="s">
        <v>309</v>
      </c>
      <c r="D8" s="142">
        <f>Biology!$D$18</f>
        <v>298.15</v>
      </c>
      <c r="E8" s="135" t="str">
        <f>HYPERLINK("#Biology!D18","→ Biology")</f>
        <v>→ Biology</v>
      </c>
      <c r="F8" s="20"/>
    </row>
    <row r="9" spans="1:6" x14ac:dyDescent="0.2">
      <c r="A9" s="20" t="s">
        <v>310</v>
      </c>
      <c r="B9" s="20" t="s">
        <v>311</v>
      </c>
      <c r="C9" s="20" t="s">
        <v>62</v>
      </c>
      <c r="D9" s="142">
        <f>Biology!$D$19</f>
        <v>101325.0</v>
      </c>
      <c r="E9" s="135" t="str">
        <f>HYPERLINK("#Biology!D19","→ Biology")</f>
        <v>→ Biology</v>
      </c>
      <c r="F9" s="20"/>
    </row>
    <row r="10" spans="1:6" x14ac:dyDescent="0.2">
      <c r="A10" s="20" t="s">
        <v>543</v>
      </c>
      <c r="B10" s="20" t="s">
        <v>423</v>
      </c>
      <c r="C10" s="20" t="s">
        <v>354</v>
      </c>
      <c r="D10" s="142">
        <f>Biology!$D$15</f>
        <v>1.695457831191e-05</v>
      </c>
      <c r="E10" s="135" t="str">
        <f>HYPERLINK("#Biology!D15","→ Biology")</f>
        <v>→ Biology</v>
      </c>
      <c r="F10" s="20"/>
    </row>
    <row r="11" spans="1:6" x14ac:dyDescent="0.2">
      <c r="A11" s="20" t="s">
        <v>544</v>
      </c>
      <c r="B11" s="20" t="s">
        <v>426</v>
      </c>
      <c r="C11" s="20" t="s">
        <v>354</v>
      </c>
      <c r="D11" s="142">
        <f>Biology!$D$16</f>
        <v>1.58811785582e-05</v>
      </c>
      <c r="E11" s="135" t="str">
        <f>HYPERLINK("#Biology!D16","→ Biology")</f>
        <v>→ Biology</v>
      </c>
      <c r="F11" s="20"/>
    </row>
    <row r="12" spans="1:6" x14ac:dyDescent="0.2">
      <c r="A12" s="20" t="s">
        <v>545</v>
      </c>
      <c r="B12" s="20" t="s">
        <v>449</v>
      </c>
      <c r="C12" s="20" t="s">
        <v>440</v>
      </c>
      <c r="D12" s="142">
        <f>Biology!$D$24</f>
        <v>1.2e-05</v>
      </c>
      <c r="E12" s="135" t="str">
        <f>HYPERLINK("#Biology!D24","→ Biology")</f>
        <v>→ Biology</v>
      </c>
      <c r="F12" s="20"/>
    </row>
    <row r="13" spans="1:6" x14ac:dyDescent="0.2">
      <c r="A13" s="20" t="s">
        <v>404</v>
      </c>
      <c r="B13" s="20" t="s">
        <v>378</v>
      </c>
      <c r="C13" s="20" t="s">
        <v>354</v>
      </c>
      <c r="D13" s="150">
        <f>Electrochemistry!$D$29</f>
        <v>4.979033518202e-05</v>
      </c>
      <c r="E13" s="135" t="str">
        <f>HYPERLINK("#Electrochemistry!D29","→ Electrochemistry")</f>
        <v>→ Electrochemistry</v>
      </c>
      <c r="F13" s="20"/>
    </row>
    <row r="14" spans="1:6" x14ac:dyDescent="0.2">
      <c r="A14" s="20" t="s">
        <v>546</v>
      </c>
      <c r="B14" s="20" t="s">
        <v>237</v>
      </c>
      <c r="C14" s="20" t="s">
        <v>172</v>
      </c>
      <c r="D14" s="151">
        <f>Geometry!$D$44</f>
        <v>429.547725140567</v>
      </c>
      <c r="E14" s="135" t="str">
        <f>HYPERLINK("#Geometry!D44","→ Geometry")</f>
        <v>→ Geometry</v>
      </c>
      <c r="F14" s="20"/>
    </row>
    <row r="15" spans="1:6" x14ac:dyDescent="0.2">
      <c r="A15" s="20" t="s">
        <v>547</v>
      </c>
      <c r="B15" s="20" t="s">
        <v>168</v>
      </c>
      <c r="C15" s="20" t="s">
        <v>146</v>
      </c>
      <c r="D15" s="151">
        <f>Geometry!$D$20</f>
        <v>25.28</v>
      </c>
      <c r="E15" s="135" t="str">
        <f>HYPERLINK("#Geometry!D20","→ Geometry")</f>
        <v>→ Geometry</v>
      </c>
      <c r="F15" s="20"/>
    </row>
    <row r="16" spans="1:6" x14ac:dyDescent="0.2">
      <c r="A16" s="20" t="s">
        <v>405</v>
      </c>
      <c r="B16" s="20" t="s">
        <v>228</v>
      </c>
      <c r="C16" s="20" t="s">
        <v>57</v>
      </c>
      <c r="D16" s="151">
        <f>Geometry!$D$41</f>
        <v>15.0</v>
      </c>
      <c r="E16" s="135" t="str">
        <f>HYPERLINK("#Geometry!D41","→ Geometry")</f>
        <v>→ Geometry</v>
      </c>
      <c r="F16" s="20"/>
    </row>
    <row r="17" spans="1:6" x14ac:dyDescent="0.2">
      <c r="A17" s="20" t="s">
        <v>548</v>
      </c>
      <c r="B17" s="20" t="s">
        <v>171</v>
      </c>
      <c r="C17" s="20" t="s">
        <v>172</v>
      </c>
      <c r="D17" s="151">
        <f>Geometry!$D$21</f>
        <v>501.93100162698</v>
      </c>
      <c r="E17" s="135" t="str">
        <f>HYPERLINK("#Geometry!D21","→ Geometry")</f>
        <v>→ Geometry</v>
      </c>
      <c r="F17" s="20"/>
    </row>
    <row r="18" spans="1:6" ht="24" customHeight="1" x14ac:dyDescent="0.2">
      <c r="A18" s="20" t="s">
        <v>549</v>
      </c>
      <c r="B18" s="20" t="s">
        <v>200</v>
      </c>
      <c r="C18" s="20" t="s">
        <v>146</v>
      </c>
      <c r="D18" s="151">
        <f>Geometry!$D$31</f>
        <v>1.5875</v>
      </c>
      <c r="E18" s="135" t="str">
        <f>HYPERLINK("#Geometry!D31","→ Geometry")</f>
        <v>→ Geometry</v>
      </c>
      <c r="F18" s="20"/>
    </row>
    <row r="19" spans="1:6" x14ac:dyDescent="0.2">
      <c r="A19" s="20" t="s">
        <v>550</v>
      </c>
      <c r="B19" s="20" t="s">
        <v>252</v>
      </c>
      <c r="C19" s="20" t="s">
        <v>57</v>
      </c>
      <c r="D19" s="151">
        <f>Geometry!$D$49</f>
        <v>2.612428455917</v>
      </c>
      <c r="E19" s="135" t="str">
        <f>HYPERLINK("#Geometry!D49","→ Geometry")</f>
        <v>→ Geometry</v>
      </c>
      <c r="F19" s="20"/>
    </row>
    <row r="20" spans="1:6" x14ac:dyDescent="0.2">
      <c r="A20" s="20" t="s">
        <v>551</v>
      </c>
      <c r="B20" s="20" t="s">
        <v>552</v>
      </c>
      <c r="C20" s="20" t="s">
        <v>553</v>
      </c>
      <c r="D20" s="150">
        <f>Electrochemistry!$D$32</f>
        <v>0.0</v>
      </c>
      <c r="E20" s="135" t="str">
        <f>HYPERLINK("#Electrochemistry!D32","→ Electrochemistry")</f>
        <v>→ Electrochemistry</v>
      </c>
      <c r="F20" s="20"/>
    </row>
    <row r="21" spans="1:6" x14ac:dyDescent="0.2">
      <c r="A21" s="20" t="s">
        <v>554</v>
      </c>
      <c r="B21" s="20" t="s">
        <v>389</v>
      </c>
      <c r="C21" s="20" t="s">
        <v>135</v>
      </c>
      <c r="D21" s="150" t="str">
        <f>Electrochemistry!$D$31</f>
        <v>Tube</v>
      </c>
      <c r="E21" s="135" t="str">
        <f>HYPERLINK("#Electrochemistry!D31","→ Electrochemistry")</f>
        <v>→ Electrochemistry</v>
      </c>
      <c r="F21" s="20"/>
    </row>
    <row r="22" spans="1:6" ht="36" customHeight="1" x14ac:dyDescent="0.2">
      <c r="A22" s="20" t="s">
        <v>555</v>
      </c>
      <c r="B22" s="20" t="s">
        <v>516</v>
      </c>
      <c r="C22" s="20"/>
      <c r="D22" s="142" t="e">
        <f>Biology!$D$46</f>
        <v>#N/A</v>
      </c>
      <c r="E22" s="135" t="str">
        <f>HYPERLINK("#Biology!D46","→ Biology")</f>
        <v>→ Biology</v>
      </c>
      <c r="F22" s="20"/>
    </row>
    <row r="23" spans="1:6" x14ac:dyDescent="0.2">
      <c r="A23" s="20" t="s">
        <v>556</v>
      </c>
      <c r="B23" s="20" t="s">
        <v>518</v>
      </c>
      <c r="C23" s="20"/>
      <c r="D23" s="142" t="e">
        <f>Biology!$D$47</f>
        <v>#N/A</v>
      </c>
      <c r="E23" s="135" t="str">
        <f>HYPERLINK("#Biology!D47","→ Biology")</f>
        <v>→ Biology</v>
      </c>
      <c r="F23" s="20"/>
    </row>
    <row r="24" spans="1:6" x14ac:dyDescent="0.2">
      <c r="A24" s="20" t="s">
        <v>557</v>
      </c>
      <c r="B24" s="20" t="s">
        <v>520</v>
      </c>
      <c r="C24" s="20"/>
      <c r="D24" s="142" t="e">
        <f>Biology!$D$48</f>
        <v>#N/A</v>
      </c>
      <c r="E24" s="135" t="str">
        <f>HYPERLINK("#Biology!D48","→ Biology")</f>
        <v>→ Biology</v>
      </c>
      <c r="F24" s="20"/>
    </row>
    <row r="25" spans="1:6" x14ac:dyDescent="0.2">
      <c r="A25" s="20" t="s">
        <v>558</v>
      </c>
      <c r="B25" s="20" t="s">
        <v>514</v>
      </c>
      <c r="C25" s="20"/>
      <c r="D25" s="142" t="e">
        <f>Biology!$D$45</f>
        <v>#N/A</v>
      </c>
      <c r="E25" s="135" t="str">
        <f>HYPERLINK("#Biology!D45","→ Biology")</f>
        <v>→ Biology</v>
      </c>
      <c r="F25" s="20"/>
    </row>
    <row r="26" spans="1:6" x14ac:dyDescent="0.2">
      <c r="A26" s="17"/>
      <c r="B26" s="18"/>
      <c r="C26" s="19"/>
      <c r="D26" s="74"/>
      <c r="E26" s="75"/>
      <c r="F26" s="20"/>
    </row>
    <row r="27" spans="1:6" x14ac:dyDescent="0.2">
      <c r="A27" s="17" t="s">
        <v>559</v>
      </c>
      <c r="B27" s="18" t="s">
        <v>560</v>
      </c>
      <c r="C27" s="19" t="s">
        <v>135</v>
      </c>
      <c r="D27" s="131" t="s">
        <v>395</v>
      </c>
      <c r="E27" s="37" t="s">
        <v>561</v>
      </c>
      <c r="F27" s="20"/>
    </row>
    <row r="28" spans="1:6" x14ac:dyDescent="0.2">
      <c r="A28" s="17" t="s">
        <v>562</v>
      </c>
      <c r="B28" s="18" t="s">
        <v>563</v>
      </c>
      <c r="C28" s="19" t="s">
        <v>135</v>
      </c>
      <c r="D28" s="131" t="s">
        <v>401</v>
      </c>
      <c r="E28" s="37" t="s">
        <v>564</v>
      </c>
      <c r="F28" s="20"/>
    </row>
    <row r="29" spans="1:6" ht="24" x14ac:dyDescent="0.2">
      <c r="A29" s="17" t="s">
        <v>565</v>
      </c>
      <c r="B29" s="18" t="s">
        <v>566</v>
      </c>
      <c r="C29" s="19" t="s">
        <v>567</v>
      </c>
      <c r="D29" s="141">
        <f>sigma_0+sigma_k*(T_K-T_zero_C)</f>
        <v>0.071965</v>
      </c>
      <c r="E29" s="51" t="inlineStr">
        <is>
          <t xml:space="preserve">IAPWS R1-76(2014), evaluated at the reactor temperature (T_C). Feeds the bubble-detachment diameter.</t>
        </is>
      </c>
      <c r="F29" s="20"/>
    </row>
    <row r="30" spans="1:6" ht="24" customHeight="1" x14ac:dyDescent="0.2">
      <c r="A30" s="17" t="s">
        <v>568</v>
      </c>
      <c r="B30" s="18" t="s">
        <v>569</v>
      </c>
      <c r="C30" s="19" t="s">
        <v>570</v>
      </c>
      <c r="D30" s="141">
        <f>rho_0+rho_k*(T_K-T_zero_C)</f>
        <v>996.94</v>
      </c>
      <c r="E30" s="51" t="s">
        <v>1786</v>
      </c>
      <c r="F30" s="20"/>
    </row>
    <row r="31" spans="1:6" x14ac:dyDescent="0.2">
      <c r="A31" s="17" t="s">
        <v>571</v>
      </c>
      <c r="B31" s="18" t="s">
        <v>572</v>
      </c>
      <c r="C31" s="19" t="s">
        <v>573</v>
      </c>
      <c r="D31" s="145">
        <v>9.8066499999999994</v>
      </c>
      <c r="E31" s="100" t="s">
        <v>574</v>
      </c>
      <c r="F31" s="20"/>
    </row>
    <row r="32" spans="1:6" ht="24" customHeight="1" x14ac:dyDescent="0.2">
      <c r="A32" s="17" t="s">
        <v>575</v>
      </c>
      <c r="B32" s="18" t="s">
        <v>576</v>
      </c>
      <c r="C32" s="19" t="s">
        <v>577</v>
      </c>
      <c r="D32" s="141">
        <f>10^(HB_a+HB_b/T_K-(HB_c/T_K)^2)/10000</f>
        <v>1.997672318404e-09</v>
      </c>
      <c r="E32" s="37" t="inlineStr">
        <is>
          <t xml:space="preserve">Han &amp; Bartels (1996) evaluated at the reactor temperature. At 25 °C this is 2.00e-9 m²/s.</t>
        </is>
      </c>
      <c r="F32" s="20"/>
    </row>
    <row r="33" spans="1:6" x14ac:dyDescent="0.2">
      <c r="A33" s="17" t="s">
        <v>578</v>
      </c>
      <c r="B33" s="18" t="s">
        <v>579</v>
      </c>
      <c r="C33" s="19" t="s">
        <v>580</v>
      </c>
      <c r="D33" s="146">
        <v>205</v>
      </c>
      <c r="E33" s="51" t="s">
        <v>581</v>
      </c>
      <c r="F33" s="20"/>
    </row>
    <row r="34" spans="1:6" ht="24" customHeight="1" x14ac:dyDescent="0.2">
      <c r="A34" s="17" t="s">
        <v>582</v>
      </c>
      <c r="B34" s="18" t="s">
        <v>583</v>
      </c>
      <c r="C34" s="19" t="s">
        <v>580</v>
      </c>
      <c r="D34" s="146">
        <v>130</v>
      </c>
      <c r="E34" s="51" t="s">
        <v>584</v>
      </c>
      <c r="F34" s="20"/>
    </row>
    <row r="35" spans="1:6" x14ac:dyDescent="0.2">
      <c r="A35" s="17" t="s">
        <v>585</v>
      </c>
      <c r="B35" s="18" t="s">
        <v>586</v>
      </c>
      <c r="C35" s="19" t="s">
        <v>580</v>
      </c>
      <c r="D35" s="146">
        <v>70</v>
      </c>
      <c r="E35" s="51" t="s">
        <v>587</v>
      </c>
      <c r="F35" s="20"/>
    </row>
    <row r="36" spans="1:6" x14ac:dyDescent="0.2">
      <c r="A36" s="17" t="s">
        <v>588</v>
      </c>
      <c r="B36" s="18" t="s">
        <v>589</v>
      </c>
      <c r="C36" s="19" t="s">
        <v>580</v>
      </c>
      <c r="D36" s="146">
        <v>28</v>
      </c>
      <c r="E36" s="51" t="s">
        <v>590</v>
      </c>
      <c r="F36" s="20"/>
    </row>
    <row r="37" spans="1:6" x14ac:dyDescent="0.2">
      <c r="A37" s="17" t="s">
        <v>591</v>
      </c>
      <c r="B37" s="18" t="s">
        <v>592</v>
      </c>
      <c r="C37" s="19" t="s">
        <v>580</v>
      </c>
      <c r="D37" s="146">
        <v>13</v>
      </c>
      <c r="E37" s="51" t="s">
        <v>593</v>
      </c>
      <c r="F37" s="20"/>
    </row>
    <row r="38" spans="1:6" x14ac:dyDescent="0.2">
      <c r="A38" s="17" t="s">
        <v>594</v>
      </c>
      <c r="B38" s="18" t="s">
        <v>595</v>
      </c>
      <c r="C38" s="19" t="s">
        <v>580</v>
      </c>
      <c r="D38" s="1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155">
        <v>2.14</v>
      </c>
      <c r="E44" s="75" t="s">
        <v>614</v>
      </c>
      <c r="F44" s="20"/>
    </row>
    <row r="45" spans="1:6" x14ac:dyDescent="0.2">
      <c r="A45" s="17" t="s">
        <v>615</v>
      </c>
      <c r="B45" s="18" t="s">
        <v>616</v>
      </c>
      <c r="C45" s="19" t="s">
        <v>135</v>
      </c>
      <c r="D45" s="156">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1.413348455674e-05</v>
      </c>
      <c r="E53" s="117" t="s">
        <v>643</v>
      </c>
      <c r="F53" s="20"/>
    </row>
    <row r="54" spans="1:6" ht="24" customHeight="1" x14ac:dyDescent="0.2">
      <c r="A54" s="17" t="s">
        <v>644</v>
      </c>
      <c r="B54" s="18" t="s">
        <v>645</v>
      </c>
      <c r="C54" s="19" t="s">
        <v>354</v>
      </c>
      <c r="D54" s="48">
        <f>IF(d_bubble&lt;d_bubble_min_m,0,kLa_sparge*(V_charge/1000000)*O2_ceil_C*3600)</f>
        <v>0.0003044695410516</v>
      </c>
      <c r="E54" s="75" t="s">
        <v>646</v>
      </c>
      <c r="F54" s="20"/>
    </row>
    <row r="55" spans="1:6" ht="24" customHeight="1" x14ac:dyDescent="0.2">
      <c r="A55" s="113" t="s">
        <v>647</v>
      </c>
      <c r="B55" s="18" t="s">
        <v>648</v>
      </c>
      <c r="C55" s="19" t="s">
        <v>354</v>
      </c>
      <c r="D55" s="48">
        <f>strip_sparge*duty</f>
        <v>2.783954427351e-07</v>
      </c>
      <c r="E55" s="75" t="s">
        <v>649</v>
      </c>
      <c r="F55" s="20"/>
    </row>
    <row r="56" spans="1:6" x14ac:dyDescent="0.2">
      <c r="A56" s="113" t="s">
        <v>650</v>
      </c>
      <c r="B56" s="18" t="s">
        <v>651</v>
      </c>
      <c r="C56" s="19" t="s">
        <v>110</v>
      </c>
      <c r="D56" s="45">
        <f>IF(O2_excess&gt;0,strip_avg/O2_excess,NA())</f>
        <v>0.017529898157</v>
      </c>
      <c r="E56" s="75" t="s">
        <v>652</v>
      </c>
      <c r="F56" s="20"/>
    </row>
    <row r="57" spans="1:6" ht="36" customHeight="1" x14ac:dyDescent="0.2">
      <c r="A57" s="17" t="s">
        <v>653</v>
      </c>
      <c r="B57" s="18" t="s">
        <v>654</v>
      </c>
      <c r="C57" s="19" t="s">
        <v>639</v>
      </c>
      <c r="D57" s="48">
        <f>IF(O2_excess&gt;0,O2_excess/3600/((V_charge/1000000)*O2_ceil_C),NA())</f>
        <v>0.000806250237755</v>
      </c>
      <c r="E57" s="75" t="s">
        <v>655</v>
      </c>
      <c r="F57" s="20"/>
    </row>
    <row r="58" spans="1:6" ht="24" customHeight="1" x14ac:dyDescent="0.2">
      <c r="A58" s="17" t="s">
        <v>656</v>
      </c>
      <c r="B58" s="18" t="s">
        <v>657</v>
      </c>
      <c r="C58" s="19" t="s">
        <v>107</v>
      </c>
      <c r="D58" s="131">
        <v>0.05</v>
      </c>
      <c r="E58" s="75" t="s">
        <v>658</v>
      </c>
      <c r="F58" s="20"/>
    </row>
    <row r="59" spans="1:6" x14ac:dyDescent="0.2">
      <c r="A59" s="113" t="s">
        <v>659</v>
      </c>
      <c r="B59" s="18" t="s">
        <v>660</v>
      </c>
      <c r="C59" s="19" t="s">
        <v>135</v>
      </c>
      <c r="D59" s="58" t="str">
        <f>IF(u_sg&gt;u_g_max,"RISK","OK")</f>
        <v>OK</v>
      </c>
      <c r="E59" s="75" t="s">
        <v>661</v>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131">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IF(d_bubble&lt;d_bubble_min_m,"Sinter OOR – add fine-bubble model",IF(We_orifice&lt;We_static_max,"Static","Dynamic"))</f>
        <v>Static</v>
      </c>
      <c r="E64" s="99" t="s">
        <v>674</v>
      </c>
      <c r="F64" s="20"/>
    </row>
    <row r="65" spans="1:6" ht="24" customHeight="1" x14ac:dyDescent="0.2">
      <c r="A65" s="17" t="s">
        <v>675</v>
      </c>
      <c r="B65" s="18" t="s">
        <v>676</v>
      </c>
      <c r="C65" s="19" t="s">
        <v>67</v>
      </c>
      <c r="D65" s="48">
        <f>O2_ceil_C*(V_charge/1000000)/O2_excess*60</f>
        <v>20.671828529408</v>
      </c>
      <c r="E65" s="99" t="inlineStr">
        <is>
          <t xml:space="preserve">Minutes to reach the O₂ ceiling from ~0 with no removal (steady growth: the O₂ excess after biological uptake), the O₂ timescale.</t>
        </is>
      </c>
      <c r="F65" s="20"/>
    </row>
    <row r="66" spans="1:6" ht="24" customHeight="1" x14ac:dyDescent="0.2">
      <c r="A66" s="17" t="s">
        <v>678</v>
      </c>
      <c r="B66" s="18" t="s">
        <v>679</v>
      </c>
      <c r="C66" s="19" t="s">
        <v>67</v>
      </c>
      <c r="D66" s="48">
        <f>IF(O2_excess-strip_avg&gt;0,O2_ceil_C*(V_charge/1000000)/(O2_excess-strip_avg)*60,cleared_min)</f>
        <v>21.040669319734</v>
      </c>
      <c r="E66" s="99" t="s">
        <v>680</v>
      </c>
      <c r="F66" s="20"/>
    </row>
    <row r="67" spans="1:6" x14ac:dyDescent="0.2">
      <c r="A67" s="17" t="s">
        <v>681</v>
      </c>
      <c r="B67" s="18" t="s">
        <v>682</v>
      </c>
      <c r="C67" s="19" t="s">
        <v>683</v>
      </c>
      <c r="D67" s="157">
        <f>Summary!$D$7</f>
        <v>1000.0</v>
      </c>
      <c r="E67" s="68" t="s">
        <v>684</v>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0.0001418246177951</v>
      </c>
      <c r="E73" s="69" t="s">
        <v>1002</v>
      </c>
      <c r="F73" s="20"/>
    </row>
    <row r="74" spans="1:6" ht="24" customHeight="1" x14ac:dyDescent="0.2">
      <c r="A74" s="17" t="s">
        <v>700</v>
      </c>
      <c r="B74" s="18" t="s">
        <v>701</v>
      </c>
      <c r="C74" s="19" t="s">
        <v>110</v>
      </c>
      <c r="D74" s="48">
        <f>IF(O2_excess&gt;0,surf_strip/O2_excess,NA())</f>
        <v>8.930358491677</v>
      </c>
      <c r="E74" s="69" t="s">
        <v>702</v>
      </c>
      <c r="F74" s="20"/>
    </row>
    <row r="75" spans="1:6" ht="24" customHeight="1" x14ac:dyDescent="0.2">
      <c r="A75" s="17" t="s">
        <v>703</v>
      </c>
      <c r="B75" s="18" t="s">
        <v>704</v>
      </c>
      <c r="C75" s="19" t="s">
        <v>135</v>
      </c>
      <c r="D75" s="48">
        <f>IF(CO2_supply&gt;0,O2_excess/(O2_excess+CO2_supply),NA())</f>
        <v>0.034232810687</v>
      </c>
      <c r="E75" s="99" t="s">
        <v>705</v>
      </c>
      <c r="F75" s="20"/>
    </row>
    <row r="76" spans="1:6" ht="36" x14ac:dyDescent="0.2">
      <c r="A76" s="17" t="s">
        <v>706</v>
      </c>
      <c r="B76" s="18" t="s">
        <v>707</v>
      </c>
      <c r="C76" s="19" t="s">
        <v>463</v>
      </c>
      <c r="D76" s="48">
        <f>H_O2_T*y_O2_vent*P_atm*1000</f>
        <v>41.623674513885</v>
      </c>
      <c r="E76" s="69" t="inlineStr">
        <is>
          <t xml:space="preserve">Dissolved O₂ in equilibrium with that vent headspace fraction, in µM; the same quantity as DO_hs_floor (D188) ×1000. Compare with the inhibition ceiling (Biology D28). Diagnostic, not a backstop.</t>
        </is>
      </c>
      <c r="F76" s="20"/>
    </row>
    <row r="77" spans="1:6" x14ac:dyDescent="0.2">
      <c r="A77" s="17" t="s">
        <v>708</v>
      </c>
      <c r="B77" s="18" t="s">
        <v>709</v>
      </c>
      <c r="C77" s="19" t="s">
        <v>67</v>
      </c>
      <c r="D77" s="48">
        <f>headspace_V/(Q_CO2*duty)</f>
        <v>14.299822696002</v>
      </c>
      <c r="E77" s="99" t="s">
        <v>710</v>
      </c>
      <c r="F77" s="20"/>
    </row>
    <row r="78" spans="1:6" ht="26" customHeight="1" x14ac:dyDescent="0.2">
      <c r="A78" s="17" t="s">
        <v>711</v>
      </c>
      <c r="B78" s="18" t="s">
        <v>712</v>
      </c>
      <c r="C78" s="19" t="s">
        <v>110</v>
      </c>
      <c r="D78" s="48">
        <f>IF(O2_excess&gt;0,(strip_avg+surf_strip)/O2_excess,NA())</f>
        <v>8.947888389834</v>
      </c>
      <c r="E78" s="118" t="s">
        <v>713</v>
      </c>
      <c r="F78" s="20"/>
    </row>
    <row r="79" spans="1:6" x14ac:dyDescent="0.2">
      <c r="A79" s="17" t="s">
        <v>714</v>
      </c>
      <c r="B79" s="18" t="s">
        <v>715</v>
      </c>
      <c r="C79" s="19" t="s">
        <v>67</v>
      </c>
      <c r="D79" s="48">
        <f>O2_ceil_C*(V_charge/1000000)/O2_net_gen*60</f>
        <v>6.593508535339</v>
      </c>
      <c r="E79" s="99" t="s">
        <v>716</v>
      </c>
      <c r="F79" s="20"/>
    </row>
    <row r="80" spans="1:6" ht="36" customHeight="1" x14ac:dyDescent="0.2">
      <c r="A80" s="17" t="s">
        <v>717</v>
      </c>
      <c r="B80" s="18" t="s">
        <v>718</v>
      </c>
      <c r="C80" s="19" t="s">
        <v>67</v>
      </c>
      <c r="D80" s="48">
        <f>IF(O2_net_gen-strip_avg-surf_strip&gt;0,O2_ceil_C*(V_charge/1000000)/(O2_net_gen-strip_avg-surf_strip)*60,cleared_min)</f>
        <v>9999.0</v>
      </c>
      <c r="E80" s="69" t="s">
        <v>1458</v>
      </c>
      <c r="F80" s="20"/>
    </row>
    <row r="81" spans="1:6" ht="24" customHeight="1" x14ac:dyDescent="0.2">
      <c r="A81" s="17" t="s">
        <v>719</v>
      </c>
      <c r="B81" s="18" t="s">
        <v>720</v>
      </c>
      <c r="C81" s="19" t="s">
        <v>135</v>
      </c>
      <c r="D81" s="131" t="s">
        <v>721</v>
      </c>
      <c r="E81" s="68" t="s">
        <v>1129</v>
      </c>
      <c r="F81" s="20"/>
    </row>
    <row r="82" spans="1:6" ht="24" x14ac:dyDescent="0.2">
      <c r="A82" s="17" t="s">
        <v>722</v>
      </c>
      <c r="B82" s="18" t="s">
        <v>723</v>
      </c>
      <c r="C82" s="19" t="s">
        <v>13</v>
      </c>
      <c r="D82" s="131">
        <v>1</v>
      </c>
      <c r="E82" s="68" t="s">
        <v>1130</v>
      </c>
      <c r="F82" s="20"/>
    </row>
    <row r="83" spans="1:6" ht="24" x14ac:dyDescent="0.2">
      <c r="A83" s="17" t="s">
        <v>724</v>
      </c>
      <c r="B83" s="18" t="s">
        <v>725</v>
      </c>
      <c r="C83" s="19" t="s">
        <v>67</v>
      </c>
      <c r="D83" s="131">
        <v>1</v>
      </c>
      <c r="E83" s="68" t="s">
        <v>1131</v>
      </c>
      <c r="F83" s="20"/>
    </row>
    <row r="84" spans="1:6" ht="36" x14ac:dyDescent="0.2">
      <c r="A84" s="17" t="s">
        <v>726</v>
      </c>
      <c r="B84" s="18" t="s">
        <v>727</v>
      </c>
      <c r="C84" s="19" t="s">
        <v>135</v>
      </c>
      <c r="D84" s="158">
        <f>Biology!$D$60</f>
        <v>0.226086956522</v>
      </c>
      <c r="E84" s="68" t="inlineStr">
        <is>
          <t xml:space="preserve">Imported from Biology D60: one definition of the target DO fraction, from the selected organism's measured band where there is one and from C. necator's 2.6/11.5 otherwise. Sizes the O₂ guards below.</t>
        </is>
      </c>
      <c r="F84" s="20"/>
    </row>
    <row r="85" spans="1:6" x14ac:dyDescent="0.2">
      <c r="A85" s="17" t="s">
        <v>728</v>
      </c>
      <c r="B85" s="18" t="s">
        <v>729</v>
      </c>
      <c r="C85" s="19" t="s">
        <v>135</v>
      </c>
      <c r="D85" s="131">
        <v>2</v>
      </c>
      <c r="E85" s="68" t="s">
        <v>730</v>
      </c>
      <c r="F85" s="20"/>
    </row>
    <row r="86" spans="1:6" x14ac:dyDescent="0.2">
      <c r="A86" s="17" t="s">
        <v>731</v>
      </c>
      <c r="B86" s="18" t="s">
        <v>732</v>
      </c>
      <c r="C86" s="19" t="s">
        <v>135</v>
      </c>
      <c r="D86" s="48">
        <f>carbon_margin_min*CO2_cons/(nCO2_rate*3600)</f>
        <v>6.920263645416e-05</v>
      </c>
      <c r="E86" s="99" t="s">
        <v>733</v>
      </c>
      <c r="F86" s="20"/>
    </row>
    <row r="87" spans="1:6" ht="24" customHeight="1" x14ac:dyDescent="0.2">
      <c r="A87" s="17" t="s">
        <v>734</v>
      </c>
      <c r="B87" s="18" t="s">
        <v>735</v>
      </c>
      <c r="C87" s="19" t="s">
        <v>135</v>
      </c>
      <c r="D87" s="48">
        <f>O2_src_guard/(target_DO_frac*(O2_ceil_Pa/P_atm))/(nCO2_rate*3600)</f>
        <v>0.001498145312</v>
      </c>
      <c r="E87" s="99" t="s">
        <v>1063</v>
      </c>
      <c r="F87" s="20"/>
    </row>
    <row r="88" spans="1:6" ht="24" customHeight="1" x14ac:dyDescent="0.2">
      <c r="A88" s="17" t="s">
        <v>736</v>
      </c>
      <c r="B88" s="18" t="s">
        <v>737</v>
      </c>
      <c r="C88" s="19" t="s">
        <v>135</v>
      </c>
      <c r="D88" s="48">
        <f>MAX(duty_carbon,duty_O2vent)</f>
        <v>0.001498145312</v>
      </c>
      <c r="E88" s="69" t="inlineStr">
        <is>
          <t xml:space="preserve">Least feasible CO₂ duty (the larger of the two floors). Informative only: D91 takes the interval from the carbon (D112) and DO-dilution (D185) intervals, not from this duty.</t>
        </is>
      </c>
      <c r="F88" s="20"/>
    </row>
    <row r="89" spans="1:6" ht="36" x14ac:dyDescent="0.2">
      <c r="A89" s="17" t="s">
        <v>738</v>
      </c>
      <c r="B89" s="18" t="s">
        <v>739</v>
      </c>
      <c r="C89" s="19" t="s">
        <v>67</v>
      </c>
      <c r="D89" s="48">
        <f>target_DO_frac*O2_ceil_C*(V_charge/1000000)/O2_src_guard*60</f>
        <v>1.490706277555</v>
      </c>
      <c r="E89" s="99" t="inlineStr">
        <is>
          <t xml:space="preserve">O₂-limited fallback interval: zero-surface worst case (no surface credit; sizes on O2_src_guard D132). D91 uses it only when the DO target is unreachable (spg_int_DO, D185, is #N/A).</t>
        </is>
      </c>
      <c r="F89" s="20"/>
    </row>
    <row r="90" spans="1:6" x14ac:dyDescent="0.2">
      <c r="A90" s="17" t="s">
        <v>740</v>
      </c>
      <c r="B90" s="18" t="s">
        <v>741</v>
      </c>
      <c r="C90" s="19" t="s">
        <v>13</v>
      </c>
      <c r="D90" s="48">
        <f>MAX(pulse_floor,flush_factor*headspace_V/(Q_CO2/60))</f>
        <v>0.784513049825</v>
      </c>
      <c r="E90" s="159" t="s">
        <v>742</v>
      </c>
      <c r="F90" s="20"/>
    </row>
    <row r="91" spans="1:6" ht="24" customHeight="1" x14ac:dyDescent="0.2">
      <c r="A91" s="17" t="s">
        <v>743</v>
      </c>
      <c r="B91" s="18" t="s">
        <v>744</v>
      </c>
      <c r="C91" s="19" t="s">
        <v>67</v>
      </c>
      <c r="D91" s="48">
        <f>IF(ISNUMBER(spg_int_DO),MIN(spg_int_carbon,spg_int_DO),MIN(spg_int_carbon,spg_int_max))</f>
        <v>14.299822696002</v>
      </c>
      <c r="E91" s="159" t="inlineStr">
        <is>
          <t xml:space="preserve">ANSWER. The shorter of the two upper bounds on the interval: carbon supply (D112) and headspace-oxygen dilution (spg_int_DO). If the DO target is unreachable at this surface kLa the sheet falls back to the lag-accumulation cap (D89) and D134 says so. kL_surf moves the answer continuously; no branch depends on it.</t>
        </is>
      </c>
      <c r="F91" s="20"/>
    </row>
    <row r="92" spans="1:6" x14ac:dyDescent="0.2">
      <c r="A92" s="17" t="s">
        <v>745</v>
      </c>
      <c r="B92" s="18" t="s">
        <v>746</v>
      </c>
      <c r="C92" s="19" t="s">
        <v>13</v>
      </c>
      <c r="D92" s="48">
        <f>spg_int_opt*60</f>
        <v>857.98936176009</v>
      </c>
      <c r="E92" s="159" t="s">
        <v>747</v>
      </c>
      <c r="F92" s="20"/>
    </row>
    <row r="93" spans="1:6" x14ac:dyDescent="0.2">
      <c r="A93" s="17" t="inlineStr">
        <is>
          <t xml:space="preserve">  resulting duty</t>
        </is>
      </c>
      <c r="B93" s="18" t="s">
        <v>749</v>
      </c>
      <c r="C93" s="19" t="s">
        <v>135</v>
      </c>
      <c r="D93" s="48">
        <f>spg_dur_opt/(spg_int_opt*60)</f>
        <v>0.0009143622109901</v>
      </c>
      <c r="E93" s="99" t="s">
        <v>750</v>
      </c>
      <c r="F93" s="20"/>
    </row>
    <row r="94" spans="1:6" ht="36" x14ac:dyDescent="0.2">
      <c r="A94" s="17" t="s">
        <v>751</v>
      </c>
      <c r="B94" s="18" t="s">
        <v>752</v>
      </c>
      <c r="C94" s="19" t="s">
        <v>135</v>
      </c>
      <c r="D94" s="48" t="str">
        <f>IF(NOT(ISNUMBER(spg_int_DO)),"O2-INFEASIBLE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IF(spg_int*60-spg_dur&gt;=od_gap_min_s,"OK","TIGHT")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48">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8">
        <f>min_sparge_cal</f>
        <v>0.25</v>
      </c>
      <c r="E99" s="160" t="s">
        <v>765</v>
      </c>
      <c r="F99" s="20"/>
    </row>
    <row r="100" spans="1:6" x14ac:dyDescent="0.2">
      <c r="A100" s="20" t="s">
        <v>766</v>
      </c>
      <c r="B100" s="20" t="s">
        <v>767</v>
      </c>
      <c r="C100" s="20" t="s">
        <v>354</v>
      </c>
      <c r="D100" s="28">
        <f>CO2_pulse*pulses_h</f>
        <v>0.0004480356964998</v>
      </c>
      <c r="E100" s="160" t="s">
        <v>765</v>
      </c>
      <c r="F100" s="20"/>
    </row>
    <row r="101" spans="1:6" x14ac:dyDescent="0.2">
      <c r="A101" s="20" t="s">
        <v>768</v>
      </c>
      <c r="B101" s="20" t="s">
        <v>313</v>
      </c>
      <c r="C101" s="20" t="s">
        <v>314</v>
      </c>
      <c r="D101" s="161">
        <v>8.3144626180000003</v>
      </c>
      <c r="E101" s="20" t="s">
        <v>765</v>
      </c>
      <c r="F101" s="20"/>
    </row>
    <row r="102" spans="1:6" x14ac:dyDescent="0.2">
      <c r="A102" s="20" t="s">
        <v>769</v>
      </c>
      <c r="B102" s="20" t="s">
        <v>770</v>
      </c>
      <c r="C102" s="20" t="s">
        <v>361</v>
      </c>
      <c r="D102" s="28">
        <f>IF(has_cal&gt;0,flowrate_cal*60,NA())</f>
        <v>199.8</v>
      </c>
      <c r="E102" s="160" t="s">
        <v>765</v>
      </c>
      <c r="F102" s="20"/>
    </row>
    <row r="103" spans="1:6" x14ac:dyDescent="0.2">
      <c r="A103" s="20" t="s">
        <v>771</v>
      </c>
      <c r="B103" s="20" t="s">
        <v>772</v>
      </c>
      <c r="C103" s="20" t="s">
        <v>773</v>
      </c>
      <c r="D103" s="161">
        <v>44.009500000000003</v>
      </c>
      <c r="E103" s="20" t="s">
        <v>765</v>
      </c>
      <c r="F103" s="20"/>
    </row>
    <row r="104" spans="1:6" x14ac:dyDescent="0.2">
      <c r="A104" s="20" t="s">
        <v>774</v>
      </c>
      <c r="B104" s="20" t="s">
        <v>775</v>
      </c>
      <c r="C104" s="20" t="s">
        <v>776</v>
      </c>
      <c r="D104" s="28">
        <f>P_atm*(Q_CO2/1000000/60)/(R_gas*T_K)</f>
        <v>0.000136110568266</v>
      </c>
      <c r="E104" s="160" t="s">
        <v>765</v>
      </c>
      <c r="F104" s="20"/>
    </row>
    <row r="105" spans="1:6" x14ac:dyDescent="0.2">
      <c r="A105" s="20" t="s">
        <v>777</v>
      </c>
      <c r="B105" s="20" t="s">
        <v>778</v>
      </c>
      <c r="C105" s="20" t="s">
        <v>135</v>
      </c>
      <c r="D105" s="28">
        <f>spg_dur/(spg_int*60)</f>
        <v>0.0009143622109901</v>
      </c>
      <c r="E105" s="160" t="s">
        <v>765</v>
      </c>
      <c r="F105" s="20"/>
    </row>
    <row r="106" spans="1:6" x14ac:dyDescent="0.2">
      <c r="A106" s="20" t="s">
        <v>779</v>
      </c>
      <c r="B106" s="20" t="s">
        <v>780</v>
      </c>
      <c r="C106" s="20" t="s">
        <v>135</v>
      </c>
      <c r="D106" s="161">
        <v>1</v>
      </c>
      <c r="E106" s="20" t="s">
        <v>765</v>
      </c>
      <c r="F106" s="20"/>
    </row>
    <row r="107" spans="1:6" x14ac:dyDescent="0.2">
      <c r="A107" s="103" t="s">
        <v>781</v>
      </c>
      <c r="B107" s="20"/>
      <c r="C107" s="20"/>
      <c r="D107" s="20"/>
      <c r="E107" s="20"/>
      <c r="F107" s="20"/>
    </row>
    <row r="108" spans="1:6" x14ac:dyDescent="0.2">
      <c r="A108" s="20" t="s">
        <v>782</v>
      </c>
      <c r="B108" s="20" t="s">
        <v>783</v>
      </c>
      <c r="C108" s="20" t="s">
        <v>102</v>
      </c>
      <c r="D108" s="28">
        <f>(DO_hs_floor+DO_surf_excess)*M_O2</f>
        <v>2.638866712696</v>
      </c>
      <c r="E108" s="160" t="s">
        <v>1929</v>
      </c>
      <c r="F108" s="20"/>
    </row>
    <row r="109" spans="1:6" x14ac:dyDescent="0.2">
      <c r="A109" s="20" t="s">
        <v>784</v>
      </c>
      <c r="B109" s="20" t="s">
        <v>785</v>
      </c>
      <c r="C109" s="20"/>
      <c r="D109" s="28" t="str">
        <f>IF(ISNUMBER(DO_opt),IF(DO_ss&lt;=DO_opt,"at/under optimum",IF(DO_ss&lt;DO_impair,"above optimum, under impairment","OVER IMPAIRMENT - surface strip insufficient")),"organism optimum unknown")</f>
        <v>organism optimum unknown</v>
      </c>
      <c r="E109" s="20"/>
      <c r="F109" s="20"/>
    </row>
    <row r="110" spans="1:6" x14ac:dyDescent="0.2">
      <c r="A110" s="20" t="s">
        <v>786</v>
      </c>
      <c r="B110" s="20" t="s">
        <v>787</v>
      </c>
      <c r="C110" s="20"/>
      <c r="D110" s="28" t="str">
        <f>IF(ISNUMBER(DO_min),IF(DO_ss&gt;=DO_min,"above minimum","BELOW MINIMUM"),"minimum DO unknown - measure")</f>
        <v>minimum DO unknown - measure</v>
      </c>
      <c r="E110" s="20"/>
      <c r="F110" s="20"/>
    </row>
    <row r="111" spans="1:6" x14ac:dyDescent="0.2">
      <c r="A111" s="20" t="str">
        <f>"Tip-speed shear flag (&lt;"&amp;TEXT(tip_speed_max,"0.0")&amp;" m/s)"</f>
        <v>Tip-speed shear flag (&lt;1.5 m/s)</v>
      </c>
      <c r="B111" s="20" t="s">
        <v>789</v>
      </c>
      <c r="C111" s="20"/>
      <c r="D111" s="28" t="str">
        <f>IF(tip_speed&gt;tip_speed_max,"TIP SPEED &gt; "&amp;TEXT(tip_speed_max,"0.0")&amp;" m/s","OK")</f>
        <v>OK</v>
      </c>
      <c r="E111" s="82" t="s">
        <v>790</v>
      </c>
      <c r="F111" s="20"/>
    </row>
    <row r="112" spans="1:6" x14ac:dyDescent="0.2">
      <c r="A112" s="20" t="s">
        <v>791</v>
      </c>
      <c r="B112" s="20" t="s">
        <v>792</v>
      </c>
      <c r="C112" s="20" t="s">
        <v>67</v>
      </c>
      <c r="D112" s="28">
        <f>spg_dur_opt/(60*duty_carbon)</f>
        <v>188.941031253092</v>
      </c>
      <c r="E112" s="20"/>
      <c r="F112" s="20"/>
    </row>
    <row r="113" spans="1:6" x14ac:dyDescent="0.2">
      <c r="A113" s="20" t="s">
        <v>793</v>
      </c>
      <c r="B113" s="20" t="s">
        <v>794</v>
      </c>
      <c r="C113" s="20"/>
      <c r="D113" s="28" t="str">
        <f>IF(DO_at_carbon&lt;=DO_target,"Carbon supply alone holds the DO target – the interval may relax to "&amp;TEXT(spg_int_carbon,"0")&amp;" min","Do NOT relax: at the carbon-limited interval ("&amp;TEXT(spg_int_carbon,"0")&amp;" min) DO would be "&amp;TEXT(DO_at_carbon*M_O2,"0.0")&amp;" mg/L against a "&amp;TEXT(DO_target*M_O2,"0.0")&amp;" mg/L target")</f>
        <v>Do NOT relax: at the carbon-limited interval (189 min) DO would be 13.7 mg/L against a 2.6 mg/L target</v>
      </c>
      <c r="E113" s="82" t="inlineStr">
        <is>
          <t xml:space="preserve">Tests the carbon-limited interval against the same DO balance the schedule uses (D232). DO_ss cannot test it: it sits at the target by construction.</t>
        </is>
      </c>
      <c r="F113" s="20"/>
    </row>
    <row r="114" spans="1:6" x14ac:dyDescent="0.2">
      <c r="A114" s="103" t="inlineStr">
        <is>
          <t xml:space="preserve">CO₂ DOSING &amp; SCHEDULE</t>
        </is>
      </c>
      <c r="B114" s="20"/>
      <c r="C114" s="20"/>
      <c r="D114" s="20"/>
      <c r="E114" s="20"/>
      <c r="F114" s="20"/>
    </row>
    <row r="115" spans="1:6" x14ac:dyDescent="0.2">
      <c r="A115" s="20" t="s">
        <v>797</v>
      </c>
      <c r="B115" s="20" t="s">
        <v>1</v>
      </c>
      <c r="C115" s="20"/>
      <c r="D115" s="134" t="str">
        <f>Summary!$D$2</f>
        <v>ed04</v>
      </c>
      <c r="E115" s="20"/>
      <c r="F115" s="20"/>
    </row>
    <row r="116" spans="1:6" x14ac:dyDescent="0.2">
      <c r="A116" s="20" t="s">
        <v>798</v>
      </c>
      <c r="B116" s="20" t="s">
        <v>799</v>
      </c>
      <c r="C116" s="20"/>
      <c r="D116" s="162">
        <f>SUMPRODUCT(MAX(('CO2 flows'!$A$4:$A$201=Reactor)*('CO2 flows'!$J$4:$J$201&gt;0)*'CO2 flows'!$B$4:$B$201))</f>
        <v>46190.0</v>
      </c>
      <c r="E116" s="20"/>
      <c r="F116" s="20"/>
    </row>
    <row r="117" spans="1:6" x14ac:dyDescent="0.2">
      <c r="A117" s="20" t="s">
        <v>800</v>
      </c>
      <c r="B117" s="20" t="s">
        <v>801</v>
      </c>
      <c r="C117" s="20" t="inlineStr">
        <is>
          <t xml:space="preserve">mL/s</t>
        </is>
      </c>
      <c r="D117" s="162">
        <f>IF(ISNUMBER(cal_flow),cal_flow,SUMPRODUCT(('CO2 flows'!$A$4:$A$201=Reactor)*('CO2 flows'!$B$4:$B$201=latest_date)*'CO2 flows'!$J$4:$J$201)/MAX(1,SUMPRODUCT(('CO2 flows'!$A$4:$A$201=Reactor)*('CO2 flows'!$B$4:$B$201=latest_date)*('CO2 flows'!$J$4:$J$201&gt;0)*1)))</f>
        <v>3.33</v>
      </c>
      <c r="E117" s="160" t="inlineStr">
        <is>
          <t xml:space="preserve">Prefers the CO₂-flow calibration recorded on the Calibrations tab (cal_flow); falls back to the per-reactor table on the CO2 flows sheet when no calibration run is included.</t>
        </is>
      </c>
      <c r="F117" s="20"/>
    </row>
    <row r="118" spans="1:6" x14ac:dyDescent="0.2">
      <c r="A118" s="20" t="s">
        <v>802</v>
      </c>
      <c r="B118" s="20" t="s">
        <v>803</v>
      </c>
      <c r="C118" s="20" t="s">
        <v>13</v>
      </c>
      <c r="D118" s="162">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162">
        <f>SUMPRODUCT(('CO2 flows'!$A$4:$A$201=Reactor)*('CO2 flows'!$J$4:$J$201&gt;0)*1)</f>
        <v>1.0</v>
      </c>
      <c r="E119" s="20"/>
      <c r="F119" s="20"/>
    </row>
    <row r="120" spans="1:6" x14ac:dyDescent="0.2">
      <c r="A120" s="20" t="s">
        <v>807</v>
      </c>
      <c r="B120" s="20" t="s">
        <v>808</v>
      </c>
      <c r="C120" s="20"/>
      <c r="D120" s="28"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8">
        <f>IF(AND(ISNUMBER(Summary!$G$13),Summary!$G$13&gt;0),Summary!$G$13,IF(sched_mode="Manual",spg_dur_man,IF(sched_mode="Optimal",spg_dur_opt,NA())))</f>
        <v>0.784513049825</v>
      </c>
      <c r="E121" s="20"/>
      <c r="F121" s="20"/>
    </row>
    <row r="122" spans="1:6" x14ac:dyDescent="0.2">
      <c r="A122" s="20" t="s">
        <v>811</v>
      </c>
      <c r="B122" s="20" t="s">
        <v>812</v>
      </c>
      <c r="C122" s="20" t="s">
        <v>67</v>
      </c>
      <c r="D122" s="28">
        <f>IF(AND(ISNUMBER(Summary!$G$15),Summary!$G$15&gt;0),Summary!$G$15,IF(sched_mode="Manual",spg_int_man,IF(sched_mode="Optimal",spg_int_opt,NA())))</f>
        <v>14.299822696002</v>
      </c>
      <c r="E122" s="20"/>
      <c r="F122" s="20"/>
    </row>
    <row r="123" spans="1:6" x14ac:dyDescent="0.2">
      <c r="A123" s="20" t="s">
        <v>813</v>
      </c>
      <c r="B123" s="20" t="s">
        <v>814</v>
      </c>
      <c r="C123" s="20" t="s">
        <v>815</v>
      </c>
      <c r="D123" s="28">
        <f>nCO2_rate*spg_dur</f>
        <v>0.0001067805170238</v>
      </c>
      <c r="E123" s="20"/>
      <c r="F123" s="20"/>
    </row>
    <row r="124" spans="1:6" x14ac:dyDescent="0.2">
      <c r="A124" s="20" t="s">
        <v>816</v>
      </c>
      <c r="B124" s="20" t="s">
        <v>817</v>
      </c>
      <c r="C124" s="20" t="s">
        <v>818</v>
      </c>
      <c r="D124" s="28">
        <f>60/spg_int</f>
        <v>4.195856219726</v>
      </c>
      <c r="E124" s="20"/>
      <c r="F124" s="20"/>
    </row>
    <row r="125" spans="1:6" x14ac:dyDescent="0.2">
      <c r="A125" s="20" t="s">
        <v>819</v>
      </c>
      <c r="B125" s="20" t="s">
        <v>820</v>
      </c>
      <c r="C125" s="20" t="s">
        <v>821</v>
      </c>
      <c r="D125" s="28">
        <f>pulses_h*24</f>
        <v>100.700549273429</v>
      </c>
      <c r="E125" s="20"/>
      <c r="F125" s="20"/>
    </row>
    <row r="126" spans="1:6" x14ac:dyDescent="0.2">
      <c r="A126" s="20" t="s">
        <v>822</v>
      </c>
      <c r="B126" s="20" t="s">
        <v>823</v>
      </c>
      <c r="C126" s="20" t="s">
        <v>110</v>
      </c>
      <c r="D126" s="28">
        <f>IF(CO2_cons&gt;0,CO2_supply/CO2_cons,NA())</f>
        <v>26.425646704826</v>
      </c>
      <c r="E126" s="20"/>
      <c r="F126" s="20"/>
    </row>
    <row r="127" spans="1:6" x14ac:dyDescent="0.2">
      <c r="A127" s="20" t="s">
        <v>824</v>
      </c>
      <c r="B127" s="20" t="s">
        <v>825</v>
      </c>
      <c r="C127" s="20" t="s">
        <v>815</v>
      </c>
      <c r="D127" s="28">
        <f>O2_excess/60*spg_int</f>
        <v>3.784967293096e-06</v>
      </c>
      <c r="E127" s="20"/>
      <c r="F127" s="20"/>
    </row>
    <row r="128" spans="1:6" x14ac:dyDescent="0.2">
      <c r="A128" s="20" t="s">
        <v>826</v>
      </c>
      <c r="B128" s="20" t="s">
        <v>827</v>
      </c>
      <c r="C128" s="20" t="s">
        <v>815</v>
      </c>
      <c r="D128" s="28">
        <f>strip_sparge/3600*spg_dur</f>
        <v>6.635009117477e-08</v>
      </c>
      <c r="E128" s="20"/>
      <c r="F128" s="20"/>
    </row>
    <row r="129" spans="1:6" x14ac:dyDescent="0.2">
      <c r="A129" s="20" t="s">
        <v>828</v>
      </c>
      <c r="B129" s="20" t="s">
        <v>829</v>
      </c>
      <c r="C129" s="20" t="s">
        <v>110</v>
      </c>
      <c r="D129" s="28">
        <f>IF(O2_accum&gt;0,O2_strip_pulse/O2_accum,NA())</f>
        <v>0.017529898157</v>
      </c>
      <c r="E129" s="20"/>
      <c r="F129" s="20"/>
    </row>
    <row r="130" spans="1:6" x14ac:dyDescent="0.2">
      <c r="A130" s="20" t="s">
        <v>830</v>
      </c>
      <c r="B130" s="20" t="s">
        <v>831</v>
      </c>
      <c r="C130" s="20"/>
      <c r="D130" s="28" t="str">
        <f>IF(spg_dur&gt;=pulse_floor,"OK","LOW")</f>
        <v>OK</v>
      </c>
      <c r="E130" s="20"/>
      <c r="F130" s="20"/>
    </row>
    <row r="131" spans="1:6" x14ac:dyDescent="0.2">
      <c r="A131" s="20" t="inlineStr">
        <is>
          <t xml:space="preserve">Critical surface kL_surf (DO held at the target DO)</t>
        </is>
      </c>
      <c r="B131" s="20" t="s">
        <v>833</v>
      </c>
      <c r="C131" s="20" t="s">
        <v>107</v>
      </c>
      <c r="D131" s="28">
        <f>kLa_surf_req/a_surf</f>
        <v>0.0001245300561075</v>
      </c>
      <c r="E131" s="147" t="s">
        <v>1825</v>
      </c>
      <c r="F131" s="20"/>
    </row>
    <row r="132" spans="1:6" ht="24" x14ac:dyDescent="0.2">
      <c r="A132" s="17" t="s">
        <v>989</v>
      </c>
      <c r="B132" s="18" t="s">
        <v>990</v>
      </c>
      <c r="C132" s="19" t="s">
        <v>991</v>
      </c>
      <c r="D132" s="28">
        <f>O2_net_gen</f>
        <v>4.979033518202e-05</v>
      </c>
      <c r="E132" s="69" t="s">
        <v>992</v>
      </c>
      <c r="F132" s="20"/>
    </row>
    <row r="133" spans="1:6" x14ac:dyDescent="0.2">
      <c r="A133" s="17" t="s">
        <v>993</v>
      </c>
      <c r="B133" s="18" t="s">
        <v>994</v>
      </c>
      <c r="C133" s="19" t="s">
        <v>995</v>
      </c>
      <c r="D133" s="28">
        <f>DO_hs_floor+DO_surf_excess</f>
        <v>0.08246973913</v>
      </c>
      <c r="E133" s="69" t="s">
        <v>1823</v>
      </c>
      <c r="F133" s="20"/>
    </row>
    <row r="134" spans="1:6" ht="48" x14ac:dyDescent="0.2">
      <c r="A134" s="20" t="s">
        <v>996</v>
      </c>
      <c r="B134" s="20" t="s">
        <v>997</v>
      </c>
      <c r="C134" s="20" t="s">
        <v>998</v>
      </c>
      <c r="D134" s="28" t="str">
        <f>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14.3 min; confirm by measuring kL_surf</v>
      </c>
      <c r="E134" s="69" t="inlineStr">
        <is>
          <t xml:space="preserve">Whether the dissolved-O₂ target is reachable at all, and whether the surface coefficient behind that verdict has been measured or is still the ~375%-uncertain estimate.</t>
        </is>
      </c>
      <c r="F134" s="20"/>
    </row>
    <row r="135" spans="1:6" ht="24" x14ac:dyDescent="0.2">
      <c r="A135" s="20" t="s">
        <v>999</v>
      </c>
      <c r="B135" s="20" t="s">
        <v>1000</v>
      </c>
      <c r="C135" s="20" t="s">
        <v>1001</v>
      </c>
      <c r="D135" s="28">
        <f>DO_hs_floor+DO_surf_excess_lag</f>
        <v>0.169683392542</v>
      </c>
      <c r="E135" s="69" t="s">
        <v>1824</v>
      </c>
      <c r="F135" s="20"/>
    </row>
    <row r="137" spans="1:6" x14ac:dyDescent="0.2">
      <c r="A137" s="20" t="s">
        <v>1134</v>
      </c>
      <c r="B137" s="20"/>
      <c r="C137" s="20"/>
      <c r="D137" s="20"/>
      <c r="E137" s="20" t="s">
        <v>1135</v>
      </c>
      <c r="F137" s="20"/>
    </row>
    <row r="138" spans="1:6" x14ac:dyDescent="0.2">
      <c r="A138" s="17" t="s">
        <v>1136</v>
      </c>
      <c r="B138" s="18" t="s">
        <v>1137</v>
      </c>
      <c r="C138" s="19" t="s">
        <v>577</v>
      </c>
      <c r="D138" s="141">
        <f>D_CO2_ref*EXP(-Ea_D_CO2/R_gas*(1/T_K-1/T_ref))</f>
        <v>1.92e-09</v>
      </c>
      <c r="E138" s="67" t="s">
        <v>1788</v>
      </c>
      <c r="F138" s="20"/>
    </row>
    <row r="139" spans="1:6" x14ac:dyDescent="0.2">
      <c r="A139" s="17" t="s">
        <v>1159</v>
      </c>
      <c r="B139" s="18" t="s">
        <v>1138</v>
      </c>
      <c r="C139" s="19" t="s">
        <v>62</v>
      </c>
      <c r="D139" s="131">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s">
        <v>1168</v>
      </c>
      <c r="B142" s="18" t="s">
        <v>1169</v>
      </c>
      <c r="C142" s="19" t="s">
        <v>361</v>
      </c>
      <c r="D142" s="131">
        <v>0.5</v>
      </c>
      <c r="E142" s="69" t="s">
        <v>1170</v>
      </c>
      <c r="F142" s="20"/>
    </row>
    <row r="143" spans="1:6" x14ac:dyDescent="0.2">
      <c r="A143" s="17" t="s">
        <v>1171</v>
      </c>
      <c r="B143" s="18" t="s">
        <v>1172</v>
      </c>
      <c r="C143" s="19" t="s">
        <v>639</v>
      </c>
      <c r="D143" s="48">
        <f>(Q_vent/1000000/60)/headspace_V_m3</f>
        <v>0.003189880019</v>
      </c>
      <c r="E143" s="67" t="s">
        <v>1173</v>
      </c>
      <c r="F143" s="20"/>
    </row>
    <row r="144" spans="1:6" x14ac:dyDescent="0.2">
      <c r="A144" s="17" t="s">
        <v>1174</v>
      </c>
      <c r="B144" s="18" t="s">
        <v>1175</v>
      </c>
      <c r="C144" s="19" t="s">
        <v>67</v>
      </c>
      <c r="D144" s="48">
        <f>headspace_V_m3/(Q_vent/1000000/60)/60</f>
        <v>5.224856911834</v>
      </c>
      <c r="E144" s="67" t="s">
        <v>1176</v>
      </c>
      <c r="F144" s="20"/>
    </row>
    <row r="145" spans="1:6" x14ac:dyDescent="0.2">
      <c r="A145" s="17" t="s">
        <v>1139</v>
      </c>
      <c r="B145" s="18" t="s">
        <v>1140</v>
      </c>
      <c r="C145" s="19" t="s">
        <v>460</v>
      </c>
      <c r="D145" s="48">
        <f>Biology!$D$31*P_atm</f>
        <v>33.43725</v>
      </c>
      <c r="E145" s="67" t="s">
        <v>1177</v>
      </c>
      <c r="F145" s="20"/>
    </row>
    <row r="146" spans="1:6" x14ac:dyDescent="0.2">
      <c r="A146" s="17" t="s">
        <v>1141</v>
      </c>
      <c r="B146" s="18" t="s">
        <v>1142</v>
      </c>
      <c r="C146" s="19" t="s">
        <v>460</v>
      </c>
      <c r="D146" s="48">
        <f>Biology!$D$31*pCO2_air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kLa_surf_used*sqrtD_CO2</f>
        <v>0.007058740843</v>
      </c>
      <c r="E148" s="67" t="inlineStr">
        <is>
          <t xml:space="preserve">Surface kLa for CO₂ between pulses (surface path), scaled from the O₂ value in use (kLa_surf_used) so a measured surface kLa also reaches the CO₂ side.</t>
        </is>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0.784513049825</v>
      </c>
      <c r="E151" s="67" t="s">
        <v>1189</v>
      </c>
      <c r="F151" s="20"/>
    </row>
    <row r="152" spans="1:6" x14ac:dyDescent="0.2">
      <c r="A152" s="17" t="s">
        <v>1147</v>
      </c>
      <c r="B152" s="18" t="s">
        <v>1148</v>
      </c>
      <c r="C152" s="19" t="s">
        <v>13</v>
      </c>
      <c r="D152" s="48">
        <f>MAX(0,spg_int*60-spg_dur)</f>
        <v>857.204848710266</v>
      </c>
      <c r="E152" s="67" t="s">
        <v>1190</v>
      </c>
      <c r="F152" s="20"/>
    </row>
    <row r="153" spans="1:6" ht="24" x14ac:dyDescent="0.2">
      <c r="A153" s="17"/>
      <c r="B153" s="18"/>
      <c r="C153" s="19"/>
      <c r="D153" s="48"/>
      <c r="E153" s="67"/>
      <c r="F153" s="20"/>
    </row>
    <row r="154" spans="1:6" x14ac:dyDescent="0.2">
      <c r="A154" s="17"/>
      <c r="B154" s="18"/>
      <c r="C154" s="19"/>
      <c r="D154" s="48"/>
      <c r="E154" s="67"/>
      <c r="F154" s="20"/>
    </row>
    <row r="155" spans="1:6" x14ac:dyDescent="0.2">
      <c r="A155" s="17"/>
      <c r="B155" s="18"/>
      <c r="C155" s="19"/>
      <c r="D155" s="48"/>
      <c r="E155" s="67"/>
      <c r="F155" s="20"/>
    </row>
    <row r="156" spans="1:6" ht="24" x14ac:dyDescent="0.2">
      <c r="A156" s="17"/>
      <c r="B156" s="18"/>
      <c r="C156" s="19"/>
      <c r="D156" s="48"/>
      <c r="E156" s="67"/>
      <c r="F156" s="20"/>
    </row>
    <row r="157" spans="1:6" x14ac:dyDescent="0.2">
      <c r="A157" s="17"/>
      <c r="B157" s="18"/>
      <c r="C157" s="19"/>
      <c r="D157" s="48"/>
      <c r="E157" s="67"/>
      <c r="F157" s="20"/>
    </row>
    <row r="158" spans="1:6" x14ac:dyDescent="0.2">
      <c r="A158" s="17"/>
      <c r="B158" s="18"/>
      <c r="C158" s="19"/>
      <c r="D158" s="48"/>
      <c r="E158" s="67"/>
      <c r="F158" s="20"/>
    </row>
    <row r="159" spans="1:6" x14ac:dyDescent="0.2">
      <c r="A159" s="17"/>
      <c r="B159" s="18"/>
      <c r="C159" s="19"/>
      <c r="D159" s="48"/>
      <c r="E159" s="67"/>
      <c r="F159" s="20"/>
    </row>
    <row r="160" spans="1:6" x14ac:dyDescent="0.2">
      <c r="A160" s="17"/>
      <c r="B160" s="18"/>
      <c r="C160" s="19"/>
      <c r="D160" s="48"/>
      <c r="E160" s="67"/>
      <c r="F160" s="20"/>
    </row>
    <row r="161" spans="1:6" ht="36" x14ac:dyDescent="0.2">
      <c r="A161" s="17"/>
      <c r="B161" s="18"/>
      <c r="C161" s="19"/>
      <c r="D161" s="48"/>
      <c r="E161" s="67"/>
      <c r="F161" s="20"/>
    </row>
    <row r="162" spans="1:6" ht="24" x14ac:dyDescent="0.2">
      <c r="A162" s="17" t="s">
        <v>1154</v>
      </c>
      <c r="B162" s="18" t="s">
        <v>1155</v>
      </c>
      <c r="C162" s="19" t="s">
        <v>487</v>
      </c>
      <c r="D162" s="48">
        <f>MIN(C_sat_CO2,MAX(C_air_CO2,CO2_cyc_avg_new))/1000</f>
        <v>0.00952617025</v>
      </c>
      <c r="E162" s="67" t="s">
        <v>1859</v>
      </c>
      <c r="F162" s="20"/>
    </row>
    <row r="163" spans="1:6" x14ac:dyDescent="0.2">
      <c r="A163" s="17" t="s">
        <v>1209</v>
      </c>
      <c r="B163" s="18" t="s">
        <v>1210</v>
      </c>
      <c r="C163" s="19" t="s">
        <v>135</v>
      </c>
      <c r="D163" s="48" t="str">
        <f>IF(tau_hs&gt;=tau_surf_floor,"vent is slow path - OK","WARNING: surface clears faster than vent - run2 cannot stay acidic")</f>
        <v>vent is slow path - OK</v>
      </c>
      <c r="E163" s="67" t="s">
        <v>1211</v>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inlineStr">
        <is>
          <t xml:space="preserve">TEMPERATURE-DEPENDENT WATER PROPERTIES</t>
        </is>
      </c>
    </row>
    <row r="167" spans="1:6" ht="24" x14ac:dyDescent="0.2">
      <c r="A167" t="s">
        <v>1758</v>
      </c>
      <c r="B167" s="18" t="s">
        <v>1759</v>
      </c>
      <c r="C167" s="19" t="s">
        <v>567</v>
      </c>
      <c r="D167" s="146">
        <v>7.5889999999999999E-2</v>
      </c>
      <c r="E167" s="99" t="s">
        <v>1760</v>
      </c>
    </row>
    <row r="168" spans="1:6" x14ac:dyDescent="0.2">
      <c r="A168" t="s">
        <v>1761</v>
      </c>
      <c r="B168" s="18" t="s">
        <v>1762</v>
      </c>
      <c r="C168" s="19" t="s">
        <v>1763</v>
      </c>
      <c r="D168" s="146">
        <v>-1.5699999999999999E-4</v>
      </c>
      <c r="E168" s="99" t="s">
        <v>1764</v>
      </c>
    </row>
    <row r="169" spans="1:6" x14ac:dyDescent="0.2">
      <c r="A169" t="s">
        <v>1765</v>
      </c>
      <c r="B169" s="18" t="s">
        <v>1766</v>
      </c>
      <c r="C169" s="19" t="s">
        <v>570</v>
      </c>
      <c r="D169" s="146">
        <v>1003.33</v>
      </c>
      <c r="E169" s="99" t="s">
        <v>1767</v>
      </c>
    </row>
    <row r="170" spans="1:6" x14ac:dyDescent="0.2">
      <c r="A170" t="s">
        <v>1768</v>
      </c>
      <c r="B170" s="18" t="s">
        <v>1769</v>
      </c>
      <c r="C170" s="19" t="s">
        <v>1770</v>
      </c>
      <c r="D170" s="146">
        <v>-0.25559999999999999</v>
      </c>
      <c r="E170" s="99" t="s">
        <v>1764</v>
      </c>
    </row>
    <row r="171" spans="1:6" ht="24" x14ac:dyDescent="0.2">
      <c r="A171" t="s">
        <v>1771</v>
      </c>
      <c r="B171" s="18" t="s">
        <v>1772</v>
      </c>
      <c r="C171" s="19" t="s">
        <v>1274</v>
      </c>
      <c r="D171" s="146">
        <v>-4.41</v>
      </c>
      <c r="E171" s="99" t="inlineStr">
        <is>
          <t xml:space="preserve">Han &amp; Bartels (1996): log₁₀(D[cm²/s]) = a + b/T − (c/T)², evaluated at the reactor temperature.</t>
        </is>
      </c>
    </row>
    <row r="172" spans="1:6" x14ac:dyDescent="0.2">
      <c r="A172" t="s">
        <v>1774</v>
      </c>
      <c r="B172" s="18" t="s">
        <v>1775</v>
      </c>
      <c r="C172" s="19" t="s">
        <v>843</v>
      </c>
      <c r="D172" s="146">
        <v>773.8</v>
      </c>
      <c r="E172" s="99" t="s">
        <v>1764</v>
      </c>
    </row>
    <row r="173" spans="1:6" x14ac:dyDescent="0.2">
      <c r="A173" t="s">
        <v>1776</v>
      </c>
      <c r="B173" s="18" t="s">
        <v>1777</v>
      </c>
      <c r="C173" s="19" t="s">
        <v>843</v>
      </c>
      <c r="D173" s="146">
        <v>506.4</v>
      </c>
      <c r="E173" s="99" t="s">
        <v>1764</v>
      </c>
    </row>
    <row r="174" spans="1:6" x14ac:dyDescent="0.2">
      <c r="A174" t="s">
        <v>1778</v>
      </c>
      <c r="B174" s="18" t="s">
        <v>1779</v>
      </c>
      <c r="C174" s="19" t="s">
        <v>577</v>
      </c>
      <c r="D174" s="146">
        <v>1.92E-9</v>
      </c>
      <c r="E174" s="67" t="s">
        <v>1780</v>
      </c>
    </row>
    <row r="175" spans="1:6" ht="24" x14ac:dyDescent="0.2">
      <c r="A175" t="s">
        <v>1781</v>
      </c>
      <c r="B175" s="18" t="s">
        <v>1782</v>
      </c>
      <c r="C175" s="19" t="s">
        <v>1783</v>
      </c>
      <c r="D175" s="146">
        <v>19000</v>
      </c>
      <c r="E175" s="67" t="s">
        <v>1784</v>
      </c>
    </row>
    <row r="177" spans="1:5" x14ac:dyDescent="0.2">
      <c r="A177" s="5" t="inlineStr">
        <is>
          <t xml:space="preserve">HEADSPACE O₂ BALANCE AND THE DO-LIMITED INTERVAL</t>
        </is>
      </c>
    </row>
    <row r="178" spans="1:5" ht="24" x14ac:dyDescent="0.2">
      <c r="A178" t="s">
        <v>1790</v>
      </c>
      <c r="B178" s="18" t="s">
        <v>1791</v>
      </c>
      <c r="C178" s="19" t="s">
        <v>991</v>
      </c>
      <c r="D178" s="141">
        <f>nCO2_rate*3600</f>
        <v>0.489998045758</v>
      </c>
      <c r="E178" s="99" t="s">
        <v>1792</v>
      </c>
    </row>
    <row r="179" spans="1:5" x14ac:dyDescent="0.2">
      <c r="A179" t="s">
        <v>1793</v>
      </c>
      <c r="B179" s="18" t="s">
        <v>1794</v>
      </c>
      <c r="C179" s="19" t="s">
        <v>1001</v>
      </c>
      <c r="D179" s="141">
        <f>IF(ISNUMBER(DO_opt),DO_opt/M_O2,target_DO_frac*O2_ceil_C)</f>
        <v>0.08246973913</v>
      </c>
      <c r="E179" s="99" t="inlineStr">
        <is>
          <t xml:space="preserve">The dissolved O₂ the schedule aims to hold: the organism optimum DO_opt (mg/L ÷ M_O2 g/mol = mol/m³) when it is known, otherwise the target fraction of the inhibition ceiling. Avoids a Henry-derived ceiling (11.67 mg/L) that differs from the table’s 11.5 pushing the target above the optimum.</t>
        </is>
      </c>
    </row>
    <row r="180" spans="1:5" ht="36" x14ac:dyDescent="0.2">
      <c r="A180" t="s">
        <v>1796</v>
      </c>
      <c r="B180" s="18" t="s">
        <v>1797</v>
      </c>
      <c r="C180" s="19" t="s">
        <v>1001</v>
      </c>
      <c r="D180" s="141">
        <f>O2_excess/(kLa_surf_used*3600*(V_charge/1000000))</f>
        <v>0.040846064617</v>
      </c>
      <c r="E180" s="67" t="s">
        <v>1798</v>
      </c>
    </row>
    <row r="181" spans="1:5" x14ac:dyDescent="0.2">
      <c r="A181" t="s">
        <v>1799</v>
      </c>
      <c r="B181" s="18" t="s">
        <v>1800</v>
      </c>
      <c r="C181" s="19" t="s">
        <v>1001</v>
      </c>
      <c r="D181" s="141">
        <f>O2_net_gen/(kLa_surf_used*3600*(V_charge/1000000))</f>
        <v>0.128059718029</v>
      </c>
      <c r="E181" s="67" t="s">
        <v>1801</v>
      </c>
    </row>
    <row r="182" spans="1:5" ht="36" x14ac:dyDescent="0.2">
      <c r="A182" t="s">
        <v>1802</v>
      </c>
      <c r="B182" s="18" t="s">
        <v>1803</v>
      </c>
      <c r="C182" s="19" t="s">
        <v>1001</v>
      </c>
      <c r="D182" s="141">
        <f>DO_target-DO_surf_excess</f>
        <v>0.041623674514</v>
      </c>
      <c r="E182" s="67" t="s">
        <v>1804</v>
      </c>
    </row>
    <row r="183" spans="1:5" ht="24" x14ac:dyDescent="0.2">
      <c r="A183" t="s">
        <v>1805</v>
      </c>
      <c r="B183" s="18" t="s">
        <v>1806</v>
      </c>
      <c r="C183" s="19" t="s">
        <v>1274</v>
      </c>
      <c r="D183" s="141">
        <f>IF(hs_O2_allow&gt;0,hs_O2_allow/(H_O2_T*P_atm),NA())</f>
        <v>0.034232810687</v>
      </c>
      <c r="E183" s="67" t="s">
        <v>1807</v>
      </c>
    </row>
    <row r="184" spans="1:5" ht="48" x14ac:dyDescent="0.2">
      <c r="A184" t="s">
        <v>1808</v>
      </c>
      <c r="B184" s="18" t="s">
        <v>1809</v>
      </c>
      <c r="C184" s="19" t="s">
        <v>1274</v>
      </c>
      <c r="D184" s="141">
        <f>IF(ISNUMBER(y_O2_star),O2_excess*(1-y_O2_star)/(y_O2_star*CO2_rate_full),NA())</f>
        <v>0.0009143622109901</v>
      </c>
      <c r="E184" s="67" t="inlineStr">
        <is>
          <t xml:space="preserve">At steady state everything entering the headspace leaves through the vent, so the vent-gas composition is the flux composition: y = O₂ flux/(O₂ flux + CO₂ flux). Solving for the CO₂ flux that dilutes oxygen to y* gives this duty. Unlike duty_O2vent (D87), it accounts for the surface-transfer excess and the (1−y) term.</t>
        </is>
      </c>
    </row>
    <row r="185" spans="1:5" ht="24" x14ac:dyDescent="0.2">
      <c r="A185" t="s">
        <v>1811</v>
      </c>
      <c r="B185" s="18" t="s">
        <v>1812</v>
      </c>
      <c r="C185" s="19" t="s">
        <v>962</v>
      </c>
      <c r="D185" s="141">
        <f>IF(ISNUMBER(duty_DO),IF(duty_DO&gt;0,spg_dur_opt/(60*duty_DO),spg_int_carbon),NA())</f>
        <v>14.299822696002</v>
      </c>
      <c r="E185" s="67" t="s">
        <v>1813</v>
      </c>
    </row>
    <row r="186" spans="1:5" ht="36" x14ac:dyDescent="0.2">
      <c r="A186" t="s">
        <v>1814</v>
      </c>
      <c r="B186" s="18" t="s">
        <v>1815</v>
      </c>
      <c r="C186" s="19" t="s">
        <v>639</v>
      </c>
      <c r="D186" s="141">
        <f>O2_excess/(DO_target*3600*(V_charge/1000000))</f>
        <v>0.003566106821</v>
      </c>
      <c r="E186" s="67" t="s">
        <v>1816</v>
      </c>
    </row>
    <row r="187" spans="1:5" ht="36" x14ac:dyDescent="0.2">
      <c r="A187" t="s">
        <v>1817</v>
      </c>
      <c r="B187" s="18" t="s">
        <v>1818</v>
      </c>
      <c r="C187" s="19" t="s">
        <v>1274</v>
      </c>
      <c r="D187" s="141">
        <f>IF(CO2_supply&gt;0,O2_excess/(O2_excess+CO2_supply),NA())</f>
        <v>0.034232810687</v>
      </c>
      <c r="E187" s="67" t="s">
        <v>1819</v>
      </c>
    </row>
    <row r="188" spans="1:5" ht="36" x14ac:dyDescent="0.2">
      <c r="A188" t="s">
        <v>1820</v>
      </c>
      <c r="B188" s="18" t="s">
        <v>1821</v>
      </c>
      <c r="C188" s="19" t="s">
        <v>1001</v>
      </c>
      <c r="D188" s="141">
        <f>IF(ISNUMBER(y_O2_actual),H_O2_T*y_O2_actual*P_atm,NA())</f>
        <v>0.041623674514</v>
      </c>
      <c r="E188" s="67" t="s">
        <v>1822</v>
      </c>
    </row>
    <row r="190" spans="1:5" x14ac:dyDescent="0.2">
      <c r="A190" s="5" t="inlineStr">
        <is>
          <t xml:space="preserve">CO₂ LIMIT CYCLE – mass-conserving form (supersedes the uncoupled block above)</t>
        </is>
      </c>
    </row>
    <row r="191" spans="1:5" x14ac:dyDescent="0.2">
      <c r="A191" t="s">
        <v>1830</v>
      </c>
      <c r="B191" s="18" t="s">
        <v>1831</v>
      </c>
      <c r="C191" s="19" t="s">
        <v>440</v>
      </c>
      <c r="D191" s="141">
        <f>Biology!$D$31</f>
        <v>0.00033</v>
      </c>
      <c r="E191" s="67" t="s">
        <v>1832</v>
      </c>
    </row>
    <row r="192" spans="1:5" ht="24" x14ac:dyDescent="0.2">
      <c r="A192" t="s">
        <v>1833</v>
      </c>
      <c r="B192" s="18" t="s">
        <v>1834</v>
      </c>
      <c r="C192" s="19" t="s">
        <v>1163</v>
      </c>
      <c r="D192" s="141">
        <f>headspace_V_m3/(hs_H_CO2*R_gas*T_K)</f>
        <v>3.193459899477e-06</v>
      </c>
      <c r="E192" s="99" t="s">
        <v>1835</v>
      </c>
    </row>
    <row r="193" spans="1:5" x14ac:dyDescent="0.2">
      <c r="A193" t="s">
        <v>1836</v>
      </c>
      <c r="B193" s="18" t="s">
        <v>1837</v>
      </c>
      <c r="C193" s="19" t="s">
        <v>1274</v>
      </c>
      <c r="D193" s="141">
        <f>V_L_m3/(V_L_m3+Vg_CO2)</f>
        <v>0.824472095076</v>
      </c>
      <c r="E193" s="99" t="s">
        <v>1838</v>
      </c>
    </row>
    <row r="194" spans="1:5" ht="48" x14ac:dyDescent="0.2">
      <c r="A194" t="s">
        <v>1839</v>
      </c>
      <c r="B194" s="18" t="s">
        <v>1840</v>
      </c>
      <c r="C194" s="19" t="s">
        <v>1001</v>
      </c>
      <c r="D194" s="141">
        <f>CO2_pulse/(V_L_m3+Vg_CO2)</f>
        <v>5.869170438925</v>
      </c>
      <c r="E194" s="99" t="inlineStr">
        <is>
          <t xml:space="preserve">The CO₂ actually delivered per pulse (D123, which follows any manual or Summary override), spread over the pooled liquid+headspace capacity: the mass-conservation constraint. It reads the delivered pulse rather than one nominal headspace flush, so an overridden pulse length charges the cycle correctly.</t>
        </is>
      </c>
    </row>
    <row r="195" spans="1:5" ht="24" x14ac:dyDescent="0.2">
      <c r="A195" t="s">
        <v>1841</v>
      </c>
      <c r="B195" s="18" t="s">
        <v>1842</v>
      </c>
      <c r="C195" s="19" t="s">
        <v>639</v>
      </c>
      <c r="D195" s="141">
        <f>k_vent*Vg_CO2/(V_L_m3+Vg_CO2)</f>
        <v>0.000559912956744</v>
      </c>
      <c r="E195" s="99" t="s">
        <v>1843</v>
      </c>
    </row>
    <row r="196" spans="1:5" ht="36" x14ac:dyDescent="0.2">
      <c r="A196" t="s">
        <v>1844</v>
      </c>
      <c r="B196" s="18" t="s">
        <v>1845</v>
      </c>
      <c r="C196" s="19" t="s">
        <v>110</v>
      </c>
      <c r="D196" s="141">
        <f>(kLa_CO2_off*V_L_m3/Vg_CO2)/k_vent</f>
        <v>10.393999248454</v>
      </c>
      <c r="E196" s="67" t="s">
        <v>1846</v>
      </c>
    </row>
    <row r="197" spans="1:5" x14ac:dyDescent="0.2">
      <c r="A197" t="s">
        <v>1847</v>
      </c>
      <c r="B197" s="18" t="s">
        <v>1848</v>
      </c>
      <c r="C197" s="19" t="s">
        <v>1274</v>
      </c>
      <c r="D197" s="141">
        <f>EXP(-k_eff_CO2*t_off_CO2)</f>
        <v>0.618808080904</v>
      </c>
      <c r="E197" s="99" t="s">
        <v>1849</v>
      </c>
    </row>
    <row r="198" spans="1:5" x14ac:dyDescent="0.2">
      <c r="A198" t="s">
        <v>1850</v>
      </c>
      <c r="B198" s="18" t="s">
        <v>1851</v>
      </c>
      <c r="C198" s="19" t="s">
        <v>1001</v>
      </c>
      <c r="D198" s="141">
        <f>(C_air_CO2*(1-pool_e)+pool_b*pool_e)/(1-pool_a*pool_e)</f>
        <v>7.42516851712</v>
      </c>
      <c r="E198" s="99" t="s">
        <v>1852</v>
      </c>
    </row>
    <row r="199" spans="1:5" ht="24" x14ac:dyDescent="0.2">
      <c r="A199" t="s">
        <v>1853</v>
      </c>
      <c r="B199" s="18" t="s">
        <v>1854</v>
      </c>
      <c r="C199" s="19" t="s">
        <v>1001</v>
      </c>
      <c r="D199" s="141">
        <f>pool_a*C_cycle_start+pool_b</f>
        <v>11.991014682526</v>
      </c>
      <c r="E199" s="99" t="s">
        <v>1855</v>
      </c>
    </row>
    <row r="200" spans="1:5" x14ac:dyDescent="0.2">
      <c r="A200" t="s">
        <v>1856</v>
      </c>
      <c r="B200" s="18" t="s">
        <v>1857</v>
      </c>
      <c r="C200" s="19" t="s">
        <v>1001</v>
      </c>
      <c r="D200" s="141">
        <f>C_air_CO2+(C_cycle_peak-C_air_CO2)*(1-pool_e)/(k_eff_CO2*t_off_CO2)</f>
        <v>9.526170249632</v>
      </c>
      <c r="E200" s="99" t="s">
        <v>1858</v>
      </c>
    </row>
    <row r="202" spans="1:5" x14ac:dyDescent="0.2">
      <c r="A202" s="5" t="s">
        <v>1912</v>
      </c>
    </row>
    <row r="203" spans="1:5" ht="24" x14ac:dyDescent="0.2">
      <c r="A203" t="s">
        <v>1913</v>
      </c>
      <c r="B203" s="18" t="s">
        <v>1914</v>
      </c>
      <c r="C203" s="19" t="s">
        <v>62</v>
      </c>
      <c r="D203" s="146">
        <v>610.94000000000005</v>
      </c>
      <c r="E203" s="99" t="s">
        <v>1915</v>
      </c>
    </row>
    <row r="204" spans="1:5" x14ac:dyDescent="0.2">
      <c r="A204" t="s">
        <v>1916</v>
      </c>
      <c r="B204" s="18" t="s">
        <v>1917</v>
      </c>
      <c r="C204" s="19" t="s">
        <v>1274</v>
      </c>
      <c r="D204" s="146">
        <v>17.625</v>
      </c>
      <c r="E204" s="99" t="s">
        <v>1764</v>
      </c>
    </row>
    <row r="205" spans="1:5" x14ac:dyDescent="0.2">
      <c r="A205" t="s">
        <v>1918</v>
      </c>
      <c r="B205" s="18" t="s">
        <v>1919</v>
      </c>
      <c r="C205" s="19" t="s">
        <v>53</v>
      </c>
      <c r="D205" s="146">
        <v>243.04</v>
      </c>
      <c r="E205" s="99" t="s">
        <v>1764</v>
      </c>
    </row>
    <row r="206" spans="1:5" ht="24" x14ac:dyDescent="0.2">
      <c r="A206" t="s">
        <v>1920</v>
      </c>
      <c r="B206" s="18" t="s">
        <v>1921</v>
      </c>
      <c r="C206" s="19" t="s">
        <v>62</v>
      </c>
      <c r="D206" s="141">
        <f>pw_A*EXP(pw_B*(T_K-T_zero_C)/((T_K-T_zero_C)+pw_C))</f>
        <v>3161.736035696692</v>
      </c>
      <c r="E206" s="99" t="inlineStr">
        <is>
          <t xml:space="preserve">3.16 kPa at 25 °C, 4.24 kPa at 30 °C, 3–4% of atmospheric, which is exactly the bias it removes from a faradaic-efficiency measurement made by collecting gas over water.</t>
        </is>
      </c>
    </row>
    <row r="208">
      <c r="A208" s="103" t="inlineStr">
        <is>
          <t xml:space="preserve">NAMED CONSTANTS, THRESHOLDS AND IMPORTS</t>
        </is>
      </c>
    </row>
    <row r="209">
      <c r="A209" s="20" t="inlineStr">
        <is>
          <t xml:space="preserve">(import) Reference temperature (25 °C)</t>
        </is>
      </c>
      <c r="B209" s="20" t="inlineStr">
        <is>
          <t xml:space="preserve">T_ref</t>
        </is>
      </c>
      <c r="C209" s="20" t="inlineStr">
        <is>
          <t xml:space="preserve">K</t>
        </is>
      </c>
      <c r="D209" s="142">
        <f>Biology!$D$23</f>
        <v>298.15</v>
      </c>
      <c r="E209" s="135" t="inlineStr">
        <is>
          <t xml:space="preserve">Import from Biology!D23</t>
        </is>
      </c>
    </row>
    <row r="210">
      <c r="A210" s="20" t="inlineStr">
        <is>
          <t xml:space="preserve">(import) Celsius-to-kelvin offset</t>
        </is>
      </c>
      <c r="B210" s="20" t="inlineStr">
        <is>
          <t xml:space="preserve">T_zero_C</t>
        </is>
      </c>
      <c r="C210" s="20" t="inlineStr">
        <is>
          <t xml:space="preserve">K</t>
        </is>
      </c>
      <c r="D210" s="142">
        <f>Biology!$D$66</f>
        <v>273.15</v>
      </c>
      <c r="E210" s="135" t="inlineStr">
        <is>
          <t xml:space="preserve">Import from Biology!D66</t>
        </is>
      </c>
    </row>
    <row r="211">
      <c r="A211" s="17" t="inlineStr">
        <is>
          <t xml:space="preserve">Minimum bubble diameter for the bubble model</t>
        </is>
      </c>
      <c r="B211" s="18" t="inlineStr">
        <is>
          <t xml:space="preserve">d_bubble_min_m</t>
        </is>
      </c>
      <c r="C211" s="19" t="inlineStr">
        <is>
          <t xml:space="preserve">m</t>
        </is>
      </c>
      <c r="D211" s="131">
        <v>0.001</v>
      </c>
      <c r="E211" s="67" t="inlineStr">
        <is>
          <t xml:space="preserve">Mendelson rise correlation valid ~1–10 mm (E46); sub-mm bubbles are out of range.</t>
        </is>
      </c>
    </row>
    <row r="212">
      <c r="A212" s="17" t="inlineStr">
        <is>
          <t xml:space="preserve">Quasi-static detachment Weber limit</t>
        </is>
      </c>
      <c r="B212" s="18" t="inlineStr">
        <is>
          <t xml:space="preserve">We_static_max</t>
        </is>
      </c>
      <c r="C212" s="19" t="inlineStr">
        <is>
          <t xml:space="preserve">-</t>
        </is>
      </c>
      <c r="D212" s="131">
        <v>2</v>
      </c>
      <c r="E212" s="67" t="inlineStr">
        <is>
          <t xml:space="preserve">Tate's-law quasi-static detachment holds for We &lt; ~2 (E64).</t>
        </is>
      </c>
    </row>
    <row r="213">
      <c r="A213" s="17" t="inlineStr">
        <is>
          <t xml:space="preserve">Cleared-ceiling display value</t>
        </is>
      </c>
      <c r="B213" s="18" t="inlineStr">
        <is>
          <t xml:space="preserve">cleared_min</t>
        </is>
      </c>
      <c r="C213" s="19" t="inlineStr">
        <is>
          <t xml:space="preserve">min</t>
        </is>
      </c>
      <c r="D213" s="131">
        <v>9999</v>
      </c>
      <c r="E213" s="99" t="inlineStr">
        <is>
          <t xml:space="preserve">Defined display sentinel: removal exceeds the source, so the ceiling is never reached.</t>
        </is>
      </c>
    </row>
    <row r="214">
      <c r="A214" s="17" t="inlineStr">
        <is>
          <t xml:space="preserve">Minimum sparge-free gap for an OD read</t>
        </is>
      </c>
      <c r="B214" s="18" t="inlineStr">
        <is>
          <t xml:space="preserve">od_gap_min_s</t>
        </is>
      </c>
      <c r="C214" s="19" t="inlineStr">
        <is>
          <t xml:space="preserve">s</t>
        </is>
      </c>
      <c r="D214" s="131">
        <v>5</v>
      </c>
      <c r="E214" s="68" t="inlineStr">
        <is>
          <t xml:space="preserve">Design assumption: time for one Pioreactor OD read between pulses.</t>
        </is>
      </c>
    </row>
    <row r="216">
      <c r="A216" s="17" t="inlineStr">
        <is>
          <t xml:space="preserve">Stir-bar tip-speed shear limit</t>
        </is>
      </c>
      <c r="B216" s="18" t="inlineStr">
        <is>
          <t xml:space="preserve">tip_speed_max</t>
        </is>
      </c>
      <c r="C216" s="19" t="inlineStr">
        <is>
          <t xml:space="preserve">m/s</t>
        </is>
      </c>
      <c r="D216" s="131">
        <v>1.5</v>
      </c>
      <c r="E216" s="82" t="inlineStr">
        <is>
          <t xml:space="preserve">Conservative impeller-tip limit for cell culture (BioProcess International); precautionary for HOB.</t>
        </is>
      </c>
    </row>
    <row r="230">
      <c r="A230" s="5" t="inlineStr">
        <is>
          <t xml:space="preserve">CARBON-LIMITED INTERVAL: IS IT SAFE?</t>
        </is>
      </c>
    </row>
    <row r="231">
      <c r="A231" t="inlineStr">
        <is>
          <t xml:space="preserve">O₂ molar mass</t>
        </is>
      </c>
      <c r="B231" s="18" t="inlineStr">
        <is>
          <t xml:space="preserve">M_O2</t>
        </is>
      </c>
      <c r="C231" s="19" t="inlineStr">
        <is>
          <t xml:space="preserve">g/mol</t>
        </is>
      </c>
      <c r="D231" s="146">
        <v>31.998</v>
      </c>
      <c r="E231" s="99" t="inlineStr">
        <is>
          <t xml:space="preserve">IUPAC standard atomic weights: 2 × 15.999.</t>
        </is>
      </c>
    </row>
    <row r="232">
      <c r="A232" t="inlineStr">
        <is>
          <t xml:space="preserve">DO if the interval relaxed to the carbon-limited one</t>
        </is>
      </c>
      <c r="B232" s="18" t="inlineStr">
        <is>
          <t xml:space="preserve">DO_at_carbon</t>
        </is>
      </c>
      <c r="C232" s="19" t="inlineStr">
        <is>
          <t xml:space="preserve">mol/m³</t>
        </is>
      </c>
      <c r="D232" s="141">
        <f>H_O2_T*P_atm*O2_excess/(O2_excess+CO2_rate_full*duty_carbon)+DO_surf_excess</f>
        <v>0.428670828967</v>
      </c>
      <c r="E232" s="99" t="inlineStr">
        <is>
          <t xml:space="preserve">Same headspace back-pressure + surface-excess balance as D188/D180, evaluated at the carbon-limited duty instead of the DO-limited one.</t>
        </is>
      </c>
    </row>
    <row r="240">
      <c r="A240" s="5" t="inlineStr">
        <is>
          <t xml:space="preserve">AS-RUN PULSE (solenoid command resolution)</t>
        </is>
      </c>
    </row>
    <row r="241">
      <c r="A241" t="inlineStr">
        <is>
          <t xml:space="preserve">Solenoid pulse command resolution</t>
        </is>
      </c>
      <c r="B241" s="18" t="inlineStr">
        <is>
          <t xml:space="preserve">pulse_res</t>
        </is>
      </c>
      <c r="C241" s="19" t="inlineStr">
        <is>
          <t xml:space="preserve">s</t>
        </is>
      </c>
      <c r="D241" s="146">
        <v>0.05</v>
      </c>
      <c r="E241" s="68" t="inlineStr">
        <is>
          <t xml:space="preserve">Design assumption: the dosing command is issued in 0.05 s steps — confirm in the AEP-Plugin dosing code.</t>
        </is>
      </c>
    </row>
    <row r="242">
      <c r="A242" t="inlineStr">
        <is>
          <t xml:space="preserve">Optimal pulse rounded to the command resolution</t>
        </is>
      </c>
      <c r="B242" s="18" t="inlineStr">
        <is>
          <t xml:space="preserve">spg_dur_run</t>
        </is>
      </c>
      <c r="C242" s="19" t="inlineStr">
        <is>
          <t xml:space="preserve">s</t>
        </is>
      </c>
      <c r="D242" s="141">
        <f>MAX(pulse_floor,MROUND(spg_dur_opt,pulse_res))</f>
        <v>0.8</v>
      </c>
      <c r="E242" s="67" t="inlineStr">
        <is>
          <t xml:space="preserve">Pulse as it can actually be commanded; never below the solenoid floor. Summary D14 shows it.</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3"/>
      <c r="N2" s="6"/>
      <c r="O2" s="3"/>
      <c r="P2" s="3"/>
      <c r="Q2" s="3"/>
    </row>
    <row r="3" spans="1:17" x14ac:dyDescent="0.2">
      <c r="A3" s="5"/>
      <c r="B3" s="5"/>
      <c r="C3" s="5" t="inlineStr">
        <is>
          <t xml:space="preserve">mL</t>
        </is>
      </c>
      <c r="D3" s="5" t="inlineStr">
        <is>
          <t xml:space="preserve">mL</t>
        </is>
      </c>
      <c r="E3" s="5" t="inlineStr">
        <is>
          <t xml:space="preserve">mL</t>
        </is>
      </c>
      <c r="F3" s="5" t="s">
        <v>13</v>
      </c>
      <c r="G3" s="5" t="inlineStr">
        <is>
          <t xml:space="preserve">mL/s</t>
        </is>
      </c>
      <c r="H3" s="5" t="inlineStr">
        <is>
          <t xml:space="preserve">mL/s</t>
        </is>
      </c>
      <c r="I3" s="5" t="s">
        <v>13</v>
      </c>
      <c r="J3" s="5" t="inlineStr">
        <is>
          <t xml:space="preserve">mL/s</t>
        </is>
      </c>
      <c r="K3" s="3"/>
      <c r="L3" s="8" t="s">
        <v>15</v>
      </c>
      <c r="M3" s="3"/>
      <c r="N3" s="6"/>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inlineStr">
        <is>
          <t xml:space="preserve">CO2 collected in measuring cylinder over CO2-saturated water</t>
        </is>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inlineStr">
        <is>
          <t xml:space="preserve">Collected over saturated NaHCO3 solution</t>
        </is>
      </c>
      <c r="M9" s="3"/>
      <c r="N9" s="3"/>
      <c r="O9" s="3"/>
      <c r="P9" s="3"/>
      <c r="Q9" s="3"/>
    </row>
    <row r="10" spans="1:17" x14ac:dyDescent="0.2">
      <c r="A10" s="3" t="s">
        <v>16</v>
      </c>
      <c r="B10" s="9">
        <v>46190</v>
      </c>
      <c r="C10" s="3">
        <v>50</v>
      </c>
      <c r="D10" s="3">
        <v>0</v>
      </c>
      <c r="E10" s="3"/>
      <c r="F10" s="3"/>
      <c r="G10" s="3"/>
      <c r="H10" s="3"/>
      <c r="I10" s="3"/>
      <c r="J10" s="3"/>
      <c r="K10" s="3"/>
      <c r="L10" s="3"/>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HYPERLINK("https://github.com/amy-bo/electroPioreactor/blob/AEP02/Media/protocols/gerrit-current.md","ELECTROLYSIS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IFERROR(VLOOKUP(C8,Geometry!$A$59:$B$80,2,FALSE),"")</f>
        <v/>
      </c>
      <c r="G8" s="122"/>
      <c r="H8" s="122"/>
    </row>
    <row r="9" spans="1:8" x14ac:dyDescent="0.2">
      <c r="A9" s="122"/>
      <c r="B9" s="123"/>
      <c r="C9" s="122"/>
      <c r="D9" s="123"/>
      <c r="E9" s="123"/>
      <c r="F9" s="129" t="str">
        <f>IFERROR(VLOOKUP(C9,Geometry!$A$59:$B$80,2,FALSE),"")</f>
        <v/>
      </c>
      <c r="G9" s="122"/>
      <c r="H9" s="122"/>
    </row>
    <row r="10" spans="1:8" x14ac:dyDescent="0.2">
      <c r="A10" s="122"/>
      <c r="B10" s="123"/>
      <c r="C10" s="122"/>
      <c r="D10" s="123"/>
      <c r="E10" s="123"/>
      <c r="F10" s="129" t="str">
        <f>IFERROR(VLOOKUP(C10,Geometry!$A$59:$B$80,2,FALSE),"")</f>
        <v/>
      </c>
      <c r="G10" s="122"/>
      <c r="H10" s="122"/>
    </row>
    <row r="11" spans="1:8" x14ac:dyDescent="0.2">
      <c r="A11" s="122"/>
      <c r="B11" s="123"/>
      <c r="C11" s="122"/>
      <c r="D11" s="123"/>
      <c r="E11" s="123"/>
      <c r="F11" s="129" t="str">
        <f>IFERROR(VLOOKUP(C11,Geometry!$A$59:$B$80,2,FALSE),"")</f>
        <v/>
      </c>
      <c r="G11" s="122"/>
      <c r="H11" s="122"/>
    </row>
    <row r="12" spans="1:8" x14ac:dyDescent="0.2">
      <c r="A12" s="122"/>
      <c r="B12" s="123"/>
      <c r="C12" s="122"/>
      <c r="D12" s="123"/>
      <c r="E12" s="123"/>
      <c r="F12" s="129" t="str">
        <f>IFERROR(VLOOKUP(C12,Geometry!$A$59:$B$80,2,FALSE),"")</f>
        <v/>
      </c>
      <c r="G12" s="122"/>
      <c r="H12" s="122"/>
    </row>
    <row r="13" spans="1:8" x14ac:dyDescent="0.2">
      <c r="A13" s="122"/>
      <c r="B13" s="123"/>
      <c r="C13" s="122"/>
      <c r="D13" s="123"/>
      <c r="E13" s="123"/>
      <c r="F13" s="129" t="str">
        <f>IFERROR(VLOOKUP(C13,Geometry!$A$59:$B$80,2,FALSE),"")</f>
        <v/>
      </c>
      <c r="G13" s="122"/>
      <c r="H13" s="122"/>
    </row>
    <row r="14" spans="1:8" x14ac:dyDescent="0.2">
      <c r="A14" s="122"/>
      <c r="B14" s="123"/>
      <c r="C14" s="122"/>
      <c r="D14" s="123"/>
      <c r="E14" s="123"/>
      <c r="F14" s="129" t="str">
        <f>IFERROR(VLOOKUP(C14,Geometry!$A$59:$B$80,2,FALSE),"")</f>
        <v/>
      </c>
      <c r="G14" s="122"/>
      <c r="H14" s="122"/>
    </row>
    <row r="15" spans="1:8" x14ac:dyDescent="0.2">
      <c r="A15" s="122"/>
      <c r="B15" s="123"/>
      <c r="C15" s="122"/>
      <c r="D15" s="123"/>
      <c r="E15" s="123"/>
      <c r="F15" s="129" t="str">
        <f>IFERROR(VLOOKUP(C15,Geometry!$A$59:$B$80,2,FALSE),"")</f>
        <v/>
      </c>
      <c r="G15" s="122"/>
      <c r="H15" s="122"/>
    </row>
    <row r="16" spans="1:8" x14ac:dyDescent="0.2">
      <c r="A16" s="17" t="s">
        <v>1404</v>
      </c>
      <c r="C16" s="19" t="s">
        <v>321</v>
      </c>
      <c r="D16" s="48" t="str">
        <f>IFERROR((COUNTIFS(C8:C15,Summary!$D$2,G8:G15,"y")*SUMPRODUCT((C8:C15=Summary!$D$2)*(G8:G15="y")*D8:D15*E8:E15)-SUMIFS(D8:D15,C8:C15,Summary!$D$2,G8:G15,"y")*SUMIFS(E8:E15,C8:C15,Summary!$D$2,G8:G15,"y"))/(COUNTIFS(C8:C15,Summary!$D$2,G8:G15,"y")*SUMPRODUCT((C8:C15=Summary!$D$2)*(G8:G15="y")*D8:D15*D8:D15)-SUMIFS(D8:D15,C8:C15,Summary!$D$2,G8:G15,"y")*SUMIFS(D8:D15,C8:C15,Summary!$D$2,G8:G15,"y")),"no included runs — model uses its default")</f>
        <v>no included runs — model uses its default</v>
      </c>
    </row>
    <row r="17" spans="1:13" x14ac:dyDescent="0.2">
      <c r="A17" s="17" t="s">
        <v>1405</v>
      </c>
      <c r="C17" s="19" t="s">
        <v>325</v>
      </c>
      <c r="D17" s="48" t="str">
        <f>IFERROR((SUMIFS(E8:E15,C8:C15,Summary!$D$2,G8:G15,"y")-((COUNTIFS(C8:C15,Summary!$D$2,G8:G15,"y")*SUMPRODUCT((C8:C15=Summary!$D$2)*(G8:G15="y")*D8:D15*E8:E15)-SUMIFS(D8:D15,C8:C15,Summary!$D$2,G8:G15,"y")*SUMIFS(E8:E15,C8:C15,Summary!$D$2,G8:G15,"y"))/(COUNTIFS(C8:C15,Summary!$D$2,G8:G15,"y")*SUMPRODUCT((C8:C15=Summary!$D$2)*(G8:G15="y")*D8:D15*D8:D15)-SUMIFS(D8:D15,C8:C15,Summary!$D$2,G8:G15,"y")*SUMIFS(D8:D15,C8:C15,Summary!$D$2,G8:G15,"y")))*SUMIFS(D8:D15,C8:C15,Summary!$D$2,G8:G15,"y"))/COUNTIFS(C8:C15,Summary!$D$2,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IFERROR(((G23-'Mass Transfer'!$D$206)*(E23/1000000)/('Mass Transfer'!$D$101*(F23+T_zero_C)))/(D23/(IF(H23="H2",z_e_H2,IF(H23="O2",z_e_O2,NA()))*Electrochemistry!$D$15)),"")</f>
        <v/>
      </c>
      <c r="J23" s="129" t="str">
        <f>IFERROR(VLOOKUP(C23,Geometry!$A$59:$B$80,2,FALSE),"")</f>
        <v/>
      </c>
      <c r="K23" s="122"/>
      <c r="L23" s="122"/>
      <c r="M23" s="97"/>
    </row>
    <row r="24" spans="1:13" x14ac:dyDescent="0.2">
      <c r="A24" s="122"/>
      <c r="B24" s="123"/>
      <c r="C24" s="122"/>
      <c r="D24" s="123"/>
      <c r="E24" s="123"/>
      <c r="F24" s="123"/>
      <c r="G24" s="123"/>
      <c r="H24" s="123"/>
      <c r="I24" s="129" t="str">
        <f>IFERROR(((G24-'Mass Transfer'!$D$206)*(E24/1000000)/('Mass Transfer'!$D$101*(F24+T_zero_C)))/(D24/(IF(H24="H2",z_e_H2,IF(H24="O2",z_e_O2,NA()))*Electrochemistry!$D$15)),"")</f>
        <v/>
      </c>
      <c r="J24" s="129" t="str">
        <f>IFERROR(VLOOKUP(C24,Geometry!$A$59:$B$80,2,FALSE),"")</f>
        <v/>
      </c>
      <c r="K24" s="122"/>
      <c r="L24" s="122"/>
      <c r="M24" s="97"/>
    </row>
    <row r="25" spans="1:13" x14ac:dyDescent="0.2">
      <c r="A25" s="122"/>
      <c r="B25" s="123"/>
      <c r="C25" s="122"/>
      <c r="D25" s="123"/>
      <c r="E25" s="123"/>
      <c r="F25" s="123"/>
      <c r="G25" s="123"/>
      <c r="H25" s="123"/>
      <c r="I25" s="129" t="str">
        <f>IFERROR(((G25-'Mass Transfer'!$D$206)*(E25/1000000)/('Mass Transfer'!$D$101*(F25+T_zero_C)))/(D25/(IF(H25="H2",z_e_H2,IF(H25="O2",z_e_O2,NA()))*Electrochemistry!$D$15)),"")</f>
        <v/>
      </c>
      <c r="J25" s="129" t="str">
        <f>IFERROR(VLOOKUP(C25,Geometry!$A$59:$B$80,2,FALSE),"")</f>
        <v/>
      </c>
      <c r="K25" s="122"/>
      <c r="L25" s="122"/>
      <c r="M25" s="97"/>
    </row>
    <row r="26" spans="1:13" x14ac:dyDescent="0.2">
      <c r="A26" s="122"/>
      <c r="B26" s="123"/>
      <c r="C26" s="122"/>
      <c r="D26" s="123"/>
      <c r="E26" s="123"/>
      <c r="F26" s="123"/>
      <c r="G26" s="123"/>
      <c r="H26" s="123"/>
      <c r="I26" s="129" t="str">
        <f>IFERROR(((G26-'Mass Transfer'!$D$206)*(E26/1000000)/('Mass Transfer'!$D$101*(F26+T_zero_C)))/(D26/(IF(H26="H2",z_e_H2,IF(H26="O2",z_e_O2,NA()))*Electrochemistry!$D$15)),"")</f>
        <v/>
      </c>
      <c r="J26" s="129" t="str">
        <f>IFERROR(VLOOKUP(C26,Geometry!$A$59:$B$80,2,FALSE),"")</f>
        <v/>
      </c>
      <c r="K26" s="122"/>
      <c r="L26" s="122"/>
      <c r="M26" s="97"/>
    </row>
    <row r="27" spans="1:13" x14ac:dyDescent="0.2">
      <c r="A27" s="122"/>
      <c r="B27" s="123"/>
      <c r="C27" s="122"/>
      <c r="D27" s="123"/>
      <c r="E27" s="123"/>
      <c r="F27" s="123"/>
      <c r="G27" s="123"/>
      <c r="H27" s="123"/>
      <c r="I27" s="129" t="str">
        <f>IFERROR(((G27-'Mass Transfer'!$D$206)*(E27/1000000)/('Mass Transfer'!$D$101*(F27+T_zero_C)))/(D27/(IF(H27="H2",z_e_H2,IF(H27="O2",z_e_O2,NA()))*Electrochemistry!$D$15)),"")</f>
        <v/>
      </c>
      <c r="J27" s="129" t="str">
        <f>IFERROR(VLOOKUP(C27,Geometry!$A$59:$B$80,2,FALSE),"")</f>
        <v/>
      </c>
      <c r="K27" s="122"/>
      <c r="L27" s="122"/>
      <c r="M27" s="97"/>
    </row>
    <row r="28" spans="1:13" x14ac:dyDescent="0.2">
      <c r="A28" s="122"/>
      <c r="B28" s="123"/>
      <c r="C28" s="122"/>
      <c r="D28" s="123"/>
      <c r="E28" s="123"/>
      <c r="F28" s="123"/>
      <c r="G28" s="123"/>
      <c r="H28" s="123"/>
      <c r="I28" s="129" t="str">
        <f>IFERROR(((G28-'Mass Transfer'!$D$206)*(E28/1000000)/('Mass Transfer'!$D$101*(F28+T_zero_C)))/(D28/(IF(H28="H2",z_e_H2,IF(H28="O2",z_e_O2,NA()))*Electrochemistry!$D$15)),"")</f>
        <v/>
      </c>
      <c r="J28" s="129" t="str">
        <f>IFERROR(VLOOKUP(C28,Geometry!$A$59:$B$80,2,FALSE),"")</f>
        <v/>
      </c>
      <c r="K28" s="122"/>
      <c r="L28" s="122"/>
      <c r="M28" s="97"/>
    </row>
    <row r="29" spans="1:13" x14ac:dyDescent="0.2">
      <c r="A29" s="122"/>
      <c r="B29" s="123"/>
      <c r="C29" s="122"/>
      <c r="D29" s="123"/>
      <c r="E29" s="123"/>
      <c r="F29" s="123"/>
      <c r="G29" s="123"/>
      <c r="H29" s="123"/>
      <c r="I29" s="129" t="str">
        <f>IFERROR(((G29-'Mass Transfer'!$D$206)*(E29/1000000)/('Mass Transfer'!$D$101*(F29+T_zero_C)))/(D29/(IF(H29="H2",z_e_H2,IF(H29="O2",z_e_O2,NA()))*Electrochemistry!$D$15)),"")</f>
        <v/>
      </c>
      <c r="J29" s="129" t="str">
        <f>IFERROR(VLOOKUP(C29,Geometry!$A$59:$B$80,2,FALSE),"")</f>
        <v/>
      </c>
      <c r="K29" s="122"/>
      <c r="L29" s="122"/>
      <c r="M29" s="97"/>
    </row>
    <row r="30" spans="1:13" x14ac:dyDescent="0.2">
      <c r="A30" s="122"/>
      <c r="B30" s="123"/>
      <c r="C30" s="122"/>
      <c r="D30" s="123"/>
      <c r="E30" s="123"/>
      <c r="F30" s="123"/>
      <c r="G30" s="123"/>
      <c r="H30" s="123"/>
      <c r="I30" s="129" t="str">
        <f>IFERROR(((G30-'Mass Transfer'!$D$206)*(E30/1000000)/('Mass Transfer'!$D$101*(F30+T_zero_C)))/(D30/(IF(H30="H2",z_e_H2,IF(H30="O2",z_e_O2,NA()))*Electrochemistry!$D$15)),"")</f>
        <v/>
      </c>
      <c r="J30" s="129" t="str">
        <f>IFERROR(VLOOKUP(C30,Geometry!$A$59:$B$80,2,FALSE),"")</f>
        <v/>
      </c>
      <c r="K30" s="122"/>
      <c r="L30" s="122"/>
      <c r="M30" s="97"/>
    </row>
    <row r="31" spans="1:13" x14ac:dyDescent="0.2">
      <c r="A31" s="125" t="s">
        <v>1411</v>
      </c>
      <c r="B31" s="97"/>
      <c r="C31" s="126" t="s">
        <v>135</v>
      </c>
      <c r="D31" s="124" t="str">
        <f>IFERROR(AVERAGEIFS(I23:I30,C23:C30,Summary!$D$2,K23:K30,"y",H23:H30,"H2"),"no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IFERROR(AVERAGEIFS(I23:I30,C23:C30,Summary!$D$2,K23:K30,"y",H23:H30,"O2"),"no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HYPERLINK("https://github.com/amy-bo/electroPioreactor/blob/AEP02/Media/protocols/surface-kla.md","SURFACE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IFERROR(VLOOKUP(C38,Geometry!$A$59:$B$80,2,FALSE),"")</f>
        <v/>
      </c>
      <c r="F38" s="122"/>
      <c r="G38" s="122"/>
      <c r="H38" s="97"/>
      <c r="I38" s="97"/>
      <c r="J38" s="97"/>
      <c r="K38" s="97"/>
      <c r="L38" s="97"/>
      <c r="M38" s="97"/>
    </row>
    <row r="39" spans="1:13" x14ac:dyDescent="0.2">
      <c r="A39" s="122"/>
      <c r="B39" s="123"/>
      <c r="C39" s="122"/>
      <c r="D39" s="123"/>
      <c r="E39" s="129" t="str">
        <f>IFERROR(VLOOKUP(C39,Geometry!$A$59:$B$80,2,FALSE),"")</f>
        <v/>
      </c>
      <c r="F39" s="122"/>
      <c r="G39" s="122"/>
      <c r="H39" s="97"/>
      <c r="I39" s="97"/>
      <c r="J39" s="97"/>
      <c r="K39" s="97"/>
      <c r="L39" s="97"/>
      <c r="M39" s="97"/>
    </row>
    <row r="40" spans="1:13" x14ac:dyDescent="0.2">
      <c r="A40" s="122"/>
      <c r="B40" s="123"/>
      <c r="C40" s="122"/>
      <c r="D40" s="123"/>
      <c r="E40" s="129" t="str">
        <f>IFERROR(VLOOKUP(C40,Geometry!$A$59:$B$80,2,FALSE),"")</f>
        <v/>
      </c>
      <c r="F40" s="122"/>
      <c r="G40" s="122"/>
      <c r="H40" s="97"/>
      <c r="I40" s="97"/>
      <c r="J40" s="97"/>
      <c r="K40" s="97"/>
      <c r="L40" s="97"/>
      <c r="M40" s="97"/>
    </row>
    <row r="41" spans="1:13" x14ac:dyDescent="0.2">
      <c r="A41" s="122"/>
      <c r="B41" s="123"/>
      <c r="C41" s="122"/>
      <c r="D41" s="123"/>
      <c r="E41" s="129" t="str">
        <f>IFERROR(VLOOKUP(C41,Geometry!$A$59:$B$80,2,FALSE),"")</f>
        <v/>
      </c>
      <c r="F41" s="122"/>
      <c r="G41" s="122"/>
      <c r="H41" s="97"/>
      <c r="I41" s="97"/>
      <c r="J41" s="97"/>
      <c r="K41" s="97"/>
      <c r="L41" s="97"/>
      <c r="M41" s="97"/>
    </row>
    <row r="42" spans="1:13" x14ac:dyDescent="0.2">
      <c r="A42" s="122"/>
      <c r="B42" s="123"/>
      <c r="C42" s="122"/>
      <c r="D42" s="123"/>
      <c r="E42" s="129" t="str">
        <f>IFERROR(VLOOKUP(C42,Geometry!$A$59:$B$80,2,FALSE),"")</f>
        <v/>
      </c>
      <c r="F42" s="122"/>
      <c r="G42" s="122"/>
      <c r="H42" s="97"/>
      <c r="I42" s="97"/>
      <c r="J42" s="97"/>
      <c r="K42" s="97"/>
      <c r="L42" s="97"/>
      <c r="M42" s="97"/>
    </row>
    <row r="43" spans="1:13" x14ac:dyDescent="0.2">
      <c r="A43" s="122"/>
      <c r="B43" s="123"/>
      <c r="C43" s="122"/>
      <c r="D43" s="123"/>
      <c r="E43" s="129" t="str">
        <f>IFERROR(VLOOKUP(C43,Geometry!$A$59:$B$80,2,FALSE),"")</f>
        <v/>
      </c>
      <c r="F43" s="122"/>
      <c r="G43" s="122"/>
      <c r="H43" s="97"/>
      <c r="I43" s="97"/>
      <c r="J43" s="97"/>
      <c r="K43" s="97"/>
      <c r="L43" s="97"/>
      <c r="M43" s="97"/>
    </row>
    <row r="44" spans="1:13" x14ac:dyDescent="0.2">
      <c r="A44" s="122"/>
      <c r="B44" s="123"/>
      <c r="C44" s="122"/>
      <c r="D44" s="123"/>
      <c r="E44" s="129" t="str">
        <f>IFERROR(VLOOKUP(C44,Geometry!$A$59:$B$80,2,FALSE),"")</f>
        <v/>
      </c>
      <c r="F44" s="122"/>
      <c r="G44" s="122"/>
      <c r="H44" s="97"/>
      <c r="I44" s="97"/>
      <c r="J44" s="97"/>
      <c r="K44" s="97"/>
      <c r="L44" s="97"/>
      <c r="M44" s="97"/>
    </row>
    <row r="45" spans="1:13" x14ac:dyDescent="0.2">
      <c r="A45" s="122"/>
      <c r="B45" s="123"/>
      <c r="C45" s="122"/>
      <c r="D45" s="123"/>
      <c r="E45" s="129" t="str">
        <f>IFERROR(VLOOKUP(C45,Geometry!$A$59:$B$80,2,FALSE),"")</f>
        <v/>
      </c>
      <c r="F45" s="122"/>
      <c r="G45" s="122"/>
      <c r="H45" s="97"/>
      <c r="I45" s="97"/>
      <c r="J45" s="97"/>
      <c r="K45" s="97"/>
      <c r="L45" s="97"/>
      <c r="M45" s="97"/>
    </row>
    <row r="46" spans="1:13" x14ac:dyDescent="0.2">
      <c r="A46" s="125" t="s">
        <v>1415</v>
      </c>
      <c r="B46" s="97"/>
      <c r="C46" s="126" t="s">
        <v>507</v>
      </c>
      <c r="D46" s="124" t="str">
        <f>IFERROR(AVERAGEIFS(D38:D45,C38:C45,Summary!$D$2,F38:F45,"y"),"no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HYPERLINK("https://github.com/amy-bo/electroPioreactor/blob/AEP02/Media/protocols/flow-calibration.md","CO2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IFERROR(VLOOKUP(C52,Geometry!$A$59:$B$80,2,FALSE),"")</f>
        <v/>
      </c>
      <c r="H52" s="122"/>
      <c r="I52" s="122"/>
      <c r="J52" s="97"/>
      <c r="K52" s="97"/>
      <c r="L52" s="97"/>
      <c r="M52" s="97"/>
    </row>
    <row r="53" spans="1:13" x14ac:dyDescent="0.2">
      <c r="A53" s="122"/>
      <c r="B53" s="123"/>
      <c r="C53" s="122"/>
      <c r="D53" s="123"/>
      <c r="E53" s="123"/>
      <c r="F53" s="129" t="str">
        <f t="shared" si="0"/>
        <v/>
      </c>
      <c r="G53" s="129" t="str">
        <f>IFERROR(VLOOKUP(C53,Geometry!$A$59:$B$80,2,FALSE),"")</f>
        <v/>
      </c>
      <c r="H53" s="122"/>
      <c r="I53" s="122"/>
      <c r="J53" s="97"/>
      <c r="K53" s="97"/>
      <c r="L53" s="97"/>
      <c r="M53" s="97"/>
    </row>
    <row r="54" spans="1:13" x14ac:dyDescent="0.2">
      <c r="A54" s="122"/>
      <c r="B54" s="123"/>
      <c r="C54" s="122"/>
      <c r="D54" s="123"/>
      <c r="E54" s="123"/>
      <c r="F54" s="129" t="str">
        <f t="shared" si="0"/>
        <v/>
      </c>
      <c r="G54" s="129" t="str">
        <f>IFERROR(VLOOKUP(C54,Geometry!$A$59:$B$80,2,FALSE),"")</f>
        <v/>
      </c>
      <c r="H54" s="122"/>
      <c r="I54" s="122"/>
      <c r="J54" s="97"/>
      <c r="K54" s="97"/>
      <c r="L54" s="97"/>
      <c r="M54" s="97"/>
    </row>
    <row r="55" spans="1:13" x14ac:dyDescent="0.2">
      <c r="A55" s="122"/>
      <c r="B55" s="123"/>
      <c r="C55" s="122"/>
      <c r="D55" s="123"/>
      <c r="E55" s="123"/>
      <c r="F55" s="129" t="str">
        <f t="shared" si="0"/>
        <v/>
      </c>
      <c r="G55" s="129" t="str">
        <f>IFERROR(VLOOKUP(C55,Geometry!$A$59:$B$80,2,FALSE),"")</f>
        <v/>
      </c>
      <c r="H55" s="122"/>
      <c r="I55" s="122"/>
      <c r="J55" s="97"/>
      <c r="K55" s="97"/>
      <c r="L55" s="97"/>
      <c r="M55" s="97"/>
    </row>
    <row r="56" spans="1:13" x14ac:dyDescent="0.2">
      <c r="A56" s="122"/>
      <c r="B56" s="123"/>
      <c r="C56" s="122"/>
      <c r="D56" s="123"/>
      <c r="E56" s="123"/>
      <c r="F56" s="129" t="str">
        <f t="shared" si="0"/>
        <v/>
      </c>
      <c r="G56" s="129" t="str">
        <f>IFERROR(VLOOKUP(C56,Geometry!$A$59:$B$80,2,FALSE),"")</f>
        <v/>
      </c>
      <c r="H56" s="122"/>
      <c r="I56" s="122"/>
      <c r="J56" s="97"/>
      <c r="K56" s="97"/>
      <c r="L56" s="97"/>
      <c r="M56" s="97"/>
    </row>
    <row r="57" spans="1:13" x14ac:dyDescent="0.2">
      <c r="A57" s="122"/>
      <c r="B57" s="123"/>
      <c r="C57" s="122"/>
      <c r="D57" s="123"/>
      <c r="E57" s="123"/>
      <c r="F57" s="129" t="str">
        <f t="shared" si="0"/>
        <v/>
      </c>
      <c r="G57" s="129" t="str">
        <f>IFERROR(VLOOKUP(C57,Geometry!$A$59:$B$80,2,FALSE),"")</f>
        <v/>
      </c>
      <c r="H57" s="122"/>
      <c r="I57" s="122"/>
      <c r="J57" s="97"/>
      <c r="K57" s="97"/>
      <c r="L57" s="97"/>
      <c r="M57" s="97"/>
    </row>
    <row r="58" spans="1:13" x14ac:dyDescent="0.2">
      <c r="A58" s="122"/>
      <c r="B58" s="123"/>
      <c r="C58" s="122"/>
      <c r="D58" s="123"/>
      <c r="E58" s="123"/>
      <c r="F58" s="129" t="str">
        <f t="shared" si="0"/>
        <v/>
      </c>
      <c r="G58" s="129" t="str">
        <f>IFERROR(VLOOKUP(C58,Geometry!$A$59:$B$80,2,FALSE),"")</f>
        <v/>
      </c>
      <c r="H58" s="122"/>
      <c r="I58" s="122"/>
      <c r="J58" s="97"/>
      <c r="K58" s="97"/>
      <c r="L58" s="97"/>
      <c r="M58" s="97"/>
    </row>
    <row r="59" spans="1:13" x14ac:dyDescent="0.2">
      <c r="A59" s="122"/>
      <c r="B59" s="123"/>
      <c r="C59" s="122"/>
      <c r="D59" s="123"/>
      <c r="E59" s="123"/>
      <c r="F59" s="129" t="str">
        <f t="shared" si="0"/>
        <v/>
      </c>
      <c r="G59" s="129" t="str">
        <f>IFERROR(VLOOKUP(C59,Geometry!$A$59:$B$80,2,FALSE),"")</f>
        <v/>
      </c>
      <c r="H59" s="122"/>
      <c r="I59" s="122"/>
      <c r="J59" s="97"/>
      <c r="K59" s="97"/>
      <c r="L59" s="97"/>
      <c r="M59" s="97"/>
    </row>
    <row r="60" spans="1:13" x14ac:dyDescent="0.2">
      <c r="A60" s="125" t="s">
        <v>1420</v>
      </c>
      <c r="B60" s="97"/>
      <c r="C60" s="126" t="s">
        <v>1421</v>
      </c>
      <c r="D60" s="124" t="str">
        <f>IFERROR(AVERAGEIFS(F52:F59,C52:C59,Summary!$D$2,H52:H59,"y",B52:B59,SUMPRODUCT(MAX((C52:C59=Summary!$D$2)*(H52:H59="y")*B52:B59))),"no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HYPERLINK("https://github.com/amy-bo/electroPioreactor/blob/AEP02/Media/protocols/vial-geometry.md","VIAL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IF(E66="","",IFERROR(E66/((ca_rho_0+ca_rho_k*F66)/1000),""))</f>
        <v/>
      </c>
      <c r="H66" s="129" t="str">
        <f>IF(E66="","",IFERROR((E66/((ca_rho_0+ca_rho_k*F66)/1000))*1000/Geometry!$D$21,""))</f>
        <v/>
      </c>
      <c r="I66" s="129" t="str">
        <f>IFERROR(VLOOKUP(C66,Geometry!$A$59:$B$80,2,FALSE),"")</f>
        <v/>
      </c>
      <c r="J66" s="122"/>
      <c r="K66" s="122"/>
      <c r="L66" s="129" t="str">
        <f>IF(D66="","",IFERROR(D66/((ca_rho_0+ca_rho_k*F66)/1000),""))</f>
        <v/>
      </c>
      <c r="M66" s="123"/>
      <c r="N66" s="129" t="str">
        <f>IF(M66="","",IFERROR(M66/((ca_rho_0+ca_rho_k*F66)/1000),""))</f>
        <v/>
      </c>
    </row>
    <row r="67" x14ac:dyDescent="0.2">
      <c r="A67" s="122"/>
      <c r="B67" s="123"/>
      <c r="C67" s="122"/>
      <c r="D67" s="123"/>
      <c r="E67" s="123"/>
      <c r="F67" s="123"/>
      <c r="G67" s="129" t="str">
        <f>IF(E67="","",IFERROR(E67/((ca_rho_0+ca_rho_k*F67)/1000),""))</f>
        <v/>
      </c>
      <c r="H67" s="129" t="str">
        <f>IF(E67="","",IFERROR((E67/((ca_rho_0+ca_rho_k*F67)/1000))*1000/Geometry!$D$21,""))</f>
        <v/>
      </c>
      <c r="I67" s="129" t="str">
        <f>IFERROR(VLOOKUP(C67,Geometry!$A$59:$B$80,2,FALSE),"")</f>
        <v/>
      </c>
      <c r="J67" s="122"/>
      <c r="K67" s="122"/>
      <c r="L67" s="129" t="str">
        <f>IF(D67="","",IFERROR(D67/((ca_rho_0+ca_rho_k*F67)/1000),""))</f>
        <v/>
      </c>
      <c r="M67" s="123"/>
      <c r="N67" s="129" t="str">
        <f>IF(M67="","",IFERROR(M67/((ca_rho_0+ca_rho_k*F67)/1000),""))</f>
        <v/>
      </c>
    </row>
    <row r="68" x14ac:dyDescent="0.2">
      <c r="A68" s="122"/>
      <c r="B68" s="123"/>
      <c r="C68" s="122"/>
      <c r="D68" s="123"/>
      <c r="E68" s="123"/>
      <c r="F68" s="123"/>
      <c r="G68" s="129" t="str">
        <f>IF(E68="","",IFERROR(E68/((ca_rho_0+ca_rho_k*F68)/1000),""))</f>
        <v/>
      </c>
      <c r="H68" s="129" t="str">
        <f>IF(E68="","",IFERROR((E68/((ca_rho_0+ca_rho_k*F68)/1000))*1000/Geometry!$D$21,""))</f>
        <v/>
      </c>
      <c r="I68" s="129" t="str">
        <f>IFERROR(VLOOKUP(C68,Geometry!$A$59:$B$80,2,FALSE),"")</f>
        <v/>
      </c>
      <c r="J68" s="122"/>
      <c r="K68" s="122"/>
      <c r="L68" s="129" t="str">
        <f>IF(D68="","",IFERROR(D68/((ca_rho_0+ca_rho_k*F68)/1000),""))</f>
        <v/>
      </c>
      <c r="M68" s="123"/>
      <c r="N68" s="129" t="str">
        <f>IF(M68="","",IFERROR(M68/((ca_rho_0+ca_rho_k*F68)/1000),""))</f>
        <v/>
      </c>
    </row>
    <row r="69" x14ac:dyDescent="0.2">
      <c r="A69" s="122"/>
      <c r="B69" s="123"/>
      <c r="C69" s="122"/>
      <c r="D69" s="123"/>
      <c r="E69" s="123"/>
      <c r="F69" s="123"/>
      <c r="G69" s="129" t="str">
        <f>IF(E69="","",IFERROR(E69/((ca_rho_0+ca_rho_k*F69)/1000),""))</f>
        <v/>
      </c>
      <c r="H69" s="129" t="str">
        <f>IF(E69="","",IFERROR((E69/((ca_rho_0+ca_rho_k*F69)/1000))*1000/Geometry!$D$21,""))</f>
        <v/>
      </c>
      <c r="I69" s="129" t="str">
        <f>IFERROR(VLOOKUP(C69,Geometry!$A$59:$B$80,2,FALSE),"")</f>
        <v/>
      </c>
      <c r="J69" s="122"/>
      <c r="K69" s="122"/>
      <c r="L69" s="129" t="str">
        <f>IF(D69="","",IFERROR(D69/((ca_rho_0+ca_rho_k*F69)/1000),""))</f>
        <v/>
      </c>
      <c r="M69" s="123"/>
      <c r="N69" s="129" t="str">
        <f>IF(M69="","",IFERROR(M69/((ca_rho_0+ca_rho_k*F69)/1000),""))</f>
        <v/>
      </c>
    </row>
    <row r="70" x14ac:dyDescent="0.2">
      <c r="A70" s="122"/>
      <c r="B70" s="123"/>
      <c r="C70" s="122"/>
      <c r="D70" s="123"/>
      <c r="E70" s="123"/>
      <c r="F70" s="123"/>
      <c r="G70" s="129" t="str">
        <f>IF(E70="","",IFERROR(E70/((ca_rho_0+ca_rho_k*F70)/1000),""))</f>
        <v/>
      </c>
      <c r="H70" s="129" t="str">
        <f>IF(E70="","",IFERROR((E70/((ca_rho_0+ca_rho_k*F70)/1000))*1000/Geometry!$D$21,""))</f>
        <v/>
      </c>
      <c r="I70" s="129" t="str">
        <f>IFERROR(VLOOKUP(C70,Geometry!$A$59:$B$80,2,FALSE),"")</f>
        <v/>
      </c>
      <c r="J70" s="122"/>
      <c r="K70" s="122"/>
      <c r="L70" s="129" t="str">
        <f>IF(D70="","",IFERROR(D70/((ca_rho_0+ca_rho_k*F70)/1000),""))</f>
        <v/>
      </c>
      <c r="M70" s="123"/>
      <c r="N70" s="129" t="str">
        <f>IF(M70="","",IFERROR(M70/((ca_rho_0+ca_rho_k*F70)/1000),""))</f>
        <v/>
      </c>
    </row>
    <row r="71" x14ac:dyDescent="0.2">
      <c r="A71" s="122"/>
      <c r="B71" s="123"/>
      <c r="C71" s="122"/>
      <c r="D71" s="123"/>
      <c r="E71" s="123"/>
      <c r="F71" s="123"/>
      <c r="G71" s="129" t="str">
        <f>IF(E71="","",IFERROR(E71/((ca_rho_0+ca_rho_k*F71)/1000),""))</f>
        <v/>
      </c>
      <c r="H71" s="129" t="str">
        <f>IF(E71="","",IFERROR((E71/((ca_rho_0+ca_rho_k*F71)/1000))*1000/Geometry!$D$21,""))</f>
        <v/>
      </c>
      <c r="I71" s="129" t="str">
        <f>IFERROR(VLOOKUP(C71,Geometry!$A$59:$B$80,2,FALSE),"")</f>
        <v/>
      </c>
      <c r="J71" s="122"/>
      <c r="K71" s="122"/>
      <c r="L71" s="129" t="str">
        <f>IF(D71="","",IFERROR(D71/((ca_rho_0+ca_rho_k*F71)/1000),""))</f>
        <v/>
      </c>
      <c r="M71" s="123"/>
      <c r="N71" s="129" t="str">
        <f>IF(M71="","",IFERROR(M71/((ca_rho_0+ca_rho_k*F71)/1000),""))</f>
        <v/>
      </c>
    </row>
    <row r="72" x14ac:dyDescent="0.2">
      <c r="A72" s="122"/>
      <c r="B72" s="123"/>
      <c r="C72" s="122"/>
      <c r="D72" s="123"/>
      <c r="E72" s="123"/>
      <c r="F72" s="123"/>
      <c r="G72" s="129" t="str">
        <f>IF(E72="","",IFERROR(E72/((ca_rho_0+ca_rho_k*F72)/1000),""))</f>
        <v/>
      </c>
      <c r="H72" s="129" t="str">
        <f>IF(E72="","",IFERROR((E72/((ca_rho_0+ca_rho_k*F72)/1000))*1000/Geometry!$D$21,""))</f>
        <v/>
      </c>
      <c r="I72" s="129" t="str">
        <f>IFERROR(VLOOKUP(C72,Geometry!$A$59:$B$80,2,FALSE),"")</f>
        <v/>
      </c>
      <c r="J72" s="122"/>
      <c r="K72" s="122"/>
      <c r="L72" s="129" t="str">
        <f>IF(D72="","",IFERROR(D72/((ca_rho_0+ca_rho_k*F72)/1000),""))</f>
        <v/>
      </c>
      <c r="M72" s="123"/>
      <c r="N72" s="129" t="str">
        <f>IF(M72="","",IFERROR(M72/((ca_rho_0+ca_rho_k*F72)/1000),""))</f>
        <v/>
      </c>
    </row>
    <row r="73" x14ac:dyDescent="0.2">
      <c r="A73" s="122"/>
      <c r="B73" s="123"/>
      <c r="C73" s="122"/>
      <c r="D73" s="123"/>
      <c r="E73" s="123"/>
      <c r="F73" s="123"/>
      <c r="G73" s="129" t="str">
        <f>IF(E73="","",IFERROR(E73/((ca_rho_0+ca_rho_k*F73)/1000),""))</f>
        <v/>
      </c>
      <c r="H73" s="129" t="str">
        <f>IF(E73="","",IFERROR((E73/((ca_rho_0+ca_rho_k*F73)/1000))*1000/Geometry!$D$21,""))</f>
        <v/>
      </c>
      <c r="I73" s="129" t="str">
        <f>IFERROR(VLOOKUP(C73,Geometry!$A$59:$B$80,2,FALSE),"")</f>
        <v/>
      </c>
      <c r="J73" s="122"/>
      <c r="K73" s="122"/>
      <c r="L73" s="129" t="str">
        <f>IF(D73="","",IFERROR(D73/((ca_rho_0+ca_rho_k*F73)/1000),""))</f>
        <v/>
      </c>
      <c r="M73" s="123"/>
      <c r="N73" s="129" t="str">
        <f>IF(M73="","",IFERROR(M73/((ca_rho_0+ca_rho_k*F73)/1000),""))</f>
        <v/>
      </c>
    </row>
    <row r="74" spans="1:13" x14ac:dyDescent="0.2">
      <c r="A74" s="125" t="s">
        <v>1427</v>
      </c>
      <c r="B74" s="97"/>
      <c r="C74" s="126" t="s">
        <v>57</v>
      </c>
      <c r="D74" s="124" t="str">
        <f>IFERROR(AVERAGEIFS(G66:G73,I66:I73,Geometry!$D$51,J66:J73,"y"),"no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IFERROR(AVERAGEIFS(H66:H73,I66:I73,Geometry!$D$51,J66:J73,"y"),"no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IFERROR(AVERAGEIFS(L66:L73,I66:I73,Geometry!$D$51,J66:J73,"y"),"no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IFERROR(AVERAGEIFS(N66:N73,I66:I73,Geometry!$D$51,J66:J73,"y"),"no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HYPERLINK("https://github.com/amy-bo/electroPioreactor/blob/AEP02/Media/protocols/sinter-porosity.md","SINTER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IFERROR(IF((bp_const/D81)&gt;por_break_1,0,IF((bp_const/D81)&gt;por_break_2,1,IF((bp_const/D81)&gt;por_break_3,2,IF((bp_const/D81)&gt;por_break_4,3,IF((bp_const/D81)&gt;por_break_5,4,5))))),"")</f>
        <v/>
      </c>
      <c r="F81" s="129" t="str">
        <f>IFERROR(VLOOKUP(C81,Geometry!$A$59:$B$80,2,FALSE),"")</f>
        <v/>
      </c>
      <c r="G81" s="122"/>
      <c r="H81" s="122"/>
      <c r="I81" s="97"/>
      <c r="J81" s="97"/>
      <c r="K81" s="97"/>
      <c r="L81" s="97"/>
      <c r="M81" s="97"/>
    </row>
    <row r="82" spans="1:13" x14ac:dyDescent="0.2">
      <c r="A82" s="122"/>
      <c r="B82" s="123"/>
      <c r="C82" s="122"/>
      <c r="D82" s="123"/>
      <c r="E82" s="129" t="str">
        <f>IFERROR(IF((bp_const/D82)&gt;por_break_1,0,IF((bp_const/D82)&gt;por_break_2,1,IF((bp_const/D82)&gt;por_break_3,2,IF((bp_const/D82)&gt;por_break_4,3,IF((bp_const/D82)&gt;por_break_5,4,5))))),"")</f>
        <v/>
      </c>
      <c r="F82" s="130" t="str">
        <f>IFERROR(VLOOKUP(C82,Geometry!$A$59:$B$80,2,FALSE),"")</f>
        <v/>
      </c>
      <c r="G82" s="122"/>
      <c r="H82" s="122"/>
      <c r="I82" s="97"/>
      <c r="J82" s="97"/>
      <c r="K82" s="97"/>
      <c r="L82" s="97"/>
      <c r="M82" s="97"/>
    </row>
    <row r="83" spans="1:13" x14ac:dyDescent="0.2">
      <c r="A83" s="122"/>
      <c r="B83" s="123"/>
      <c r="C83" s="122"/>
      <c r="D83" s="123"/>
      <c r="E83" s="129" t="str">
        <f>IFERROR(IF((bp_const/D83)&gt;por_break_1,0,IF((bp_const/D83)&gt;por_break_2,1,IF((bp_const/D83)&gt;por_break_3,2,IF((bp_const/D83)&gt;por_break_4,3,IF((bp_const/D83)&gt;por_break_5,4,5))))),"")</f>
        <v/>
      </c>
      <c r="F83" s="130" t="str">
        <f>IFERROR(VLOOKUP(C83,Geometry!$A$59:$B$80,2,FALSE),"")</f>
        <v/>
      </c>
      <c r="G83" s="122"/>
      <c r="H83" s="122"/>
      <c r="I83" s="97"/>
      <c r="J83" s="97"/>
      <c r="K83" s="97"/>
      <c r="L83" s="97"/>
      <c r="M83" s="97"/>
    </row>
    <row r="84" spans="1:13" x14ac:dyDescent="0.2">
      <c r="A84" s="122"/>
      <c r="B84" s="123"/>
      <c r="C84" s="122"/>
      <c r="D84" s="123"/>
      <c r="E84" s="129" t="str">
        <f>IFERROR(IF((bp_const/D84)&gt;por_break_1,0,IF((bp_const/D84)&gt;por_break_2,1,IF((bp_const/D84)&gt;por_break_3,2,IF((bp_const/D84)&gt;por_break_4,3,IF((bp_const/D84)&gt;por_break_5,4,5))))),"")</f>
        <v/>
      </c>
      <c r="F84" s="130" t="str">
        <f>IFERROR(VLOOKUP(C84,Geometry!$A$59:$B$80,2,FALSE),"")</f>
        <v/>
      </c>
      <c r="G84" s="122"/>
      <c r="H84" s="122"/>
      <c r="I84" s="97"/>
      <c r="J84" s="97"/>
      <c r="K84" s="97"/>
      <c r="L84" s="97"/>
      <c r="M84" s="97"/>
    </row>
    <row r="85" spans="1:13" x14ac:dyDescent="0.2">
      <c r="A85" s="122"/>
      <c r="B85" s="123"/>
      <c r="C85" s="122"/>
      <c r="D85" s="123"/>
      <c r="E85" s="129" t="str">
        <f>IFERROR(IF((bp_const/D85)&gt;por_break_1,0,IF((bp_const/D85)&gt;por_break_2,1,IF((bp_const/D85)&gt;por_break_3,2,IF((bp_const/D85)&gt;por_break_4,3,IF((bp_const/D85)&gt;por_break_5,4,5))))),"")</f>
        <v/>
      </c>
      <c r="F85" s="130" t="str">
        <f>IFERROR(VLOOKUP(C85,Geometry!$A$59:$B$80,2,FALSE),"")</f>
        <v/>
      </c>
      <c r="G85" s="122"/>
      <c r="H85" s="122"/>
      <c r="I85" s="97"/>
      <c r="J85" s="97"/>
      <c r="K85" s="97"/>
      <c r="L85" s="97"/>
      <c r="M85" s="97"/>
    </row>
    <row r="86" spans="1:13" x14ac:dyDescent="0.2">
      <c r="A86" s="122"/>
      <c r="B86" s="123"/>
      <c r="C86" s="122"/>
      <c r="D86" s="123"/>
      <c r="E86" s="129" t="str">
        <f>IFERROR(IF((bp_const/D86)&gt;por_break_1,0,IF((bp_const/D86)&gt;por_break_2,1,IF((bp_const/D86)&gt;por_break_3,2,IF((bp_const/D86)&gt;por_break_4,3,IF((bp_const/D86)&gt;por_break_5,4,5))))),"")</f>
        <v/>
      </c>
      <c r="F86" s="129" t="str">
        <f>IFERROR(VLOOKUP(C86,Geometry!$A$59:$B$80,2,FALSE),"")</f>
        <v/>
      </c>
      <c r="G86" s="122"/>
      <c r="H86" s="122"/>
      <c r="I86" s="97"/>
      <c r="J86" s="97"/>
      <c r="K86" s="97"/>
      <c r="L86" s="97"/>
      <c r="M86" s="97"/>
    </row>
    <row r="87" spans="1:13" x14ac:dyDescent="0.2">
      <c r="A87" s="122"/>
      <c r="B87" s="123"/>
      <c r="C87" s="122"/>
      <c r="D87" s="123"/>
      <c r="E87" s="129" t="str">
        <f>IFERROR(IF((bp_const/D87)&gt;por_break_1,0,IF((bp_const/D87)&gt;por_break_2,1,IF((bp_const/D87)&gt;por_break_3,2,IF((bp_const/D87)&gt;por_break_4,3,IF((bp_const/D87)&gt;por_break_5,4,5))))),"")</f>
        <v/>
      </c>
      <c r="F87" s="129" t="str">
        <f>IFERROR(VLOOKUP(C87,Geometry!$A$59:$B$80,2,FALSE),"")</f>
        <v/>
      </c>
      <c r="G87" s="122"/>
      <c r="H87" s="122"/>
      <c r="I87" s="97"/>
      <c r="J87" s="97"/>
      <c r="K87" s="97"/>
      <c r="L87" s="97"/>
      <c r="M87" s="97"/>
    </row>
    <row r="88" spans="1:13" x14ac:dyDescent="0.2">
      <c r="A88" s="122"/>
      <c r="B88" s="123"/>
      <c r="C88" s="122"/>
      <c r="D88" s="123"/>
      <c r="E88" s="129" t="str">
        <f>IFERROR(IF((bp_const/D88)&gt;por_break_1,0,IF((bp_const/D88)&gt;por_break_2,1,IF((bp_const/D88)&gt;por_break_3,2,IF((bp_const/D88)&gt;por_break_4,3,IF((bp_const/D88)&gt;por_break_5,4,5))))),"")</f>
        <v/>
      </c>
      <c r="F88" s="129" t="str">
        <f>IFERROR(VLOOKUP(C88,Geometry!$A$59:$B$80,2,FALSE),"")</f>
        <v/>
      </c>
      <c r="G88" s="122"/>
      <c r="H88" s="122"/>
      <c r="I88" s="97"/>
      <c r="J88" s="97"/>
      <c r="K88" s="97"/>
      <c r="L88" s="97"/>
      <c r="M88" s="97"/>
    </row>
    <row r="89" spans="1:13" x14ac:dyDescent="0.2">
      <c r="A89" s="125" t="s">
        <v>1432</v>
      </c>
      <c r="B89" s="97"/>
      <c r="C89" s="126" t="s">
        <v>553</v>
      </c>
      <c r="D89" s="124" t="str">
        <f>IFERROR(AVERAGEIFS(E81:E88,C81:C88,Summary!$D$2,G81:G88,"y",B81:B88,SUMPRODUCT(MAX((C81:C88=Summary!$D$2)*(G81:G88="y")*B81:B88))),"no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HYPERLINK("https://github.com/amy-bo/electroPioreactor/blob/AEP02/Media/protocols/dissolved-oxygen.md","DISSOLVED-OXYGEN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IFERROR(AVERAGEIFS(D95:D102,C95:C102,Summary!$D$4,H95:H102,"y"),"no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IFERROR(AVERAGEIFS(E95:E102,C95:C102,Summary!$D$4,H95:H102,"y"),"no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IFERROR(AVERAGEIFS(F95:F102,C95:C102,Summary!$D$4,H95:H102,"y"),"no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IFERROR(AVERAGEIFS(G95:G102,C95:C102,Summary!$D$4,H95:H102,"y"),"no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HYPERLINK("https://github.com/amy-bo/electroPioreactor/blob/AEP02/Media/protocols/knallgas-stoichiometry.md","KNALLGAS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IFERROR(AVERAGEIFS(D112:D119,C112:C119,Summary!$D$4,G112:G119,"y"),"no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IFERROR(AVERAGEIFS(E112:E119,C112:C119,Summary!$D$4,G112:G119,"y"),"no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IFERROR(AVERAGEIFS(F112:F119,C112:C119,Summary!$D$4,G112:G119,"y"),"no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HYPERLINK("https://github.com/amy-bo/electroPioreactor/blob/AEP02/Media/protocols/current-density-screen.md","CURRENT-DENSITY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IFERROR(AVERAGEIFS(D128:D135,C128:C135,Summary!$D$4,F128:F135,"y"),"no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IFERROR(AVERAGEIFS(E128:E135,C128:C135,Summary!$D$4,F128:F135,"y"),"no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4" t="inlineStr">
        <is>
          <t xml:space="preserve">NAMED CONSTANTS AND IMPORTS</t>
        </is>
      </c>
      <c r="B139" s="97"/>
      <c r="C139" s="97"/>
      <c r="D139" s="97"/>
      <c r="E139" s="97"/>
      <c r="F139" s="97"/>
      <c r="G139" s="97"/>
      <c r="H139" s="97"/>
      <c r="I139" s="97"/>
      <c r="J139" s="97"/>
      <c r="K139" s="97"/>
      <c r="L139" s="97"/>
      <c r="M139" s="97"/>
    </row>
    <row r="140">
      <c r="A140" s="17" t="inlineStr">
        <is>
          <t xml:space="preserve">Bubble-point constant (water)</t>
        </is>
      </c>
      <c r="B140" s="97" t="inlineStr">
        <is>
          <t xml:space="preserve">bp_const</t>
        </is>
      </c>
      <c r="C140" s="19" t="inlineStr">
        <is>
          <t xml:space="preserve">µm·kPa</t>
        </is>
      </c>
      <c r="D140" s="163">
        <v>291.2</v>
      </c>
      <c r="E140" s="97" t="inlineStr">
        <is>
          <t xml:space="preserve">Bubble-point law d = 4σ/ΔP for water (σ = 72.8 mN/m, θ = 0): d in µm with ΔP in kPa.</t>
        </is>
      </c>
    </row>
    <row r="141">
      <c r="A141" s="17" t="inlineStr">
        <is>
          <t xml:space="preserve">Sinter grade boundary P0/P1</t>
        </is>
      </c>
      <c r="B141" s="97" t="inlineStr">
        <is>
          <t xml:space="preserve">por_break_1</t>
        </is>
      </c>
      <c r="C141" s="19" t="inlineStr">
        <is>
          <t xml:space="preserve">µm</t>
        </is>
      </c>
      <c r="D141" s="163">
        <v>160</v>
      </c>
      <c r="E141" s="97" t="inlineStr">
        <is>
          <t xml:space="preserve">ISO 4793 / DURAN pore-size grade boundary between P0 and P1 (Mass Transfer E33:E38).</t>
        </is>
      </c>
    </row>
    <row r="142">
      <c r="A142" s="17" t="inlineStr">
        <is>
          <t xml:space="preserve">Sinter grade boundary P1/P2</t>
        </is>
      </c>
      <c r="B142" s="97" t="inlineStr">
        <is>
          <t xml:space="preserve">por_break_2</t>
        </is>
      </c>
      <c r="C142" s="19" t="inlineStr">
        <is>
          <t xml:space="preserve">µm</t>
        </is>
      </c>
      <c r="D142" s="163">
        <v>100</v>
      </c>
      <c r="E142" s="97" t="inlineStr">
        <is>
          <t xml:space="preserve">ISO 4793 / DURAN pore-size grade boundary between P1 and P2 (Mass Transfer E33:E38).</t>
        </is>
      </c>
    </row>
    <row r="143">
      <c r="A143" s="17" t="inlineStr">
        <is>
          <t xml:space="preserve">Sinter grade boundary P2/P3</t>
        </is>
      </c>
      <c r="B143" s="97" t="inlineStr">
        <is>
          <t xml:space="preserve">por_break_3</t>
        </is>
      </c>
      <c r="C143" s="19" t="inlineStr">
        <is>
          <t xml:space="preserve">µm</t>
        </is>
      </c>
      <c r="D143" s="163">
        <v>40</v>
      </c>
      <c r="E143" s="97" t="inlineStr">
        <is>
          <t xml:space="preserve">ISO 4793 / DURAN pore-size grade boundary between P2 and P3 (Mass Transfer E33:E38).</t>
        </is>
      </c>
    </row>
    <row r="144">
      <c r="A144" s="17" t="inlineStr">
        <is>
          <t xml:space="preserve">Sinter grade boundary P3/P4</t>
        </is>
      </c>
      <c r="B144" s="97" t="inlineStr">
        <is>
          <t xml:space="preserve">por_break_4</t>
        </is>
      </c>
      <c r="C144" s="19" t="inlineStr">
        <is>
          <t xml:space="preserve">µm</t>
        </is>
      </c>
      <c r="D144" s="163">
        <v>16</v>
      </c>
      <c r="E144" s="97" t="inlineStr">
        <is>
          <t xml:space="preserve">ISO 4793 / DURAN pore-size grade boundary between P3 and P4 (Mass Transfer E33:E38).</t>
        </is>
      </c>
    </row>
    <row r="145">
      <c r="A145" s="17" t="inlineStr">
        <is>
          <t xml:space="preserve">Sinter grade boundary P4/P5</t>
        </is>
      </c>
      <c r="B145" s="97" t="inlineStr">
        <is>
          <t xml:space="preserve">por_break_5</t>
        </is>
      </c>
      <c r="C145" s="19" t="inlineStr">
        <is>
          <t xml:space="preserve">µm</t>
        </is>
      </c>
      <c r="D145" s="163">
        <v>10</v>
      </c>
      <c r="E145" s="97" t="inlineStr">
        <is>
          <t xml:space="preserve">ISO 4793 / DURAN pore-size grade boundary between P4 and P5 (Mass Transfer E33:E38).</t>
        </is>
      </c>
    </row>
    <row r="146">
      <c r="A146" s="17" t="inlineStr">
        <is>
          <t xml:space="preserve">(import) Electrons per H₂</t>
        </is>
      </c>
      <c r="B146" s="97" t="inlineStr">
        <is>
          <t xml:space="preserve">z_e_H2</t>
        </is>
      </c>
      <c r="C146" s="19" t="inlineStr">
        <is>
          <t xml:space="preserve">-</t>
        </is>
      </c>
      <c r="D146" s="164">
        <f>Electrochemistry!$D$16</f>
        <v>2.0</v>
      </c>
      <c r="E146" s="165" t="inlineStr">
        <is>
          <t xml:space="preserve">Import from Electrochemistry!D16</t>
        </is>
      </c>
    </row>
    <row r="147">
      <c r="A147" s="17" t="inlineStr">
        <is>
          <t xml:space="preserve">(import) Electrons per O₂</t>
        </is>
      </c>
      <c r="B147" s="97" t="inlineStr">
        <is>
          <t xml:space="preserve">z_e_O2</t>
        </is>
      </c>
      <c r="C147" s="19" t="inlineStr">
        <is>
          <t xml:space="preserve">-</t>
        </is>
      </c>
      <c r="D147" s="164">
        <f>Electrochemistry!$D$17</f>
        <v>4.0</v>
      </c>
      <c r="E147" s="165" t="inlineStr">
        <is>
          <t xml:space="preserve">Import from Electrochemistry!D17</t>
        </is>
      </c>
    </row>
    <row r="148">
      <c r="A148" s="17" t="inlineStr">
        <is>
          <t xml:space="preserve">(import) Celsius-to-kelvin offset</t>
        </is>
      </c>
      <c r="B148" s="97" t="inlineStr">
        <is>
          <t xml:space="preserve">T_zero_C</t>
        </is>
      </c>
      <c r="C148" s="19" t="inlineStr">
        <is>
          <t xml:space="preserve">K</t>
        </is>
      </c>
      <c r="D148" s="164">
        <f>Biology!$D$66</f>
        <v>273.15</v>
      </c>
      <c r="E148" s="165" t="inlineStr">
        <is>
          <t xml:space="preserve">Import from Biology!D66</t>
        </is>
      </c>
    </row>
    <row r="155">
      <c r="A155" s="17" t="inlineStr">
        <is>
          <t xml:space="preserve">(import) Liquid density intercept</t>
        </is>
      </c>
      <c r="B155" s="97" t="inlineStr">
        <is>
          <t xml:space="preserve">ca_rho_0</t>
        </is>
      </c>
      <c r="C155" s="19" t="inlineStr">
        <is>
          <t xml:space="preserve">kg/m³</t>
        </is>
      </c>
      <c r="D155" s="164">
        <f>'Mass Transfer'!$D$169</f>
        <v>1003.33</v>
      </c>
      <c r="E155" s="165" t="inlineStr">
        <is>
          <t xml:space="preserve">Import from Mass Transfer!D169 (rho_0; density law ρ = ρ₀ + k·T[°C])</t>
        </is>
      </c>
    </row>
    <row r="156">
      <c r="A156" s="17" t="inlineStr">
        <is>
          <t xml:space="preserve">(import) Liquid density slope</t>
        </is>
      </c>
      <c r="B156" s="97" t="inlineStr">
        <is>
          <t xml:space="preserve">ca_rho_k</t>
        </is>
      </c>
      <c r="C156" s="19" t="inlineStr">
        <is>
          <t xml:space="preserve">kg/m³/K</t>
        </is>
      </c>
      <c r="D156" s="164">
        <f>'Mass Transfer'!$D$170</f>
        <v>-0.2556</v>
      </c>
      <c r="E156" s="165" t="inlineStr">
        <is>
          <t xml:space="preserve">Import from Mass Transfer!D170 (rho_k)</t>
        </is>
      </c>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