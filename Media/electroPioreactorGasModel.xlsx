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<sst xmlns="http://schemas.openxmlformats.org/spreadsheetml/2006/main" count="3953" uniqueCount="2838">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</sst>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7.43645448177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7.2</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6.487746914065</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2.27402079505</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7.43645448177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1.21</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H₂ flammability screen (Biology D92), the lag pH ceiling and the carbon bound. Select Lag in row 12 to evaluate every output at exactly this schedule.</t>
        </is>
      </c>
    </row>
    <row r="32" spans="1:6" x14ac:dyDescent="0.2">
      <c r="A32" s="64" t="s">
        <v>1788</v>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1.001250748913</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6" t="str">
        <f>Geometry!geom_check</f>
        <v>VIAL GEOMETRY INCONSISTENT - measure the true headspace (protocols/vial-geometry.md)</v>
      </c>
      <c r="E35" s="24" t="str">
        <f>HYPERLINK("#Geometry!D90","→ Geometry")</f>
        <v>→ Geometry</v>
      </c>
      <c r="F35" s="22" t="s">
        <v>1718</v>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ht="32" customHeight="1">
      <c r="A37" s="64" t="s">
        <v>1721</v>
      </c>
      <c r="B37" s="19" t="s">
        <v>1722</v>
      </c>
      <c r="C37" s="21"/>
      <c r="D37" s="175"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≈13 mg/L, above the 10.1 mg/L inhibition ceiling (peaks higher)</v>
      </c>
      <c r="E39" s="24" t="str">
        <f>HYPERLINK("#'Mass Transfer'!D113","→ Mass")</f>
        <v>→ Mass</v>
      </c>
      <c r="F39" s="22" t="s">
        <v>1727</v>
      </c>
    </row>
    <row r="40" spans="1:6" x14ac:dyDescent="0.2" ht="92" customHeight="1">
      <c r="A40" s="64" t="s">
        <v>1728</v>
      </c>
      <c r="B40" s="19" t="s">
        <v>1729</v>
      </c>
      <c r="C40" s="21"/>
      <c r="D40" s="177" t="str">
        <f>Biology!H2_safety</f>
        <v>POTENTIAL FLAMMABILITY (lag screen): H₂ 9% mean, 15%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×49.7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ht="32" customHeight="1">
      <c r="A52" s="64" t="s">
        <v>1827</v>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spans="1:6" x14ac:dyDescent="0.2">
      <c r="A53" s="64" t="s">
        <v>1829</v>
      </c>
      <c r="C53" s="21" t="s">
        <v>111</v>
      </c>
      <c r="D53" s="65">
        <f>'Mass Transfer'!hs_sag</f>
        <v>0.051056592553</v>
      </c>
      <c r="E53" s="24" t="str">
        <f>HYPERLINK("#'Mass Transfer'!D389","→ Mass Transfer")</f>
        <v>→ Mass Transfer</v>
      </c>
      <c r="F53" s="22" t="s">
        <v>1830</v>
      </c>
    </row>
    <row r="54" spans="1:6" x14ac:dyDescent="0.2" ht="32" customHeight="1">
      <c r="A54" s="64" t="s">
        <v>1831</v>
      </c>
      <c r="D54" s="17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2.27402079505</v>
      </c>
      <c r="E59" s="24" t="str">
        <f>HYPERLINK("#'Mass Transfer'!D343","→ Mass Transfer")</f>
        <v>→ Mass Transfer</v>
      </c>
      <c r="F59" s="22" t="s">
        <v>1802</v>
      </c>
    </row>
    <row r="60" spans="1:6" x14ac:dyDescent="0.2">
      <c r="A60" s="64" t="s">
        <v>1803</v>
      </c>
      <c r="C60" s="21" t="s">
        <v>83</v>
      </c>
      <c r="D60" s="65">
        <f>'Mass Transfer'!DO_peak_g_mgL</f>
        <v>2.452781859604</v>
      </c>
      <c r="E60" s="24" t="str">
        <f>HYPERLINK("#'Mass Transfer'!D344","→ Mass Transfer")</f>
        <v>→ Mass Transfer</v>
      </c>
      <c r="F60" s="22" t="s">
        <v>1804</v>
      </c>
    </row>
    <row r="61" spans="1:6" x14ac:dyDescent="0.2">
      <c r="A61" s="64" t="s">
        <v>1805</v>
      </c>
      <c r="C61" s="21" t="s">
        <v>83</v>
      </c>
      <c r="D61" s="65">
        <f>'Mass Transfer'!DO_avg_l_mgL</f>
        <v>5.601306937651</v>
      </c>
      <c r="E61" s="24" t="str">
        <f>HYPERLINK("#'Mass Transfer'!D364","→ Mass Transfer")</f>
        <v>→ Mass Transfer</v>
      </c>
      <c r="F61" s="22" t="s">
        <v>1806</v>
      </c>
    </row>
    <row r="62" spans="1:6" x14ac:dyDescent="0.2">
      <c r="A62" s="64" t="s">
        <v>1807</v>
      </c>
      <c r="C62" s="21" t="s">
        <v>83</v>
      </c>
      <c r="D62" s="65">
        <f>'Mass Transfer'!DO_peak_l_mgL</f>
        <v>5.963675971962</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s">
        <v>1810</v>
      </c>
    </row>
    <row r="64" spans="1:6" x14ac:dyDescent="0.2">
      <c r="A64" s="64" t="s">
        <v>1811</v>
      </c>
      <c r="D64" s="65" t="str">
        <f>'Mass Transfer'!DO_peak_chk_l</f>
        <v>peak 6.0 mg/L under the 10.1 mg/L ceiling</v>
      </c>
      <c r="E64" s="24" t="str">
        <f>HYPERLINK("#'Mass Transfer'!D369","→ Mass Transfer")</f>
        <v>→ Mass Transfer</v>
      </c>
      <c r="F64" s="22" t="s">
        <v>1812</v>
      </c>
    </row>
    <row r="65" spans="1:6" x14ac:dyDescent="0.2">
      <c r="A65" s="64" t="s">
        <v>1813</v>
      </c>
      <c r="D65" s="65" t="str">
        <f>'Mass Transfer'!DO_feas_g</f>
        <v>reachable – kLa margin 1.74×</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15.833923097207</v>
      </c>
      <c r="E67" s="24" t="str">
        <f>HYPERLINK("#'Mass Transfer'!D345","→ Mass Transfer")</f>
        <v>→ Mass Transfer</v>
      </c>
      <c r="F67" s="22" t="s">
        <v>1817</v>
      </c>
    </row>
    <row r="68" spans="1:6" x14ac:dyDescent="0.2">
      <c r="A68" s="64" t="s">
        <v>1818</v>
      </c>
      <c r="C68" s="21" t="s">
        <v>449</v>
      </c>
      <c r="D68" s="65">
        <f>'Mass Transfer'!kLa_surf_req_l*3600</f>
        <v>44.975226114474</v>
      </c>
      <c r="E68" s="24" t="str">
        <f>HYPERLINK("#'Mass Transfer'!D366","→ Mass Transfer")</f>
        <v>→ Mass Transfer</v>
      </c>
      <c r="F68" s="22" t="s">
        <v>1817</v>
      </c>
    </row>
    <row r="69" spans="1:6" x14ac:dyDescent="0.2">
      <c r="A69" s="64" t="s">
        <v>1819</v>
      </c>
      <c r="C69" s="21" t="s">
        <v>111</v>
      </c>
      <c r="D69" s="65">
        <f>'Mass Transfer'!y_O2_mf_g</f>
        <v>0.02767992028</v>
      </c>
      <c r="E69" s="24" t="str">
        <f>HYPERLINK("#'Mass Transfer'!D329","→ Mass Transfer")</f>
        <v>→ Mass Transfer</v>
      </c>
      <c r="F69" s="22" t="s">
        <v>1820</v>
      </c>
    </row>
    <row r="70" spans="1:6" x14ac:dyDescent="0.2">
      <c r="A70" s="64" t="s">
        <v>1821</v>
      </c>
      <c r="C70" s="21" t="s">
        <v>111</v>
      </c>
      <c r="D70" s="65">
        <f>'Mass Transfer'!y_O2_mf_l</f>
        <v>0.054000710175</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0.09401303663</v>
      </c>
      <c r="E71" s="24" t="str">
        <f>HYPERLINK("#'Mass Transfer'!D352","→ Mass Transfer")</f>
        <v>→ Mass Transfer</v>
      </c>
      <c r="F71" s="22" t="s">
        <v>1824</v>
      </c>
    </row>
    <row r="72" spans="1:6" x14ac:dyDescent="0.2">
      <c r="A72" s="64" t="s">
        <v>1825</v>
      </c>
      <c r="C72" s="21" t="s">
        <v>111</v>
      </c>
      <c r="D72" s="65">
        <f>'Mass Transfer'!y_CO2_mf</f>
        <v>0.939999076882</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508.62941164546</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2.501215469962</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0.122570685611</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1.459053240931</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0.337157868618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0.928010297432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(0.048 mg/L) but LAG PHASE is not: peroxide passes the threshold in 6 min (0.84 mg/L after 1 h) before biomass can scavenge it</v>
      </c>
      <c r="E98" s="24" t="str">
        <f>HYPERLINK("#Electrochemistry!D99","→ Electrochemistry")</f>
        <v>→ Electrochemistry</v>
      </c>
      <c r="F98" t="s">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1.248881383882</v>
      </c>
      <c r="E101" s="24" t="str">
        <f>HYPERLINK("#Chemistry!D211","→ Chemistry")</f>
        <v>→ Chemistry</v>
      </c>
      <c r="F101" t="s">
        <v>1783</v>
      </c>
    </row>
    <row r="102" spans="1:6" x14ac:dyDescent="0.2">
      <c r="A102" t="s">
        <v>1468</v>
      </c>
      <c r="B102" s="19" t="s">
        <v>1784</v>
      </c>
      <c r="C102" s="20" t="s">
        <v>1140</v>
      </c>
      <c r="D102" s="23">
        <f>Chemistry!pH_meas</f>
        <v>6.487746914065</v>
      </c>
      <c r="E102" s="24" t="str">
        <f>HYPERLINK("#Chemistry!D220","→ Chemistry")</f>
        <v>→ Chemistry</v>
      </c>
      <c r="F102" t="s">
        <v>1667</v>
      </c>
    </row>
    <row r="103" spans="1:6" x14ac:dyDescent="0.2">
      <c r="A103" t="s">
        <v>1668</v>
      </c>
      <c r="B103" s="19" t="s">
        <v>1785</v>
      </c>
      <c r="C103" s="20" t="s">
        <v>449</v>
      </c>
      <c r="D103" s="23">
        <f>'Mass Transfer'!kLa_surf_req*3600</f>
        <v>15.833923097207</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s">
        <v>1689</v>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6"/>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(0.048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0.175051782538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0.199713685496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0.025552754205</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0.069961117495</v>
      </c>
      <c r="C50" s="49">
        <f t="shared" ref="C50:C81" si="2">IF(AND(B50&gt;=0,B51&lt;0),A50+pH_step*B50/(B50-B51),0)</f>
        <v>0.0</v>
      </c>
    </row>
    <row r="51" spans="1:3" x14ac:dyDescent="0.2">
      <c r="A51" s="155">
        <v>4.0999999999999996</v>
      </c>
      <c r="B51" s="49">
        <f t="shared" si="1"/>
        <v>0.069751453005</v>
      </c>
      <c r="C51" s="49">
        <f t="shared" si="2"/>
        <v>0.0</v>
      </c>
    </row>
    <row r="52" spans="1:3" x14ac:dyDescent="0.2">
      <c r="A52" s="155">
        <v>4.2</v>
      </c>
      <c r="B52" s="49">
        <f t="shared" si="1"/>
        <v>0.06954348529</v>
      </c>
      <c r="C52" s="49">
        <f t="shared" si="2"/>
        <v>0.0</v>
      </c>
    </row>
    <row r="53" spans="1:3" x14ac:dyDescent="0.2">
      <c r="A53" s="155">
        <v>4.3</v>
      </c>
      <c r="B53" s="49">
        <f t="shared" si="1"/>
        <v>0.06932632941</v>
      </c>
      <c r="C53" s="49">
        <f t="shared" si="2"/>
        <v>0.0</v>
      </c>
    </row>
    <row r="54" spans="1:3" x14ac:dyDescent="0.2">
      <c r="A54" s="155">
        <v>4.4000000000000004</v>
      </c>
      <c r="B54" s="49">
        <f t="shared" si="1"/>
        <v>0.06908857853</v>
      </c>
      <c r="C54" s="49">
        <f t="shared" si="2"/>
        <v>0.0</v>
      </c>
    </row>
    <row r="55" spans="1:3" x14ac:dyDescent="0.2">
      <c r="A55" s="155">
        <v>4.5</v>
      </c>
      <c r="B55" s="49">
        <f t="shared" si="1"/>
        <v>0.06881772969</v>
      </c>
      <c r="C55" s="49">
        <f t="shared" si="2"/>
        <v>0.0</v>
      </c>
    </row>
    <row r="56" spans="1:3" x14ac:dyDescent="0.2">
      <c r="A56" s="155">
        <v>4.5999999999999996</v>
      </c>
      <c r="B56" s="49">
        <f t="shared" si="1"/>
        <v>0.068499551328</v>
      </c>
      <c r="C56" s="49">
        <f t="shared" si="2"/>
        <v>0.0</v>
      </c>
    </row>
    <row r="57" spans="1:3" x14ac:dyDescent="0.2">
      <c r="A57" s="155">
        <v>4.7</v>
      </c>
      <c r="B57" s="49">
        <f t="shared" si="1"/>
        <v>0.068117365699</v>
      </c>
      <c r="C57" s="49">
        <f t="shared" si="2"/>
        <v>0.0</v>
      </c>
    </row>
    <row r="58" spans="1:3" x14ac:dyDescent="0.2">
      <c r="A58" s="155">
        <v>4.8</v>
      </c>
      <c r="B58" s="49">
        <f t="shared" si="1"/>
        <v>0.067651216105</v>
      </c>
      <c r="C58" s="49">
        <f t="shared" si="2"/>
        <v>0.0</v>
      </c>
    </row>
    <row r="59" spans="1:3" x14ac:dyDescent="0.2">
      <c r="A59" s="155">
        <v>4.9000000000000004</v>
      </c>
      <c r="B59" s="49">
        <f t="shared" si="1"/>
        <v>0.067076885534</v>
      </c>
      <c r="C59" s="49">
        <f t="shared" si="2"/>
        <v>0.0</v>
      </c>
    </row>
    <row r="60" spans="1:3" x14ac:dyDescent="0.2">
      <c r="A60" s="155">
        <v>5</v>
      </c>
      <c r="B60" s="49">
        <f t="shared" si="1"/>
        <v>0.066364730093</v>
      </c>
      <c r="C60" s="49">
        <f t="shared" si="2"/>
        <v>0.0</v>
      </c>
    </row>
    <row r="61" spans="1:3" x14ac:dyDescent="0.2">
      <c r="A61" s="155">
        <v>5.0999999999999996</v>
      </c>
      <c r="B61" s="49">
        <f t="shared" si="1"/>
        <v>0.06547828794</v>
      </c>
      <c r="C61" s="49">
        <f t="shared" si="2"/>
        <v>0.0</v>
      </c>
    </row>
    <row r="62" spans="1:3" x14ac:dyDescent="0.2">
      <c r="A62" s="155">
        <v>5.2</v>
      </c>
      <c r="B62" s="49">
        <f t="shared" si="1"/>
        <v>0.064372623002</v>
      </c>
      <c r="C62" s="49">
        <f t="shared" si="2"/>
        <v>0.0</v>
      </c>
    </row>
    <row r="63" spans="1:3" x14ac:dyDescent="0.2">
      <c r="A63" s="155">
        <v>5.3</v>
      </c>
      <c r="B63" s="49">
        <f t="shared" si="1"/>
        <v>0.062992363243</v>
      </c>
      <c r="C63" s="49">
        <f t="shared" si="2"/>
        <v>0.0</v>
      </c>
    </row>
    <row r="64" spans="1:3" x14ac:dyDescent="0.2">
      <c r="A64" s="155">
        <v>5.4</v>
      </c>
      <c r="B64" s="49">
        <f t="shared" si="1"/>
        <v>0.061269396419</v>
      </c>
      <c r="C64" s="49">
        <f t="shared" si="2"/>
        <v>0.0</v>
      </c>
    </row>
    <row r="65" spans="1:3" x14ac:dyDescent="0.2">
      <c r="A65" s="155">
        <v>5.5</v>
      </c>
      <c r="B65" s="49">
        <f t="shared" si="1"/>
        <v>0.059120191996</v>
      </c>
      <c r="C65" s="49">
        <f t="shared" si="2"/>
        <v>0.0</v>
      </c>
    </row>
    <row r="66" spans="1:3" x14ac:dyDescent="0.2">
      <c r="A66" s="155">
        <v>5.6</v>
      </c>
      <c r="B66" s="49">
        <f t="shared" si="1"/>
        <v>0.056442724361</v>
      </c>
      <c r="C66" s="49">
        <f t="shared" si="2"/>
        <v>0.0</v>
      </c>
    </row>
    <row r="67" spans="1:3" x14ac:dyDescent="0.2">
      <c r="A67" s="155">
        <v>5.7</v>
      </c>
      <c r="B67" s="49">
        <f t="shared" si="1"/>
        <v>0.053112974068</v>
      </c>
      <c r="C67" s="49">
        <f t="shared" si="2"/>
        <v>0.0</v>
      </c>
    </row>
    <row r="68" spans="1:3" x14ac:dyDescent="0.2">
      <c r="A68" s="155">
        <v>5.8</v>
      </c>
      <c r="B68" s="49">
        <f t="shared" si="1"/>
        <v>0.048980968782</v>
      </c>
      <c r="C68" s="49">
        <f t="shared" si="2"/>
        <v>0.0</v>
      </c>
    </row>
    <row r="69" spans="1:3" x14ac:dyDescent="0.2">
      <c r="A69" s="155">
        <v>5.9</v>
      </c>
      <c r="B69" s="49">
        <f t="shared" si="1"/>
        <v>0.043866272831</v>
      </c>
      <c r="C69" s="49">
        <f t="shared" si="2"/>
        <v>0.0</v>
      </c>
    </row>
    <row r="70" spans="1:3" x14ac:dyDescent="0.2">
      <c r="A70" s="155">
        <v>6</v>
      </c>
      <c r="B70" s="49">
        <f t="shared" si="1"/>
        <v>0.037552713096</v>
      </c>
      <c r="C70" s="49">
        <f t="shared" si="2"/>
        <v>0.0</v>
      </c>
    </row>
    <row r="71" spans="1:3" x14ac:dyDescent="0.2">
      <c r="A71" s="155">
        <v>6.1</v>
      </c>
      <c r="B71" s="49">
        <f t="shared" si="1"/>
        <v>0.02978190285</v>
      </c>
      <c r="C71" s="49">
        <f t="shared" si="2"/>
        <v>0.0</v>
      </c>
    </row>
    <row r="72" spans="1:3" x14ac:dyDescent="0.2">
      <c r="A72" s="155">
        <v>6.2</v>
      </c>
      <c r="B72" s="49">
        <f t="shared" si="1"/>
        <v>0.020244766664</v>
      </c>
      <c r="C72" s="49">
        <f t="shared" si="2"/>
        <v>0.0</v>
      </c>
    </row>
    <row r="73" spans="1:3" x14ac:dyDescent="0.2">
      <c r="A73" s="155">
        <v>6.3</v>
      </c>
      <c r="B73" s="49">
        <f t="shared" si="1"/>
        <v>0.008569785763</v>
      </c>
      <c r="C73" s="49">
        <f t="shared" si="2"/>
        <v>6.360081336767</v>
      </c>
    </row>
    <row r="74" spans="1:3" x14ac:dyDescent="0.2">
      <c r="A74" s="155">
        <v>6.4</v>
      </c>
      <c r="B74" s="49">
        <f t="shared" si="1"/>
        <v>-0.005693854535</v>
      </c>
      <c r="C74" s="49">
        <f t="shared" si="2"/>
        <v>0.0</v>
      </c>
    </row>
    <row r="75" spans="1:3" x14ac:dyDescent="0.2">
      <c r="A75" s="155">
        <v>6.5</v>
      </c>
      <c r="B75" s="49">
        <f t="shared" si="1"/>
        <v>-0.023100482075</v>
      </c>
      <c r="C75" s="49">
        <f t="shared" si="2"/>
        <v>0.0</v>
      </c>
    </row>
    <row r="76" spans="1:3" x14ac:dyDescent="0.2">
      <c r="A76" s="155">
        <v>6.6</v>
      </c>
      <c r="B76" s="49">
        <f t="shared" si="1"/>
        <v>-0.044341975628</v>
      </c>
      <c r="C76" s="49">
        <f t="shared" si="2"/>
        <v>0.0</v>
      </c>
    </row>
    <row r="77" spans="1:3" x14ac:dyDescent="0.2">
      <c r="A77" s="155">
        <v>6.7</v>
      </c>
      <c r="B77" s="49">
        <f t="shared" si="1"/>
        <v>-0.070293923739</v>
      </c>
      <c r="C77" s="49">
        <f t="shared" si="2"/>
        <v>0.0</v>
      </c>
    </row>
    <row r="78" spans="1:3" x14ac:dyDescent="0.2">
      <c r="A78" s="155">
        <v>6.8</v>
      </c>
      <c r="B78" s="49">
        <f t="shared" si="1"/>
        <v>-0.102075832535</v>
      </c>
      <c r="C78" s="49">
        <f t="shared" si="2"/>
        <v>0.0</v>
      </c>
    </row>
    <row r="79" spans="1:3" x14ac:dyDescent="0.2">
      <c r="A79" s="155">
        <v>6.9</v>
      </c>
      <c r="B79" s="49">
        <f t="shared" si="1"/>
        <v>-0.141127094472</v>
      </c>
      <c r="C79" s="49">
        <f t="shared" si="2"/>
        <v>0.0</v>
      </c>
    </row>
    <row r="80" spans="1:3" x14ac:dyDescent="0.2">
      <c r="A80" s="155">
        <v>7</v>
      </c>
      <c r="B80" s="49">
        <f t="shared" si="1"/>
        <v>-0.189300856602</v>
      </c>
      <c r="C80" s="49">
        <f t="shared" si="2"/>
        <v>0.0</v>
      </c>
    </row>
    <row r="81" spans="1:3" x14ac:dyDescent="0.2">
      <c r="A81" s="155">
        <v>7.1</v>
      </c>
      <c r="B81" s="49">
        <f t="shared" si="1"/>
        <v>-0.248979349044</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-0.323216709229</v>
      </c>
      <c r="C82" s="49">
        <f t="shared" ref="C82:C99" si="4">IF(AND(B82&gt;=0,B83&lt;0),A82+pH_step*B82/(B82-B83),0)</f>
        <v>0.0</v>
      </c>
    </row>
    <row r="83" spans="1:3" x14ac:dyDescent="0.2">
      <c r="A83" s="155">
        <v>7.3</v>
      </c>
      <c r="B83" s="49">
        <f t="shared" si="3"/>
        <v>-0.415918699938</v>
      </c>
      <c r="C83" s="49">
        <f t="shared" si="4"/>
        <v>0.0</v>
      </c>
    </row>
    <row r="84" spans="1:3" x14ac:dyDescent="0.2">
      <c r="A84" s="155">
        <v>7.4</v>
      </c>
      <c r="B84" s="49">
        <f t="shared" si="3"/>
        <v>-0.532072848103</v>
      </c>
      <c r="C84" s="49">
        <f t="shared" si="4"/>
        <v>0.0</v>
      </c>
    </row>
    <row r="85" spans="1:3" x14ac:dyDescent="0.2">
      <c r="A85" s="155">
        <v>7.5</v>
      </c>
      <c r="B85" s="49">
        <f t="shared" si="3"/>
        <v>-0.678047625082</v>
      </c>
      <c r="C85" s="49">
        <f t="shared" si="4"/>
        <v>0.0</v>
      </c>
    </row>
    <row r="86" spans="1:3" x14ac:dyDescent="0.2">
      <c r="A86" s="155">
        <v>7.6</v>
      </c>
      <c r="B86" s="49">
        <f t="shared" si="3"/>
        <v>-0.861986009846</v>
      </c>
      <c r="C86" s="49">
        <f t="shared" si="4"/>
        <v>0.0</v>
      </c>
    </row>
    <row r="87" spans="1:3" x14ac:dyDescent="0.2">
      <c r="A87" s="155">
        <v>7.7</v>
      </c>
      <c r="B87" s="49">
        <f t="shared" si="3"/>
        <v>-1.094328289102</v>
      </c>
      <c r="C87" s="49">
        <f t="shared" si="4"/>
        <v>0.0</v>
      </c>
    </row>
    <row r="88" spans="1:3" x14ac:dyDescent="0.2">
      <c r="A88" s="155">
        <v>7.8</v>
      </c>
      <c r="B88" s="49">
        <f t="shared" si="3"/>
        <v>-1.38851298453</v>
      </c>
      <c r="C88" s="49">
        <f t="shared" si="4"/>
        <v>0.0</v>
      </c>
    </row>
    <row r="89" spans="1:3" x14ac:dyDescent="0.2">
      <c r="A89" s="155">
        <v>7.9</v>
      </c>
      <c r="B89" s="49">
        <f t="shared" si="3"/>
        <v>-1.761925875846</v>
      </c>
      <c r="C89" s="49">
        <f t="shared" si="4"/>
        <v>0.0</v>
      </c>
    </row>
    <row r="90" spans="1:3" x14ac:dyDescent="0.2">
      <c r="A90" s="155">
        <v>8</v>
      </c>
      <c r="B90" s="49">
        <f t="shared" si="3"/>
        <v>-2.237198975494</v>
      </c>
      <c r="C90" s="49">
        <f t="shared" si="4"/>
        <v>0.0</v>
      </c>
    </row>
    <row r="91" spans="1:3" x14ac:dyDescent="0.2">
      <c r="A91" s="155">
        <v>8.1</v>
      </c>
      <c r="B91" s="49">
        <f t="shared" si="3"/>
        <v>-2.844009796487</v>
      </c>
      <c r="C91" s="49">
        <f t="shared" si="4"/>
        <v>0.0</v>
      </c>
    </row>
    <row r="92" spans="1:3" x14ac:dyDescent="0.2">
      <c r="A92" s="155">
        <v>8.1999999999999993</v>
      </c>
      <c r="B92" s="49">
        <f t="shared" si="3"/>
        <v>-3.621605374646</v>
      </c>
      <c r="C92" s="49">
        <f t="shared" si="4"/>
        <v>0.0</v>
      </c>
    </row>
    <row r="93" spans="1:3" x14ac:dyDescent="0.2">
      <c r="A93" s="155">
        <v>8.3000000000000007</v>
      </c>
      <c r="B93" s="49">
        <f t="shared" si="3"/>
        <v>-4.622389442909</v>
      </c>
      <c r="C93" s="49">
        <f t="shared" si="4"/>
        <v>0.0</v>
      </c>
    </row>
    <row r="94" spans="1:3" x14ac:dyDescent="0.2">
      <c r="A94" s="155">
        <v>8.4</v>
      </c>
      <c r="B94" s="49">
        <f t="shared" si="3"/>
        <v>-5.917087221084</v>
      </c>
      <c r="C94" s="49">
        <f t="shared" si="4"/>
        <v>0.0</v>
      </c>
    </row>
    <row r="95" spans="1:3" x14ac:dyDescent="0.2">
      <c r="A95" s="155">
        <v>8.5</v>
      </c>
      <c r="B95" s="49">
        <f t="shared" si="3"/>
        <v>-7.602275622058</v>
      </c>
      <c r="C95" s="49">
        <f t="shared" si="4"/>
        <v>0.0</v>
      </c>
    </row>
    <row r="96" spans="1:3" x14ac:dyDescent="0.2">
      <c r="A96" s="155">
        <v>8.6</v>
      </c>
      <c r="B96" s="49">
        <f t="shared" si="3"/>
        <v>-9.811492688911</v>
      </c>
      <c r="C96" s="49">
        <f t="shared" si="4"/>
        <v>0.0</v>
      </c>
    </row>
    <row r="97" spans="1:7" x14ac:dyDescent="0.2">
      <c r="A97" s="155">
        <v>8.6999999999999993</v>
      </c>
      <c r="B97" s="49">
        <f t="shared" si="3"/>
        <v>-12.731806191691</v>
      </c>
      <c r="C97" s="49">
        <f t="shared" si="4"/>
        <v>0.0</v>
      </c>
    </row>
    <row r="98" spans="1:7" x14ac:dyDescent="0.2">
      <c r="A98" s="155">
        <v>8.8000000000000007</v>
      </c>
      <c r="B98" s="49">
        <f t="shared" si="3"/>
        <v>-16.628765595603</v>
      </c>
      <c r="C98" s="49">
        <f t="shared" si="4"/>
        <v>0.0</v>
      </c>
    </row>
    <row r="99" spans="1:7" x14ac:dyDescent="0.2">
      <c r="A99" s="155">
        <v>8.9</v>
      </c>
      <c r="B99" s="49">
        <f t="shared" si="3"/>
        <v>-21.884302272467</v>
      </c>
      <c r="C99" s="49">
        <f t="shared" si="4"/>
        <v>0.0</v>
      </c>
    </row>
    <row r="100" spans="1:7" x14ac:dyDescent="0.2">
      <c r="A100" s="155">
        <v>9</v>
      </c>
      <c r="B100" s="49">
        <f t="shared" si="3"/>
        <v>-29.054724946604</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6.360081336767</v>
      </c>
      <c r="E103" s="138" t="s">
        <v>1670</v>
      </c>
      <c r="F103" s="75" t="s">
        <v>1967</v>
      </c>
    </row>
    <row r="104" spans="1:7" ht="36" x14ac:dyDescent="0.2">
      <c r="A104" s="18" t="s">
        <v>865</v>
      </c>
      <c r="B104" s="19" t="s">
        <v>866</v>
      </c>
      <c r="C104" s="20" t="s">
        <v>867</v>
      </c>
      <c r="D104" s="119">
        <f>1/(1+KaHOCl_c/10^-pH_op)</f>
        <v>0.884640145726</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2.587155078009e-05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0.838752571502</v>
      </c>
      <c r="E206" s="74" t="s">
        <v>1438</v>
      </c>
    </row>
    <row r="207" spans="1:5" x14ac:dyDescent="0.2">
      <c r="A207" t="s">
        <v>1439</v>
      </c>
      <c r="B207" s="19" t="s">
        <v>1440</v>
      </c>
      <c r="C207" s="20" t="s">
        <v>1423</v>
      </c>
      <c r="D207" s="111">
        <f>E0_HER-nernst_slope*pH_meas</f>
        <v>-0.390247428498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0.304752571502</v>
      </c>
      <c r="E210" s="51" t="s">
        <v>1448</v>
      </c>
    </row>
    <row r="211" spans="1:5" ht="48" x14ac:dyDescent="0.2">
      <c r="A211" t="s">
        <v>1981</v>
      </c>
      <c r="B211" s="19" t="s">
        <v>1450</v>
      </c>
      <c r="C211" s="20" t="s">
        <v>1445</v>
      </c>
      <c r="D211" s="111">
        <f>E_anode_op-E0_Cu</f>
        <v>1.248881383882</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16.462619621318</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0.199713685496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6.487746914065</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0.049848196699</v>
      </c>
      <c r="E252" s="51" t="s">
        <v>2022</v>
      </c>
    </row>
    <row r="253" spans="1:5" ht="24" x14ac:dyDescent="0.2">
      <c r="A253" t="s">
        <v>2023</v>
      </c>
      <c r="B253" s="19" t="s">
        <v>2024</v>
      </c>
      <c r="C253" s="20" t="s">
        <v>429</v>
      </c>
      <c r="D253" s="111">
        <f>pH_PT/(1+10^(-LOG10(Ka2p_c)-pH_op))</f>
        <v>0.019459581708</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1.590781383882</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-0.001459053241</v>
      </c>
      <c r="E305" s="60" t="s">
        <v>2734</v>
      </c>
    </row>
    <row r="306" spans="1:5" x14ac:dyDescent="0.2">
      <c r="A306" t="inlineStr">
        <is>
          <t xml:space="preserve">Extra alkalinity still needed for the target pH</t>
        </is>
      </c>
      <c r="B306" s="19" t="s">
        <v>2736</v>
      </c>
      <c r="C306" s="20" t="s">
        <v>429</v>
      </c>
      <c r="D306" s="111">
        <f>MAX(0,-alk_resid_t)</f>
        <v>0.001459053241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0.122570685611</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5.101232932065e-05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0.0008483937115674</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0.09401303663</v>
      </c>
      <c r="E84" s="53" t="s">
        <v>2154</v>
      </c>
    </row>
    <row r="85" spans="1:5" ht="24" x14ac:dyDescent="0.2">
      <c r="A85" s="18" t="s">
        <v>2155</v>
      </c>
      <c r="B85" s="19" t="s">
        <v>2156</v>
      </c>
      <c r="C85" s="20" t="s">
        <v>111</v>
      </c>
      <c r="D85" s="41">
        <f>(O2_src_l_b+y_O2_air_b*F_vent_ex_b)/(n_flamm_src+CO2_supply_b+F_dil_b)</f>
        <v>0.054000710175</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25.431470582273</v>
      </c>
      <c r="E97" s="51" t="s">
        <v>2185</v>
      </c>
    </row>
    <row r="98" spans="1:5" ht="36" x14ac:dyDescent="0.2">
      <c r="A98" s="18" t="s">
        <v>2186</v>
      </c>
      <c r="B98" s="19" t="s">
        <v>2187</v>
      </c>
      <c r="C98" s="20" t="s">
        <v>87</v>
      </c>
      <c r="D98" s="41">
        <f>C_cycle_start_b*1000/Km_CO2</f>
        <v>508.62941164546</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0.146643438994</v>
      </c>
      <c r="E114" s="140" t="s">
        <v>2201</v>
      </c>
    </row>
    <row r="115" spans="1:5" x14ac:dyDescent="0.2">
      <c r="A115" s="21" t="s">
        <v>2202</v>
      </c>
      <c r="B115" s="19" t="s">
        <v>2203</v>
      </c>
      <c r="C115" s="21" t="s">
        <v>307</v>
      </c>
      <c r="D115" s="120">
        <f>'Mass Transfer'!O2_src_l</f>
        <v>4.800606064204e-05</v>
      </c>
      <c r="E115" s="140" t="s">
        <v>2204</v>
      </c>
    </row>
    <row r="116" spans="1:5" x14ac:dyDescent="0.2">
      <c r="A116" s="21" t="s">
        <v>2205</v>
      </c>
      <c r="B116" s="19" t="s">
        <v>2206</v>
      </c>
      <c r="C116" s="21" t="s">
        <v>307</v>
      </c>
      <c r="D116" s="120">
        <f>'Mass Transfer'!F_gap_l</f>
        <v>0.0001809584867395</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0.084231401644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65"/>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1.6900954994e-05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5.101232932065e-05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6.289123826689e-05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1.068906831601e-06</v>
      </c>
      <c r="E55" s="57" t="s">
        <v>587</v>
      </c>
      <c r="F55" s="21"/>
    </row>
    <row r="56" spans="1:6" x14ac:dyDescent="0.2">
      <c r="A56" s="86" t="s">
        <v>588</v>
      </c>
      <c r="B56" s="19" t="s">
        <v>589</v>
      </c>
      <c r="C56" s="20" t="s">
        <v>87</v>
      </c>
      <c r="D56" s="39">
        <f>IF(O2_excess&gt;0,strip_avg/O2_excess,NA())</f>
        <v>0.063245351046</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17.892101546969</v>
      </c>
      <c r="E66" s="74" t="s">
        <v>2233</v>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7.427164963265</v>
      </c>
      <c r="E77" s="74" t="s">
        <v>2236</v>
      </c>
      <c r="F77" s="21"/>
    </row>
    <row r="78" spans="1:6" ht="26" customHeight="1" x14ac:dyDescent="0.2">
      <c r="A78" s="18" t="s">
        <v>638</v>
      </c>
      <c r="B78" s="19" t="s">
        <v>639</v>
      </c>
      <c r="C78" s="20" t="s">
        <v>87</v>
      </c>
      <c r="D78" s="41">
        <f>IF(O2_excess&gt;0,(strip_avg+surf_strip)/O2_excess,NA())</f>
        <v>7.746803334691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target_DO_frac*O2_ceil_org*(V_charge/1000000)/O2_src_guard*60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7.43645448177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446.187268906222</v>
      </c>
      <c r="E92" s="129" t="s">
        <v>672</v>
      </c>
      <c r="F92" s="21"/>
    </row>
    <row r="93" spans="1:6" ht="24" x14ac:dyDescent="0.2">
      <c r="A93" s="18" t="s">
        <v>2244</v>
      </c>
      <c r="B93" s="19" t="s">
        <v>673</v>
      </c>
      <c r="C93" s="20" t="s">
        <v>111</v>
      </c>
      <c r="D93" s="41">
        <f>spg_dur_eq_opt/(spg_int_opt*60)</f>
        <v>0.001758259602</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0.0008483937115674</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0.00150462963</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2.27402079505</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≈13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7.2</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8.333333333333</v>
      </c>
      <c r="E124" s="51" t="inlineStr">
        <is>
          <t xml:space="preserve">60 ÷ the interval in use.</t>
        </is>
      </c>
      <c r="F124" s="21"/>
    </row>
    <row r="125" spans="1:6" x14ac:dyDescent="0.2">
      <c r="A125" s="21" t="s">
        <v>736</v>
      </c>
      <c r="B125" s="21" t="s">
        <v>737</v>
      </c>
      <c r="C125" s="21" t="s">
        <v>738</v>
      </c>
      <c r="D125" s="25">
        <f>pulses_h*24</f>
        <v>200.0</v>
      </c>
      <c r="E125" s="51" t="inlineStr">
        <is>
          <t xml:space="preserve">Pulses per hour × 24.</t>
        </is>
      </c>
      <c r="F125" s="21"/>
    </row>
    <row r="126" spans="1:6" x14ac:dyDescent="0.2">
      <c r="A126" s="21" t="s">
        <v>739</v>
      </c>
      <c r="B126" s="21" t="s">
        <v>740</v>
      </c>
      <c r="C126" s="21" t="s">
        <v>87</v>
      </c>
      <c r="D126" s="25">
        <f>IF(CO2_cons&gt;0,CO2_supply/CO2_cons,NA())</f>
        <v>49.742569938305</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2.028114599281e-06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0.063245351046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0.07106759157</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0.175051782538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431.35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0.025552754205</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0.001758259602</v>
      </c>
      <c r="E184" s="51" t="s">
        <v>2274</v>
      </c>
    </row>
    <row r="185" spans="1:5" ht="24" x14ac:dyDescent="0.2">
      <c r="A185" t="s">
        <v>1628</v>
      </c>
      <c r="B185" s="19" t="s">
        <v>1629</v>
      </c>
      <c r="C185" s="20" t="s">
        <v>873</v>
      </c>
      <c r="D185" s="111">
        <f>IF(ISNUMBER(duty_DO),IF(duty_DO&gt;0,spg_dur_eq_opt/(60*duty_DO),spg_int_carbon),NA())</f>
        <v>7.43645448177</v>
      </c>
      <c r="E185" s="51" t="s">
        <v>1630</v>
      </c>
    </row>
    <row r="186" spans="1:5" ht="48" x14ac:dyDescent="0.2">
      <c r="A186" t="s">
        <v>1631</v>
      </c>
      <c r="B186" s="19" t="s">
        <v>1632</v>
      </c>
      <c r="C186" s="20" t="s">
        <v>577</v>
      </c>
      <c r="D186" s="111">
        <f>O2_src_sched/(DO_target*3600*(V_charge/1000000))</f>
        <v>0.004398311971</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0.02767992028</v>
      </c>
      <c r="E187" s="51" t="s">
        <v>2276</v>
      </c>
    </row>
    <row r="188" spans="1:5" ht="36" x14ac:dyDescent="0.2">
      <c r="A188" t="s">
        <v>1635</v>
      </c>
      <c r="B188" s="19" t="s">
        <v>1636</v>
      </c>
      <c r="C188" s="20" t="s">
        <v>909</v>
      </c>
      <c r="D188" s="111">
        <f>IF(ISNUMBER(y_O2_actual),H_O2_T*y_O2_actual*P_dry,NA())</f>
        <v>0.027825952177</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0.993755986726</v>
      </c>
      <c r="E197" s="74" t="s">
        <v>1654</v>
      </c>
    </row>
    <row r="198" spans="1:5" ht="36" x14ac:dyDescent="0.2">
      <c r="A198" t="s">
        <v>1655</v>
      </c>
      <c r="B198" s="19" t="s">
        <v>1656</v>
      </c>
      <c r="C198" s="20" t="s">
        <v>909</v>
      </c>
      <c r="D198" s="111">
        <f>(pool_D_gap+pool_b*pool_e)/(1-pool_ret*pool_e)</f>
        <v>25.431470582273</v>
      </c>
      <c r="E198" s="74" t="s">
        <v>2284</v>
      </c>
    </row>
    <row r="199" spans="1:5" ht="24" x14ac:dyDescent="0.2">
      <c r="A199" t="s">
        <v>1657</v>
      </c>
      <c r="B199" s="19" t="s">
        <v>1658</v>
      </c>
      <c r="C199" s="20" t="s">
        <v>909</v>
      </c>
      <c r="D199" s="111">
        <f>pool_ret*C_cycle_start+pool_b</f>
        <v>25.674291315914</v>
      </c>
      <c r="E199" s="74" t="s">
        <v>2285</v>
      </c>
    </row>
    <row r="200" spans="1:5" ht="36" x14ac:dyDescent="0.2">
      <c r="A200" t="s">
        <v>1659</v>
      </c>
      <c r="B200" s="19" t="s">
        <v>1660</v>
      </c>
      <c r="C200" s="20" t="s">
        <v>909</v>
      </c>
      <c r="D200" s="111">
        <f>C_cycle_peak*pool_phi+pool_D_raw*pool_psi</f>
        <v>25.552754205077</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0.421278376056</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0.119819444444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0.000848238979398</v>
      </c>
      <c r="E328" s="51" t="s">
        <v>2403</v>
      </c>
    </row>
    <row r="329" spans="1:5" ht="36" x14ac:dyDescent="0.2">
      <c r="A329" s="18" t="s">
        <v>2404</v>
      </c>
      <c r="B329" s="19" t="s">
        <v>2405</v>
      </c>
      <c r="C329" s="20" t="s">
        <v>111</v>
      </c>
      <c r="D329" s="41">
        <f>IF(F_dil+F_hs_net_g&gt;0,S_O2_g/(F_dil+F_hs_net_g),NA())</f>
        <v>0.02767992028</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0.04307992103</v>
      </c>
      <c r="E332" s="51" t="s">
        <v>2415</v>
      </c>
    </row>
    <row r="333" spans="1:5" x14ac:dyDescent="0.2">
      <c r="A333" s="18" t="s">
        <v>2416</v>
      </c>
      <c r="B333" s="19" t="s">
        <v>2417</v>
      </c>
      <c r="C333" s="20" t="s">
        <v>111</v>
      </c>
      <c r="D333" s="41">
        <f>IF(x_hs_g&gt;0,(1-EXP(-x_hs_g))/x_hs_g,1)</f>
        <v>0.978766049951</v>
      </c>
      <c r="E333" s="51" t="s">
        <v>2418</v>
      </c>
    </row>
    <row r="334" spans="1:5" x14ac:dyDescent="0.2">
      <c r="A334" s="18" t="s">
        <v>2419</v>
      </c>
      <c r="B334" s="19" t="s">
        <v>2420</v>
      </c>
      <c r="C334" s="20" t="s">
        <v>111</v>
      </c>
      <c r="D334" s="41">
        <f>IF(x_hs_g&gt;0,(x_hs_g-1+EXP(-x_hs_g))/x_hs_g^2,1/2)</f>
        <v>0.492896679973</v>
      </c>
      <c r="E334" s="51" t="s">
        <v>2421</v>
      </c>
    </row>
    <row r="335" spans="1:5" x14ac:dyDescent="0.2">
      <c r="A335" s="18" t="s">
        <v>2422</v>
      </c>
      <c r="B335" s="19" t="s">
        <v>2423</v>
      </c>
      <c r="C335" s="20" t="s">
        <v>111</v>
      </c>
      <c r="D335" s="41">
        <f>S_O2_g*t_gap_h/n_hs_gas</f>
        <v>0.029149450626</v>
      </c>
      <c r="E335" s="51" t="s">
        <v>2424</v>
      </c>
    </row>
    <row r="336" spans="1:5" ht="24" x14ac:dyDescent="0.2">
      <c r="A336" s="18" t="s">
        <v>2425</v>
      </c>
      <c r="B336" s="19" t="s">
        <v>2426</v>
      </c>
      <c r="C336" s="20" t="s">
        <v>111</v>
      </c>
      <c r="D336" s="41">
        <f>dy_O2_g*phi_hs_g/(1-flush_ret*EXP(-x_hs_g))</f>
        <v>0.043776099169</v>
      </c>
      <c r="E336" s="52" t="s">
        <v>2427</v>
      </c>
    </row>
    <row r="337" spans="1:5" x14ac:dyDescent="0.2">
      <c r="A337" s="18" t="s">
        <v>2428</v>
      </c>
      <c r="B337" s="19" t="s">
        <v>2429</v>
      </c>
      <c r="C337" s="20" t="s">
        <v>111</v>
      </c>
      <c r="D337" s="41">
        <f>y_O2_end_g*flush_ret</f>
        <v>0.015916738409</v>
      </c>
      <c r="E337" s="52" t="s">
        <v>2430</v>
      </c>
    </row>
    <row r="338" spans="1:5" x14ac:dyDescent="0.2">
      <c r="A338" s="18" t="s">
        <v>2431</v>
      </c>
      <c r="B338" s="19" t="s">
        <v>2432</v>
      </c>
      <c r="C338" s="20" t="s">
        <v>111</v>
      </c>
      <c r="D338" s="41">
        <f>y_O2_post_g*phi_hs_g+dy_O2_g*psi_hs_g</f>
        <v>0.029946430617</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0.068789123727</v>
      </c>
      <c r="E340" s="51" t="s">
        <v>2439</v>
      </c>
    </row>
    <row r="341" spans="1:5" ht="24" x14ac:dyDescent="0.2">
      <c r="A341" s="18" t="s">
        <v>2440</v>
      </c>
      <c r="B341" s="19" t="s">
        <v>2441</v>
      </c>
      <c r="C341" s="20" t="s">
        <v>406</v>
      </c>
      <c r="D341" s="41">
        <f>DO_surf_excess_g+H_O2_T*P_dry*y_O2_avg_g</f>
        <v>0.07106759157</v>
      </c>
      <c r="E341" s="52" t="s">
        <v>2442</v>
      </c>
    </row>
    <row r="342" spans="1:5" ht="36" x14ac:dyDescent="0.2">
      <c r="A342" s="18" t="s">
        <v>2443</v>
      </c>
      <c r="B342" s="19" t="s">
        <v>2444</v>
      </c>
      <c r="C342" s="20" t="s">
        <v>406</v>
      </c>
      <c r="D342" s="41">
        <f>DO_surf_excess_g+H_O2_T*P_dry*MAX(y_O2_avg_g,y_O2_end_g-(S_O2_g-F_gap_g*y_O2_end_g)/n_hs_gas*tau_L_h)</f>
        <v>0.076654224002</v>
      </c>
      <c r="E342" s="52" t="s">
        <v>2445</v>
      </c>
    </row>
    <row r="343" spans="1:5" x14ac:dyDescent="0.2">
      <c r="A343" s="18" t="s">
        <v>2446</v>
      </c>
      <c r="B343" s="19" t="s">
        <v>2447</v>
      </c>
      <c r="C343" s="20" t="s">
        <v>83</v>
      </c>
      <c r="D343" s="41">
        <f>DO_avg_g*M_O2</f>
        <v>2.27402079505</v>
      </c>
      <c r="E343" s="52" t="s">
        <v>2448</v>
      </c>
    </row>
    <row r="344" spans="1:5" x14ac:dyDescent="0.2">
      <c r="A344" s="18" t="s">
        <v>2449</v>
      </c>
      <c r="B344" s="19" t="s">
        <v>2450</v>
      </c>
      <c r="C344" s="20" t="s">
        <v>83</v>
      </c>
      <c r="D344" s="41">
        <f>DO_peak_g*M_O2</f>
        <v>2.452781859604</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0.0009931722981339</v>
      </c>
      <c r="E350" s="51" t="s">
        <v>2403</v>
      </c>
    </row>
    <row r="351" spans="1:5" ht="36" x14ac:dyDescent="0.2">
      <c r="A351" s="18" t="s">
        <v>2466</v>
      </c>
      <c r="B351" s="19" t="s">
        <v>2467</v>
      </c>
      <c r="C351" s="20" t="s">
        <v>111</v>
      </c>
      <c r="D351" s="41">
        <f>IF(F_dil+F_hs_net_l&gt;0,S_O2_l/(F_dil+F_hs_net_l),NA())</f>
        <v>0.054000710175</v>
      </c>
      <c r="E351" s="51" t="s">
        <v>2406</v>
      </c>
    </row>
    <row r="352" spans="1:5" x14ac:dyDescent="0.2">
      <c r="A352" s="18" t="s">
        <v>2468</v>
      </c>
      <c r="B352" s="19" t="s">
        <v>2469</v>
      </c>
      <c r="C352" s="20" t="s">
        <v>111</v>
      </c>
      <c r="D352" s="41">
        <f>IF(F_dil+F_hs_net_l&gt;0,H2_src_l/(F_dil+F_hs_net_l),NA())</f>
        <v>0.09401303663</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0.215469840469</v>
      </c>
      <c r="E354" s="51" t="s">
        <v>2415</v>
      </c>
    </row>
    <row r="355" spans="1:5" x14ac:dyDescent="0.2">
      <c r="A355" s="18" t="s">
        <v>2474</v>
      </c>
      <c r="B355" s="19" t="s">
        <v>2475</v>
      </c>
      <c r="C355" s="20" t="s">
        <v>111</v>
      </c>
      <c r="D355" s="41">
        <f>IF(x_hs_l&gt;0,(1-EXP(-x_hs_l))/x_hs_l,1)</f>
        <v>0.89960347212</v>
      </c>
      <c r="E355" s="51" t="s">
        <v>2418</v>
      </c>
    </row>
    <row r="356" spans="1:5" x14ac:dyDescent="0.2">
      <c r="A356" s="18" t="s">
        <v>2476</v>
      </c>
      <c r="B356" s="19" t="s">
        <v>2477</v>
      </c>
      <c r="C356" s="20" t="s">
        <v>111</v>
      </c>
      <c r="D356" s="41">
        <f>IF(x_hs_l&gt;0,(x_hs_l-1+EXP(-x_hs_l))/x_hs_l^2,1/2)</f>
        <v>0.465942368831</v>
      </c>
      <c r="E356" s="51" t="s">
        <v>2421</v>
      </c>
    </row>
    <row r="357" spans="1:5" x14ac:dyDescent="0.2">
      <c r="A357" s="18" t="s">
        <v>2478</v>
      </c>
      <c r="B357" s="19" t="s">
        <v>2479</v>
      </c>
      <c r="C357" s="20" t="s">
        <v>111</v>
      </c>
      <c r="D357" s="41">
        <f>S_O2_l*t_gap_h/n_hs_gas</f>
        <v>0.066186741734</v>
      </c>
      <c r="E357" s="51" t="s">
        <v>2424</v>
      </c>
    </row>
    <row r="358" spans="1:5" ht="24" x14ac:dyDescent="0.2">
      <c r="A358" s="18" t="s">
        <v>2480</v>
      </c>
      <c r="B358" s="19" t="s">
        <v>2481</v>
      </c>
      <c r="C358" s="20" t="s">
        <v>111</v>
      </c>
      <c r="D358" s="41">
        <f>dy_O2_l*phi_hs_l/(1-flush_ret*EXP(-x_hs_l))</f>
        <v>0.084231401644</v>
      </c>
      <c r="E358" s="52" t="s">
        <v>2427</v>
      </c>
    </row>
    <row r="359" spans="1:5" x14ac:dyDescent="0.2">
      <c r="A359" s="18" t="s">
        <v>2482</v>
      </c>
      <c r="B359" s="19" t="s">
        <v>2483</v>
      </c>
      <c r="C359" s="20" t="s">
        <v>111</v>
      </c>
      <c r="D359" s="41">
        <f>y_O2_end_l*flush_ret</f>
        <v>0.030626054199</v>
      </c>
      <c r="E359" s="52" t="s">
        <v>2430</v>
      </c>
    </row>
    <row r="360" spans="1:5" x14ac:dyDescent="0.2">
      <c r="A360" s="18" t="s">
        <v>2484</v>
      </c>
      <c r="B360" s="19" t="s">
        <v>2485</v>
      </c>
      <c r="C360" s="20" t="s">
        <v>111</v>
      </c>
      <c r="D360" s="41">
        <f>y_O2_post_l*phi_hs_l+dy_O2_l*psi_hs_l</f>
        <v>0.058390511924</v>
      </c>
      <c r="E360" s="52" t="s">
        <v>2433</v>
      </c>
    </row>
    <row r="361" spans="1:5" ht="24" x14ac:dyDescent="0.2">
      <c r="A361" s="18" t="s">
        <v>2486</v>
      </c>
      <c r="B361" s="19" t="s">
        <v>2487</v>
      </c>
      <c r="C361" s="20" t="s">
        <v>406</v>
      </c>
      <c r="D361" s="41">
        <f>DO_surf_excess_lag+H_O2_T*P_dry*y_O2_mf_l</f>
        <v>0.170638821363</v>
      </c>
      <c r="E361" s="51" t="s">
        <v>2439</v>
      </c>
    </row>
    <row r="362" spans="1:5" ht="24" x14ac:dyDescent="0.2">
      <c r="A362" s="18" t="s">
        <v>2488</v>
      </c>
      <c r="B362" s="19" t="s">
        <v>2489</v>
      </c>
      <c r="C362" s="20" t="s">
        <v>406</v>
      </c>
      <c r="D362" s="41">
        <f>DO_surf_excess_lag+H_O2_T*P_dry*y_O2_avg_l</f>
        <v>0.175051782538</v>
      </c>
      <c r="E362" s="52" t="s">
        <v>2442</v>
      </c>
    </row>
    <row r="363" spans="1:5" ht="36" x14ac:dyDescent="0.2">
      <c r="A363" s="18" t="s">
        <v>2490</v>
      </c>
      <c r="B363" s="19" t="s">
        <v>2491</v>
      </c>
      <c r="C363" s="20" t="s">
        <v>406</v>
      </c>
      <c r="D363" s="41">
        <f>DO_surf_excess_lag+H_O2_T*P_dry*MAX(y_O2_avg_l,y_O2_end_l-(S_O2_l-F_gap_l*y_O2_end_l)/n_hs_gas*tau_L_h)</f>
        <v>0.186376522656</v>
      </c>
      <c r="E363" s="52" t="s">
        <v>2445</v>
      </c>
    </row>
    <row r="364" spans="1:5" x14ac:dyDescent="0.2">
      <c r="A364" s="18" t="s">
        <v>2492</v>
      </c>
      <c r="B364" s="19" t="s">
        <v>2493</v>
      </c>
      <c r="C364" s="20" t="s">
        <v>83</v>
      </c>
      <c r="D364" s="41">
        <f>DO_avg_l*M_O2</f>
        <v>5.601306937651</v>
      </c>
      <c r="E364" s="52" t="s">
        <v>2448</v>
      </c>
    </row>
    <row r="365" spans="1:5" x14ac:dyDescent="0.2">
      <c r="A365" s="18" t="s">
        <v>2494</v>
      </c>
      <c r="B365" s="19" t="s">
        <v>2495</v>
      </c>
      <c r="C365" s="20" t="s">
        <v>83</v>
      </c>
      <c r="D365" s="41">
        <f>DO_peak_l*M_O2</f>
        <v>5.963675971962</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0.07106759157</v>
      </c>
      <c r="E372" s="52" t="s">
        <v>2508</v>
      </c>
    </row>
    <row r="373" spans="1:5" x14ac:dyDescent="0.2">
      <c r="A373" s="18" t="s">
        <v>2509</v>
      </c>
      <c r="B373" s="19" t="s">
        <v>2510</v>
      </c>
      <c r="C373" s="20" t="s">
        <v>406</v>
      </c>
      <c r="D373" s="41">
        <f>IF(O2_sizing_phase=phase_name_1,DO_peak_g,IF(O2_sizing_phase=phase_name_2,DO_peak_l,NA()))</f>
        <v>0.076654224002</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-0.082768792327</v>
      </c>
      <c r="E375" s="51" t="s">
        <v>2517</v>
      </c>
    </row>
    <row r="376" spans="1:5" x14ac:dyDescent="0.2">
      <c r="A376" s="18" t="s">
        <v>2518</v>
      </c>
      <c r="B376" s="19" t="s">
        <v>2519</v>
      </c>
      <c r="C376" s="20" t="s">
        <v>111</v>
      </c>
      <c r="D376" s="41">
        <f>k_eff_CO2*t_off_CO2</f>
        <v>0.006263588654</v>
      </c>
      <c r="E376" s="51" t="s">
        <v>2520</v>
      </c>
    </row>
    <row r="377" spans="1:5" ht="24" x14ac:dyDescent="0.2">
      <c r="A377" s="18" t="s">
        <v>2521</v>
      </c>
      <c r="B377" s="19" t="s">
        <v>2522</v>
      </c>
      <c r="C377" s="20" t="s">
        <v>111</v>
      </c>
      <c r="D377" s="41">
        <f>IF(pool_x&gt;0,(1-EXP(-pool_x))/pool_x,1)</f>
        <v>0.996874734204</v>
      </c>
      <c r="E377" s="51" t="s">
        <v>2523</v>
      </c>
    </row>
    <row r="378" spans="1:5" x14ac:dyDescent="0.2">
      <c r="A378" s="18" t="s">
        <v>2524</v>
      </c>
      <c r="B378" s="19" t="s">
        <v>2525</v>
      </c>
      <c r="C378" s="20" t="s">
        <v>111</v>
      </c>
      <c r="D378" s="41">
        <f>IF(pool_x&gt;0,(pool_x-1+EXP(-pool_x))/pool_x^2,1/2)</f>
        <v>0.498957701201</v>
      </c>
      <c r="E378" s="51" t="s">
        <v>2526</v>
      </c>
    </row>
    <row r="379" spans="1:5" x14ac:dyDescent="0.2">
      <c r="A379" s="18" t="s">
        <v>2527</v>
      </c>
      <c r="B379" s="19" t="s">
        <v>2528</v>
      </c>
      <c r="C379" s="20" t="s">
        <v>406</v>
      </c>
      <c r="D379" s="41">
        <f>pool_D_raw*pool_phi</f>
        <v>-0.082510117852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0.939999076882</v>
      </c>
      <c r="E381" s="51" t="s">
        <v>2535</v>
      </c>
    </row>
    <row r="382" spans="1:5" x14ac:dyDescent="0.2">
      <c r="A382" s="18" t="s">
        <v>2536</v>
      </c>
      <c r="B382" s="19" t="s">
        <v>2537</v>
      </c>
      <c r="C382" s="20" t="s">
        <v>406</v>
      </c>
      <c r="D382" s="41">
        <f>y_CO2_mf*C_sat_CO2</f>
        <v>26.372340901797</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0.146643438994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0.051056592553</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4.800606064204e-05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2.501215469962</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7.2</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0.337157868618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IF(C440&gt;0,(1-D440)/C440,1)</f>
        <v>0.99999600677</v>
      </c>
      <c r="F440" s="41">
        <f>IF(C440&gt;0,(C440-1+D440)/C440^2,1/2)</f>
        <v>0.499998404672</v>
      </c>
      <c r="G440" s="41">
        <f>(C_air_CO2/C_sat_CO2*F_vent_ex-CO2_fix_sched)*(B440/3600)/(V_L_CO2+Vg_CO2)</f>
        <v>-0.0001055357268577</v>
      </c>
      <c r="H440" s="41">
        <f>(G440*E440+pool_b*D440)/(1-pool_ret*D440)</f>
        <v>28.052147539797</v>
      </c>
      <c r="I440" s="41">
        <f>MIN(C_sat_CO2,MAX(C_air_CO2,(pool_ret*H440+pool_b)*E440+G440*F440))</f>
        <v>28.052312327445</v>
      </c>
      <c r="J440" s="41">
        <f>IF(AND(I440&gt;=CO2_pH_hi_mt,I441&lt;CO2_pH_hi_mt),EXP(LN(A440)+(LN(A441)-LN(A440))*(I440-CO2_pH_hi_mt)/(I440-I441)),0)</f>
        <v>0.0</v>
      </c>
      <c r="L440" s="41">
        <f>k_eff_CO2_l*B440</f>
        <v>3.994548582047e-05</v>
      </c>
      <c r="M440" s="41">
        <f>EXP(-L440)</f>
        <v>0.999960055312</v>
      </c>
      <c r="N440" s="41">
        <f>IF(L440&gt;0,(1-M440)/L440,1)</f>
        <v>0.999980027523</v>
      </c>
      <c r="O440" s="41">
        <f>IF(L440&gt;0,(L440-1+M440)/L440^2,1/2)</f>
        <v>0.499993321548</v>
      </c>
      <c r="P440" s="41">
        <f>(C_air_CO2/C_sat_CO2*F_vent_ex-CO2_fix_l)*(B440/3600)/(V_L_CO2+Vg_CO2)</f>
        <v>9.231456803077e-08</v>
      </c>
      <c r="Q440" s="41">
        <f>(P440*N440+pool_b*M440)/(1-pool_ret*M440)</f>
        <v>28.04360360413</v>
      </c>
      <c r="R440" s="41">
        <f>MIN(C_sat_CO2,MAX(C_air_CO2,(pool_ret*Q440+pool_b)*N440+P440*O440))</f>
        <v>28.044163673107</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IF(C441&gt;0,(1-D441)/C441,1)</f>
        <v>0.999994960707</v>
      </c>
      <c r="F441" s="41">
        <f>IF(C441&gt;0,(C441-1+D441)/C441^2,1/2)</f>
        <v>0.49999798057</v>
      </c>
      <c r="G441" s="41">
        <f>(C_air_CO2/C_sat_CO2*F_vent_ex-CO2_fix_sched)*(B441/3600)/(V_L_CO2+Vg_CO2)</f>
        <v>-0.0001331817569148</v>
      </c>
      <c r="H441" s="41">
        <f>(G441*E441+pool_b*D441)/(1-pool_ret*D441)</f>
        <v>28.051214585379</v>
      </c>
      <c r="I441" s="41">
        <f>MIN(C_sat_CO2,MAX(C_air_CO2,(pool_ret*H441+pool_b)*E441+G441*F441))</f>
        <v>28.051422535946</v>
      </c>
      <c r="J441" s="41">
        <f>IF(AND(I441&gt;=CO2_pH_hi_mt,I442&lt;CO2_pH_hi_mt),EXP(LN(A441)+(LN(A442)-LN(A441))*(I441-CO2_pH_hi_mt)/(I441-I442)),0)</f>
        <v>0.0</v>
      </c>
      <c r="L441" s="41">
        <f>k_eff_CO2_l*B441</f>
        <v>5.040956404799e-05</v>
      </c>
      <c r="M441" s="41">
        <f>EXP(-L441)</f>
        <v>0.999949591706</v>
      </c>
      <c r="N441" s="41">
        <f>IF(L441&gt;0,(1-M441)/L441,1)</f>
        <v>0.999974795641</v>
      </c>
      <c r="O441" s="41">
        <f>IF(L441&gt;0,(L441-1+M441)/L441^2,1/2)</f>
        <v>0.499991621794</v>
      </c>
      <c r="P441" s="41">
        <f>(C_air_CO2/C_sat_CO2*F_vent_ex-CO2_fix_l)*(B441/3600)/(V_L_CO2+Vg_CO2)</f>
        <v>1.164971969705e-07</v>
      </c>
      <c r="Q441" s="41">
        <f>(P441*N441+pool_b*M441)/(1-pool_ret*M441)</f>
        <v>28.040434039093</v>
      </c>
      <c r="R441" s="41">
        <f>MIN(C_sat_CO2,MAX(C_air_CO2,(pool_ret*Q441+pool_b)*N441+P441*O441))</f>
        <v>28.04114074572</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IF(C442&gt;0,(1-D442)/C442,1)</f>
        <v>0.999993789053</v>
      </c>
      <c r="F442" s="41">
        <f>IF(C442&gt;0,(C442-1+D442)/C442^2,1/2)</f>
        <v>0.499997600822</v>
      </c>
      <c r="G442" s="41">
        <f>(C_air_CO2/C_sat_CO2*F_vent_ex-CO2_fix_sched)*(B442/3600)/(V_L_CO2+Vg_CO2)</f>
        <v>-0.0001641470944896</v>
      </c>
      <c r="H442" s="41">
        <f>(G442*E442+pool_b*D442)/(1-pool_ret*D442)</f>
        <v>28.050169663999</v>
      </c>
      <c r="I442" s="41">
        <f>MIN(C_sat_CO2,MAX(C_air_CO2,(pool_ret*H442+pool_b)*E442+G442*F442))</f>
        <v>28.050425957643</v>
      </c>
      <c r="J442" s="41">
        <f>IF(AND(I442&gt;=CO2_pH_hi_mt,I443&lt;CO2_pH_hi_mt),EXP(LN(A442)+(LN(A443)-LN(A442))*(I442-CO2_pH_hi_mt)/(I442-I443)),0)</f>
        <v>0.0</v>
      </c>
      <c r="L442" s="41">
        <f>k_eff_CO2_l*B442</f>
        <v>6.213000687668e-05</v>
      </c>
      <c r="M442" s="41">
        <f>EXP(-L442)</f>
        <v>0.999937871923</v>
      </c>
      <c r="N442" s="41">
        <f>IF(L442&gt;0,(1-M442)/L442,1)</f>
        <v>0.99996893564</v>
      </c>
      <c r="O442" s="41">
        <f>IF(L442&gt;0,(L442-1+M442)/L442^2,1/2)</f>
        <v>0.499989647317</v>
      </c>
      <c r="P442" s="41">
        <f>(C_air_CO2/C_sat_CO2*F_vent_ex-CO2_fix_l)*(B442/3600)/(V_L_CO2+Vg_CO2)</f>
        <v>1.435833018116e-07</v>
      </c>
      <c r="Q442" s="41">
        <f>(P442*N442+pool_b*M442)/(1-pool_ret*M442)</f>
        <v>28.036884732991</v>
      </c>
      <c r="R442" s="41">
        <f>MIN(C_sat_CO2,MAX(C_air_CO2,(pool_ret*Q442+pool_b)*N442+P442*O442))</f>
        <v>28.037755645168</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IF(C443&gt;0,(1-D443)/C443,1)</f>
        <v>0.999992476725</v>
      </c>
      <c r="F443" s="41">
        <f>IF(C443&gt;0,(C443-1+D443)/C443^2,1/2)</f>
        <v>0.499997452808</v>
      </c>
      <c r="G443" s="41">
        <f>(C_air_CO2/C_sat_CO2*F_vent_ex-CO2_fix_sched)*(B443/3600)/(V_L_CO2+Vg_CO2)</f>
        <v>-0.0001988302706686</v>
      </c>
      <c r="H443" s="41">
        <f>(G443*E443+pool_b*D443)/(1-pool_ret*D443)</f>
        <v>28.04899934455</v>
      </c>
      <c r="I443" s="41">
        <f>MIN(C_sat_CO2,MAX(C_air_CO2,(pool_ret*H443+pool_b)*E443+G443*F443))</f>
        <v>28.049309782645</v>
      </c>
      <c r="J443" s="41">
        <f>IF(AND(I443&gt;=CO2_pH_hi_mt,I444&lt;CO2_pH_hi_mt),EXP(LN(A443)+(LN(A444)-LN(A443))*(I443-CO2_pH_hi_mt)/(I443-I444)),0)</f>
        <v>0.0</v>
      </c>
      <c r="L443" s="41">
        <f>k_eff_CO2_l*B443</f>
        <v>7.525765912791e-05</v>
      </c>
      <c r="M443" s="41">
        <f>EXP(-L443)</f>
        <v>0.999924745173</v>
      </c>
      <c r="N443" s="41">
        <f>IF(L443&gt;0,(1-M443)/L443,1)</f>
        <v>0.999962372114</v>
      </c>
      <c r="O443" s="41">
        <f>IF(L443&gt;0,(L443-1+M443)/L443^2,1/2)</f>
        <v>0.499987455989</v>
      </c>
      <c r="P443" s="41">
        <f>(C_air_CO2/C_sat_CO2*F_vent_ex-CO2_fix_l)*(B443/3600)/(V_L_CO2+Vg_CO2)</f>
        <v>1.739214870142e-07</v>
      </c>
      <c r="Q443" s="41">
        <f>(P443*N443+pool_b*M443)/(1-pool_ret*M443)</f>
        <v>28.032910298524</v>
      </c>
      <c r="R443" s="41">
        <f>MIN(C_sat_CO2,MAX(C_air_CO2,(pool_ret*Q443+pool_b)*N443+P443*O443))</f>
        <v>28.033965083611</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IF(C444&gt;0,(1-D444)/C444,1)</f>
        <v>0.999991006836</v>
      </c>
      <c r="F444" s="41">
        <f>IF(C444&gt;0,(C444-1+D444)/C444^2,1/2)</f>
        <v>0.49999722252</v>
      </c>
      <c r="G444" s="41">
        <f>(C_air_CO2/C_sat_CO2*F_vent_ex-CO2_fix_sched)*(B444/3600)/(V_L_CO2+Vg_CO2)</f>
        <v>-0.0002376776659848</v>
      </c>
      <c r="H444" s="41">
        <f>(G444*E444+pool_b*D444)/(1-pool_ret*D444)</f>
        <v>28.047688586418</v>
      </c>
      <c r="I444" s="41">
        <f>MIN(C_sat_CO2,MAX(C_air_CO2,(pool_ret*H444+pool_b)*E444+G444*F444))</f>
        <v>28.048059666259</v>
      </c>
      <c r="J444" s="41">
        <f>IF(AND(I444&gt;=CO2_pH_hi_mt,I445&lt;CO2_pH_hi_mt),EXP(LN(A444)+(LN(A445)-LN(A444))*(I444-CO2_pH_hi_mt)/(I444-I445)),0)</f>
        <v>0.0</v>
      </c>
      <c r="L444" s="41">
        <f>k_eff_CO2_l*B444</f>
        <v>8.996147673515e-05</v>
      </c>
      <c r="M444" s="41">
        <f>EXP(-L444)</f>
        <v>0.99991004257</v>
      </c>
      <c r="N444" s="41">
        <f>IF(L444&gt;0,(1-M444)/L444,1)</f>
        <v>0.99995502061</v>
      </c>
      <c r="O444" s="41">
        <f>IF(L444&gt;0,(L444-1+M444)/L444^2,1/2)</f>
        <v>0.499985007927</v>
      </c>
      <c r="P444" s="41">
        <f>(C_air_CO2/C_sat_CO2*F_vent_ex-CO2_fix_l)*(B444/3600)/(V_L_CO2+Vg_CO2)</f>
        <v>2.079022120682e-07</v>
      </c>
      <c r="Q444" s="41">
        <f>(P444*N444+pool_b*M444)/(1-pool_ret*M444)</f>
        <v>28.028459951309</v>
      </c>
      <c r="R444" s="41">
        <f>MIN(C_sat_CO2,MAX(C_air_CO2,(pool_ret*Q444+pool_b)*N444+P444*O444))</f>
        <v>28.029720625974</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IF(C445&gt;0,(1-D445)/C445,1)</f>
        <v>0.999989360475</v>
      </c>
      <c r="F445" s="41">
        <f>IF(C445&gt;0,(C445-1+D445)/C445^2,1/2)</f>
        <v>0.499996359475</v>
      </c>
      <c r="G445" s="41">
        <f>(C_air_CO2/C_sat_CO2*F_vent_ex-CO2_fix_sched)*(B445/3600)/(V_L_CO2+Vg_CO2)</f>
        <v>-0.0002811892554384</v>
      </c>
      <c r="H445" s="41">
        <f>(G445*E445+pool_b*D445)/(1-pool_ret*D445)</f>
        <v>28.046220547025</v>
      </c>
      <c r="I445" s="41">
        <f>MIN(C_sat_CO2,MAX(C_air_CO2,(pool_ret*H445+pool_b)*E445+G445*F445))</f>
        <v>28.046659545402</v>
      </c>
      <c r="J445" s="41">
        <f>IF(AND(I445&gt;=CO2_pH_hi_mt,I446&lt;CO2_pH_hi_mt),EXP(LN(A445)+(LN(A446)-LN(A445))*(I445-CO2_pH_hi_mt)/(I445-I446)),0)</f>
        <v>0.0</v>
      </c>
      <c r="L445" s="41">
        <f>k_eff_CO2_l*B445</f>
        <v>0.0001064307012461</v>
      </c>
      <c r="M445" s="41">
        <f>EXP(-L445)</f>
        <v>0.999893574962</v>
      </c>
      <c r="N445" s="41">
        <f>IF(L445&gt;0,(1-M445)/L445,1)</f>
        <v>0.999946786538</v>
      </c>
      <c r="O445" s="41">
        <f>IF(L445&gt;0,(L445-1+M445)/L445^2,1/2)</f>
        <v>0.499982254919</v>
      </c>
      <c r="P445" s="41">
        <f>(C_air_CO2/C_sat_CO2*F_vent_ex-CO2_fix_l)*(B445/3600)/(V_L_CO2+Vg_CO2)</f>
        <v>2.459628167974e-07</v>
      </c>
      <c r="Q445" s="41">
        <f>(P445*N445+pool_b*M445)/(1-pool_ret*M445)</f>
        <v>28.023476875137</v>
      </c>
      <c r="R445" s="41">
        <f>MIN(C_sat_CO2,MAX(C_air_CO2,(pool_ret*Q445+pool_b)*N445+P445*O445))</f>
        <v>28.024968084217</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IF(C446&gt;0,(1-D446)/C446,1)</f>
        <v>0.999987516443</v>
      </c>
      <c r="F446" s="41">
        <f>IF(C446&gt;0,(C446-1+D446)/C446^2,1/2)</f>
        <v>0.499995860338</v>
      </c>
      <c r="G446" s="41">
        <f>(C_air_CO2/C_sat_CO2*F_vent_ex-CO2_fix_sched)*(B446/3600)/(V_L_CO2+Vg_CO2)</f>
        <v>-0.0003299250432917</v>
      </c>
      <c r="H446" s="41">
        <f>(G446*E446+pool_b*D446)/(1-pool_ret*D446)</f>
        <v>28.044576366461</v>
      </c>
      <c r="I446" s="41">
        <f>MIN(C_sat_CO2,MAX(C_air_CO2,(pool_ret*H446+pool_b)*E446+G446*F446))</f>
        <v>28.045091432132</v>
      </c>
      <c r="J446" s="41">
        <f>IF(AND(I446&gt;=CO2_pH_hi_mt,I447&lt;CO2_pH_hi_mt),EXP(LN(A446)+(LN(A447)-LN(A446))*(I446-CO2_pH_hi_mt)/(I446-I447)),0)</f>
        <v>0.0</v>
      </c>
      <c r="L446" s="41">
        <f>k_eff_CO2_l*B446</f>
        <v>0.0001248772954053</v>
      </c>
      <c r="M446" s="41">
        <f>EXP(-L446)</f>
        <v>0.999875130501</v>
      </c>
      <c r="N446" s="41">
        <f>IF(L446&gt;0,(1-M446)/L446,1)</f>
        <v>0.999937563951</v>
      </c>
      <c r="O446" s="41">
        <f>IF(L446&gt;0,(L446-1+M446)/L446^2,1/2)</f>
        <v>0.499979190755</v>
      </c>
      <c r="P446" s="41">
        <f>(C_air_CO2/C_sat_CO2*F_vent_ex-CO2_fix_l)*(B446/3600)/(V_L_CO2+Vg_CO2)</f>
        <v>2.885931500246e-07</v>
      </c>
      <c r="Q446" s="41">
        <f>(P446*N446+pool_b*M446)/(1-pool_ret*M446)</f>
        <v>28.017897514373</v>
      </c>
      <c r="R446" s="41">
        <f>MIN(C_sat_CO2,MAX(C_air_CO2,(pool_ret*Q446+pool_b)*N446+P446*O446))</f>
        <v>28.019646842522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IF(C447&gt;0,(1-D447)/C447,1)</f>
        <v>0.999985451017</v>
      </c>
      <c r="F447" s="41">
        <f>IF(C447&gt;0,(C447-1+D447)/C447^2,1/2)</f>
        <v>0.499995211509</v>
      </c>
      <c r="G447" s="41">
        <f>(C_air_CO2/C_sat_CO2*F_vent_ex-CO2_fix_sched)*(B447/3600)/(V_L_CO2+Vg_CO2)</f>
        <v>-0.0003845122704535</v>
      </c>
      <c r="H447" s="41">
        <f>(G447*E447+pool_b*D447)/(1-pool_ret*D447)</f>
        <v>28.042734926511</v>
      </c>
      <c r="I447" s="41">
        <f>MIN(C_sat_CO2,MAX(C_air_CO2,(pool_ret*H447+pool_b)*E447+G447*F447))</f>
        <v>28.043335185624</v>
      </c>
      <c r="J447" s="41">
        <f>IF(AND(I447&gt;=CO2_pH_hi_mt,I448&lt;CO2_pH_hi_mt),EXP(LN(A447)+(LN(A448)-LN(A447))*(I447-CO2_pH_hi_mt)/(I447-I448)),0)</f>
        <v>0.0</v>
      </c>
      <c r="L447" s="41">
        <f>k_eff_CO2_l*B447</f>
        <v>0.000145538671164</v>
      </c>
      <c r="M447" s="41">
        <f>EXP(-L447)</f>
        <v>0.999854471919</v>
      </c>
      <c r="N447" s="41">
        <f>IF(L447&gt;0,(1-M447)/L447,1)</f>
        <v>0.999927234195</v>
      </c>
      <c r="O447" s="41">
        <f>IF(L447&gt;0,(L447-1+M447)/L447^2,1/2)</f>
        <v>0.499975741708</v>
      </c>
      <c r="P447" s="41">
        <f>(C_air_CO2/C_sat_CO2*F_vent_ex-CO2_fix_l)*(B447/3600)/(V_L_CO2+Vg_CO2)</f>
        <v>3.363418740395e-07</v>
      </c>
      <c r="Q447" s="41">
        <f>(P447*N447+pool_b*M447)/(1-pool_ret*M447)</f>
        <v>28.011650785591</v>
      </c>
      <c r="R447" s="41">
        <f>MIN(C_sat_CO2,MAX(C_air_CO2,(pool_ret*Q447+pool_b)*N447+P447*O447))</f>
        <v>28.013689105527</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IF(C448&gt;0,(1-D448)/C448,1)</f>
        <v>0.999983137613</v>
      </c>
      <c r="F448" s="41">
        <f>IF(C448&gt;0,(C448-1+D448)/C448^2,1/2)</f>
        <v>0.499994367627</v>
      </c>
      <c r="G448" s="41">
        <f>(C_air_CO2/C_sat_CO2*F_vent_ex-CO2_fix_sched)*(B448/3600)/(V_L_CO2+Vg_CO2)</f>
        <v>-0.0004456534872159</v>
      </c>
      <c r="H448" s="41">
        <f>(G448*E448+pool_b*D448)/(1-pool_ret*D448)</f>
        <v>28.040672581064</v>
      </c>
      <c r="I448" s="41">
        <f>MIN(C_sat_CO2,MAX(C_air_CO2,(pool_ret*H448+pool_b)*E448+G448*F448))</f>
        <v>28.041368253601</v>
      </c>
      <c r="J448" s="41">
        <f>IF(AND(I448&gt;=CO2_pH_hi_mt,I449&lt;CO2_pH_hi_mt),EXP(LN(A448)+(LN(A449)-LN(A448))*(I448-CO2_pH_hi_mt)/(I448-I449)),0)</f>
        <v>0.0</v>
      </c>
      <c r="L448" s="41">
        <f>k_eff_CO2_l*B448</f>
        <v>0.0001686807452269</v>
      </c>
      <c r="M448" s="41">
        <f>EXP(-L448)</f>
        <v>0.999831333481</v>
      </c>
      <c r="N448" s="41">
        <f>IF(L448&gt;0,(1-M448)/L448,1)</f>
        <v>0.99991566437</v>
      </c>
      <c r="O448" s="41">
        <f>IF(L448&gt;0,(L448-1+M448)/L448^2,1/2)</f>
        <v>0.499971886449</v>
      </c>
      <c r="P448" s="41">
        <f>(C_air_CO2/C_sat_CO2*F_vent_ex-CO2_fix_l)*(B448/3600)/(V_L_CO2+Vg_CO2)</f>
        <v>3.898235260103e-07</v>
      </c>
      <c r="Q448" s="41">
        <f>(P448*N448+pool_b*M448)/(1-pool_ret*M448)</f>
        <v>28.004657199799</v>
      </c>
      <c r="R448" s="41">
        <f>MIN(C_sat_CO2,MAX(C_air_CO2,(pool_ret*Q448+pool_b)*N448+P448*O448))</f>
        <v>28.007019060916</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IF(C449&gt;0,(1-D449)/C449,1)</f>
        <v>0.999980546458</v>
      </c>
      <c r="F449" s="41">
        <f>IF(C449&gt;0,(C449-1+D449)/C449^2,1/2)</f>
        <v>0.499993536553</v>
      </c>
      <c r="G449" s="41">
        <f>(C_air_CO2/C_sat_CO2*F_vent_ex-CO2_fix_sched)*(B449/3600)/(V_L_CO2+Vg_CO2)</f>
        <v>-0.000514135595239</v>
      </c>
      <c r="H449" s="41">
        <f>(G449*E449+pool_b*D449)/(1-pool_ret*D449)</f>
        <v>28.038362854548</v>
      </c>
      <c r="I449" s="41">
        <f>MIN(C_sat_CO2,MAX(C_air_CO2,(pool_ret*H449+pool_b)*E449+G449*F449))</f>
        <v>28.039165385215</v>
      </c>
      <c r="J449" s="41">
        <f>IF(AND(I449&gt;=CO2_pH_hi_mt,I450&lt;CO2_pH_hi_mt),EXP(LN(A449)+(LN(A450)-LN(A449))*(I449-CO2_pH_hi_mt)/(I449-I450)),0)</f>
        <v>0.0</v>
      </c>
      <c r="L449" s="41">
        <f>k_eff_CO2_l*B449</f>
        <v>0.0001946013614622</v>
      </c>
      <c r="M449" s="41">
        <f>EXP(-L449)</f>
        <v>0.999805417572</v>
      </c>
      <c r="N449" s="41">
        <f>IF(L449&gt;0,(1-M449)/L449,1)</f>
        <v>0.99990270563</v>
      </c>
      <c r="O449" s="41">
        <f>IF(L449&gt;0,(L449-1+M449)/L449^2,1/2)</f>
        <v>0.499967568893</v>
      </c>
      <c r="P449" s="41">
        <f>(C_air_CO2/C_sat_CO2*F_vent_ex-CO2_fix_l)*(B449/3600)/(V_L_CO2+Vg_CO2)</f>
        <v>4.497264272194e-07</v>
      </c>
      <c r="Q449" s="41">
        <f>(P449*N449+pool_b*M449)/(1-pool_ret*M449)</f>
        <v>27.996827885842</v>
      </c>
      <c r="R449" s="41">
        <f>MIN(C_sat_CO2,MAX(C_air_CO2,(pool_ret*Q449+pool_b)*N449+P449*O449))</f>
        <v>27.999551948085</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IF(C450&gt;0,(1-D450)/C450,1)</f>
        <v>0.99997764421</v>
      </c>
      <c r="F450" s="41">
        <f>IF(C450&gt;0,(C450-1+D450)/C450^2,1/2)</f>
        <v>0.499992537834</v>
      </c>
      <c r="G450" s="41">
        <f>(C_air_CO2/C_sat_CO2*F_vent_ex-CO2_fix_sched)*(B450/3600)/(V_L_CO2+Vg_CO2)</f>
        <v>-0.0005908399751586</v>
      </c>
      <c r="H450" s="41">
        <f>(G450*E450+pool_b*D450)/(1-pool_ret*D450)</f>
        <v>28.035776104652</v>
      </c>
      <c r="I450" s="41">
        <f>MIN(C_sat_CO2,MAX(C_air_CO2,(pool_ret*H450+pool_b)*E450+G450*F450))</f>
        <v>28.036698309626</v>
      </c>
      <c r="J450" s="41">
        <f>IF(AND(I450&gt;=CO2_pH_hi_mt,I451&lt;CO2_pH_hi_mt),EXP(LN(A450)+(LN(A451)-LN(A450))*(I450-CO2_pH_hi_mt)/(I450-I451)),0)</f>
        <v>0.0</v>
      </c>
      <c r="L450" s="41">
        <f>k_eff_CO2_l*B450</f>
        <v>0.0002236341242211</v>
      </c>
      <c r="M450" s="41">
        <f>EXP(-L450)</f>
        <v>0.99977639088</v>
      </c>
      <c r="N450" s="41">
        <f>IF(L450&gt;0,(1-M450)/L450,1)</f>
        <v>0.999888191273</v>
      </c>
      <c r="O450" s="41">
        <f>IF(L450&gt;0,(L450-1+M450)/L450^2,1/2)</f>
        <v>0.499962729633</v>
      </c>
      <c r="P450" s="41">
        <f>(C_air_CO2/C_sat_CO2*F_vent_ex-CO2_fix_l)*(B450/3600)/(V_L_CO2+Vg_CO2)</f>
        <v>5.168215419183e-07</v>
      </c>
      <c r="Q450" s="41">
        <f>(P450*N450+pool_b*M450)/(1-pool_ret*M450)</f>
        <v>27.988063504751</v>
      </c>
      <c r="R450" s="41">
        <f>MIN(C_sat_CO2,MAX(C_air_CO2,(pool_ret*Q450+pool_b)*N450+P450*O450))</f>
        <v>27.991193022659</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IF(C451&gt;0,(1-D451)/C451,1)</f>
        <v>0.999974393518</v>
      </c>
      <c r="F451" s="41">
        <f>IF(C451&gt;0,(C451-1+D451)/C451^2,1/2)</f>
        <v>0.499991482431</v>
      </c>
      <c r="G451" s="41">
        <f>(C_air_CO2/C_sat_CO2*F_vent_ex-CO2_fix_sched)*(B451/3600)/(V_L_CO2+Vg_CO2)</f>
        <v>-0.0006767538301596</v>
      </c>
      <c r="H451" s="41">
        <f>(G451*E451+pool_b*D451)/(1-pool_ret*D451)</f>
        <v>28.03287914517</v>
      </c>
      <c r="I451" s="41">
        <f>MIN(C_sat_CO2,MAX(C_air_CO2,(pool_ret*H451+pool_b)*E451+G451*F451))</f>
        <v>28.033935375784</v>
      </c>
      <c r="J451" s="41">
        <f>IF(AND(I451&gt;=CO2_pH_hi_mt,I452&lt;CO2_pH_hi_mt),EXP(LN(A451)+(LN(A452)-LN(A451))*(I451-CO2_pH_hi_mt)/(I451-I452)),0)</f>
        <v>0.0</v>
      </c>
      <c r="L451" s="41">
        <f>k_eff_CO2_l*B451</f>
        <v>0.0002561526919034</v>
      </c>
      <c r="M451" s="41">
        <f>EXP(-L451)</f>
        <v>0.999743880112</v>
      </c>
      <c r="N451" s="41">
        <f>IF(L451&gt;0,(1-M451)/L451,1)</f>
        <v>0.999871934589</v>
      </c>
      <c r="O451" s="41">
        <f>IF(L451&gt;0,(L451-1+M451)/L451^2,1/2)</f>
        <v>0.499957310102</v>
      </c>
      <c r="P451" s="41">
        <f>(C_air_CO2/C_sat_CO2*F_vent_ex-CO2_fix_l)*(B451/3600)/(V_L_CO2+Vg_CO2)</f>
        <v>5.919723998166e-07</v>
      </c>
      <c r="Q451" s="41">
        <f>(P451*N451+pool_b*M451)/(1-pool_ret*M451)</f>
        <v>27.978253044002</v>
      </c>
      <c r="R451" s="41">
        <f>MIN(C_sat_CO2,MAX(C_air_CO2,(pool_ret*Q451+pool_b)*N451+P451*O451))</f>
        <v>27.981836406387</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IF(C452&gt;0,(1-D452)/C452,1)</f>
        <v>0.999970752549</v>
      </c>
      <c r="F452" s="41">
        <f>IF(C452&gt;0,(C452-1+D452)/C452^2,1/2)</f>
        <v>0.49999026357</v>
      </c>
      <c r="G452" s="41">
        <f>(C_air_CO2/C_sat_CO2*F_vent_ex-CO2_fix_sched)*(B452/3600)/(V_L_CO2+Vg_CO2)</f>
        <v>-0.00077298289151</v>
      </c>
      <c r="H452" s="41">
        <f>(G452*E452+pool_b*D452)/(1-pool_ret*D452)</f>
        <v>28.029634824341</v>
      </c>
      <c r="I452" s="41">
        <f>MIN(C_sat_CO2,MAX(C_air_CO2,(pool_ret*H452+pool_b)*E452+G452*F452))</f>
        <v>28.030841150665</v>
      </c>
      <c r="J452" s="41">
        <f>IF(AND(I452&gt;=CO2_pH_hi_mt,I453&lt;CO2_pH_hi_mt),EXP(LN(A452)+(LN(A453)-LN(A452))*(I452-CO2_pH_hi_mt)/(I452-I453)),0)</f>
        <v>0.0</v>
      </c>
      <c r="L452" s="41">
        <f>k_eff_CO2_l*B452</f>
        <v>0.0002925755860279</v>
      </c>
      <c r="M452" s="41">
        <f>EXP(-L452)</f>
        <v>0.99970746721</v>
      </c>
      <c r="N452" s="41">
        <f>IF(L452&gt;0,(1-M452)/L452,1)</f>
        <v>0.999853726473</v>
      </c>
      <c r="O452" s="41">
        <f>IF(L452&gt;0,(L452-1+M452)/L452^2,1/2)</f>
        <v>0.499951241589</v>
      </c>
      <c r="P452" s="41">
        <f>(C_air_CO2/C_sat_CO2*F_vent_ex-CO2_fix_l)*(B452/3600)/(V_L_CO2+Vg_CO2)</f>
        <v>6.761462099097e-07</v>
      </c>
      <c r="Q452" s="41">
        <f>(P452*N452+pool_b*M452)/(1-pool_ret*M452)</f>
        <v>27.967272479829</v>
      </c>
      <c r="R452" s="41">
        <f>MIN(C_sat_CO2,MAX(C_air_CO2,(pool_ret*Q452+pool_b)*N452+P452*O452))</f>
        <v>27.971363811319</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IF(C453&gt;0,(1-D453)/C453,1)</f>
        <v>0.999966674449</v>
      </c>
      <c r="F453" s="41">
        <f>IF(C453&gt;0,(C453-1+D453)/C453^2,1/2)</f>
        <v>0.499988885123</v>
      </c>
      <c r="G453" s="41">
        <f>(C_air_CO2/C_sat_CO2*F_vent_ex-CO2_fix_sched)*(B453/3600)/(V_L_CO2+Vg_CO2)</f>
        <v>-0.0008807656495793</v>
      </c>
      <c r="H453" s="41">
        <f>(G453*E453+pool_b*D453)/(1-pool_ret*D453)</f>
        <v>28.02600155353</v>
      </c>
      <c r="I453" s="41">
        <f>MIN(C_sat_CO2,MAX(C_air_CO2,(pool_ret*H453+pool_b)*E453+G453*F453))</f>
        <v>28.027375969582</v>
      </c>
      <c r="J453" s="41">
        <f>IF(AND(I453&gt;=CO2_pH_hi_mt,I454&lt;CO2_pH_hi_mt),EXP(LN(A453)+(LN(A454)-LN(A453))*(I453-CO2_pH_hi_mt)/(I453-I454)),0)</f>
        <v>0.0</v>
      </c>
      <c r="L453" s="41">
        <f>k_eff_CO2_l*B453</f>
        <v>0.0003333715777014</v>
      </c>
      <c r="M453" s="41">
        <f>EXP(-L453)</f>
        <v>0.999666683984</v>
      </c>
      <c r="N453" s="41">
        <f>IF(L453&gt;0,(1-M453)/L453,1)</f>
        <v>0.999833332732</v>
      </c>
      <c r="O453" s="41">
        <f>IF(L453&gt;0,(L453-1+M453)/L453^2,1/2)</f>
        <v>0.499944443135</v>
      </c>
      <c r="P453" s="41">
        <f>(C_air_CO2/C_sat_CO2*F_vent_ex-CO2_fix_l)*(B453/3600)/(V_L_CO2+Vg_CO2)</f>
        <v>7.704263086837e-07</v>
      </c>
      <c r="Q453" s="41">
        <f>(P453*N453+pool_b*M453)/(1-pool_ret*M453)</f>
        <v>27.954983294921</v>
      </c>
      <c r="R453" s="41">
        <f>MIN(C_sat_CO2,MAX(C_air_CO2,(pool_ret*Q453+pool_b)*N453+P453*O453))</f>
        <v>27.959643125951</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IF(C454&gt;0,(1-D454)/C454,1)</f>
        <v>0.999962106742</v>
      </c>
      <c r="F454" s="41">
        <f>IF(C454&gt;0,(C454-1+D454)/C454^2,1/2)</f>
        <v>0.499987365675</v>
      </c>
      <c r="G454" s="41">
        <f>(C_air_CO2/C_sat_CO2*F_vent_ex-CO2_fix_sched)*(B454/3600)/(V_L_CO2+Vg_CO2)</f>
        <v>-0.001001489293</v>
      </c>
      <c r="H454" s="41">
        <f>(G454*E454+pool_b*D454)/(1-pool_ret*D454)</f>
        <v>28.021932780554</v>
      </c>
      <c r="I454" s="41">
        <f>MIN(C_sat_CO2,MAX(C_air_CO2,(pool_ret*H454+pool_b)*E454+G454*F454))</f>
        <v>28.023495433872</v>
      </c>
      <c r="J454" s="41">
        <f>IF(AND(I454&gt;=CO2_pH_hi_mt,I455&lt;CO2_pH_hi_mt),EXP(LN(A454)+(LN(A455)-LN(A454))*(I454-CO2_pH_hi_mt)/(I454-I455)),0)</f>
        <v>0.0</v>
      </c>
      <c r="L454" s="41">
        <f>k_eff_CO2_l*B454</f>
        <v>0.0003790657208121</v>
      </c>
      <c r="M454" s="41">
        <f>EXP(-L454)</f>
        <v>0.999621006116</v>
      </c>
      <c r="N454" s="41">
        <f>IF(L454&gt;0,(1-M454)/L454,1)</f>
        <v>0.999810491086</v>
      </c>
      <c r="O454" s="41">
        <f>IF(L454&gt;0,(L454-1+M454)/L454^2,1/2)</f>
        <v>0.499936827954</v>
      </c>
      <c r="P454" s="41">
        <f>(C_air_CO2/C_sat_CO2*F_vent_ex-CO2_fix_l)*(B454/3600)/(V_L_CO2+Vg_CO2)</f>
        <v>8.760261029071e-07</v>
      </c>
      <c r="Q454" s="41">
        <f>(P454*N454+pool_b*M454)/(1-pool_ret*M454)</f>
        <v>27.94123083813</v>
      </c>
      <c r="R454" s="41">
        <f>MIN(C_sat_CO2,MAX(C_air_CO2,(pool_ret*Q454+pool_b)*N454+P454*O454))</f>
        <v>27.946526850681</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IF(C455&gt;0,(1-D455)/C455,1)</f>
        <v>0.999956990647</v>
      </c>
      <c r="F455" s="41">
        <f>IF(C455&gt;0,(C455-1+D455)/C455^2,1/2)</f>
        <v>0.499985658233</v>
      </c>
      <c r="G455" s="41">
        <f>(C_air_CO2/C_sat_CO2*F_vent_ex-CO2_fix_sched)*(B455/3600)/(V_L_CO2+Vg_CO2)</f>
        <v>-0.001136707565</v>
      </c>
      <c r="H455" s="41">
        <f>(G455*E455+pool_b*D455)/(1-pool_ret*D455)</f>
        <v>28.017376401279</v>
      </c>
      <c r="I455" s="41">
        <f>MIN(C_sat_CO2,MAX(C_air_CO2,(pool_ret*H455+pool_b)*E455+G455*F455))</f>
        <v>28.019149849715</v>
      </c>
      <c r="J455" s="41">
        <f>IF(AND(I455&gt;=CO2_pH_hi_mt,I456&lt;CO2_pH_hi_mt),EXP(LN(A455)+(LN(A456)-LN(A455))*(I455-CO2_pH_hi_mt)/(I455-I456)),0)</f>
        <v>0.0</v>
      </c>
      <c r="L455" s="41">
        <f>k_eff_CO2_l*B455</f>
        <v>0.0004302461095945</v>
      </c>
      <c r="M455" s="41">
        <f>EXP(-L455)</f>
        <v>0.999569846433</v>
      </c>
      <c r="N455" s="41">
        <f>IF(L455&gt;0,(1-M455)/L455,1)</f>
        <v>0.999784907794</v>
      </c>
      <c r="O455" s="41">
        <f>IF(L455&gt;0,(L455-1+M455)/L455^2,1/2)</f>
        <v>0.499928299551</v>
      </c>
      <c r="P455" s="41">
        <f>(C_air_CO2/C_sat_CO2*F_vent_ex-CO2_fix_l)*(B455/3600)/(V_L_CO2+Vg_CO2)</f>
        <v>9.943046864579e-07</v>
      </c>
      <c r="Q455" s="41">
        <f>(P455*N455+pool_b*M455)/(1-pool_ret*M455)</f>
        <v>27.92584251213</v>
      </c>
      <c r="R455" s="41">
        <f>MIN(C_sat_CO2,MAX(C_air_CO2,(pool_ret*Q455+pool_b)*N455+P455*O455))</f>
        <v>27.931850369118</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IF(C456&gt;0,(1-D456)/C456,1)</f>
        <v>0.999951260333</v>
      </c>
      <c r="F456" s="41">
        <f>IF(C456&gt;0,(C456-1+D456)/C456^2,1/2)</f>
        <v>0.499983751306</v>
      </c>
      <c r="G456" s="41">
        <f>(C_air_CO2/C_sat_CO2*F_vent_ex-CO2_fix_sched)*(B456/3600)/(V_L_CO2+Vg_CO2)</f>
        <v>-0.001288160753</v>
      </c>
      <c r="H456" s="41">
        <f>(G456*E456+pool_b*D456)/(1-pool_ret*D456)</f>
        <v>28.012274102506</v>
      </c>
      <c r="I456" s="41">
        <f>MIN(C_sat_CO2,MAX(C_air_CO2,(pool_ret*H456+pool_b)*E456+G456*F456))</f>
        <v>28.0142836015</v>
      </c>
      <c r="J456" s="41">
        <f>IF(AND(I456&gt;=CO2_pH_hi_mt,I457&lt;CO2_pH_hi_mt),EXP(LN(A456)+(LN(A457)-LN(A456))*(I456-CO2_pH_hi_mt)/(I456-I457)),0)</f>
        <v>0.0</v>
      </c>
      <c r="L456" s="41">
        <f>k_eff_CO2_l*B456</f>
        <v>0.0004875714475393</v>
      </c>
      <c r="M456" s="41">
        <f>EXP(-L456)</f>
        <v>0.999512547396</v>
      </c>
      <c r="N456" s="41">
        <f>IF(L456&gt;0,(1-M456)/L456,1)</f>
        <v>0.999756253892</v>
      </c>
      <c r="O456" s="41">
        <f>IF(L456&gt;0,(L456-1+M456)/L456^2,1/2)</f>
        <v>0.499918747836</v>
      </c>
      <c r="P456" s="41">
        <f>(C_air_CO2/C_sat_CO2*F_vent_ex-CO2_fix_l)*(B456/3600)/(V_L_CO2+Vg_CO2)</f>
        <v>1.126784332178e-06</v>
      </c>
      <c r="Q456" s="41">
        <f>(P456*N456+pool_b*M456)/(1-pool_ret*M456)</f>
        <v>27.908625774548</v>
      </c>
      <c r="R456" s="41">
        <f>MIN(C_sat_CO2,MAX(C_air_CO2,(pool_ret*Q456+pool_b)*N456+P456*O456))</f>
        <v>27.915430041501</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IF(C457&gt;0,(1-D457)/C457,1)</f>
        <v>0.999944842062</v>
      </c>
      <c r="F457" s="41">
        <f>IF(C457&gt;0,(C457-1+D457)/C457^2,1/2)</f>
        <v>0.499981614053</v>
      </c>
      <c r="G457" s="41">
        <f>(C_air_CO2/C_sat_CO2*F_vent_ex-CO2_fix_sched)*(B457/3600)/(V_L_CO2+Vg_CO2)</f>
        <v>-0.001457798098</v>
      </c>
      <c r="H457" s="41">
        <f>(G457*E457+pool_b*D457)/(1-pool_ret*D457)</f>
        <v>28.006560628348</v>
      </c>
      <c r="I457" s="41">
        <f>MIN(C_sat_CO2,MAX(C_air_CO2,(pool_ret*H457+pool_b)*E457+G457*F457))</f>
        <v>28.008834451968</v>
      </c>
      <c r="J457" s="41">
        <f>IF(AND(I457&gt;=CO2_pH_hi_mt,I458&lt;CO2_pH_hi_mt),EXP(LN(A457)+(LN(A458)-LN(A457))*(I457-CO2_pH_hi_mt)/(I457-I458)),0)</f>
        <v>0.0</v>
      </c>
      <c r="L457" s="41">
        <f>k_eff_CO2_l*B457</f>
        <v>0.0005517795250603</v>
      </c>
      <c r="M457" s="41">
        <f>EXP(-L457)</f>
        <v>0.999448372677</v>
      </c>
      <c r="N457" s="41">
        <f>IF(L457&gt;0,(1-M457)/L457,1)</f>
        <v>0.999724160974</v>
      </c>
      <c r="O457" s="41">
        <f>IF(L457&gt;0,(L457-1+M457)/L457^2,1/2)</f>
        <v>0.499908049213</v>
      </c>
      <c r="P457" s="41">
        <f>(C_air_CO2/C_sat_CO2*F_vent_ex-CO2_fix_l)*(B457/3600)/(V_L_CO2+Vg_CO2)</f>
        <v>1.275170083876e-06</v>
      </c>
      <c r="Q457" s="41">
        <f>(P457*N457+pool_b*M457)/(1-pool_ret*M457)</f>
        <v>27.889365937739</v>
      </c>
      <c r="R457" s="41">
        <f>MIN(C_sat_CO2,MAX(C_air_CO2,(pool_ret*Q457+pool_b)*N457+P457*O457))</f>
        <v>27.897061105982</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IF(C458&gt;0,(1-D458)/C458,1)</f>
        <v>0.999937653251</v>
      </c>
      <c r="F458" s="41">
        <f>IF(C458&gt;0,(C458-1+D458)/C458^2,1/2)</f>
        <v>0.499979210658</v>
      </c>
      <c r="G458" s="41">
        <f>(C_air_CO2/C_sat_CO2*F_vent_ex-CO2_fix_sched)*(B458/3600)/(V_L_CO2+Vg_CO2)</f>
        <v>-0.00164780287</v>
      </c>
      <c r="H458" s="41">
        <f>(G458*E458+pool_b*D458)/(1-pool_ret*D458)</f>
        <v>28.000162961532</v>
      </c>
      <c r="I458" s="41">
        <f>MIN(C_sat_CO2,MAX(C_air_CO2,(pool_ret*H458+pool_b)*E458+G458*F458))</f>
        <v>28.002732761522</v>
      </c>
      <c r="J458" s="41">
        <f>IF(AND(I458&gt;=CO2_pH_hi_mt,I459&lt;CO2_pH_hi_mt),EXP(LN(A458)+(LN(A459)-LN(A458))*(I458-CO2_pH_hi_mt)/(I458-I459)),0)</f>
        <v>0.0</v>
      </c>
      <c r="L458" s="41">
        <f>k_eff_CO2_l*B458</f>
        <v>0.0006236967150278</v>
      </c>
      <c r="M458" s="41">
        <f>EXP(-L458)</f>
        <v>0.999376497743</v>
      </c>
      <c r="N458" s="41">
        <f>IF(L458&gt;0,(1-M458)/L458,1)</f>
        <v>0.999688216465</v>
      </c>
      <c r="O458" s="41">
        <f>IF(L458&gt;0,(L458-1+M458)/L458^2,1/2)</f>
        <v>0.499896066814</v>
      </c>
      <c r="P458" s="41">
        <f>(C_air_CO2/C_sat_CO2*F_vent_ex-CO2_fix_l)*(B458/3600)/(V_L_CO2+Vg_CO2)</f>
        <v>1.441371700642e-06</v>
      </c>
      <c r="Q458" s="41">
        <f>(P458*N458+pool_b*M458)/(1-pool_ret*M458)</f>
        <v>27.867823752523</v>
      </c>
      <c r="R458" s="41">
        <f>MIN(C_sat_CO2,MAX(C_air_CO2,(pool_ret*Q458+pool_b)*N458+P458*O458))</f>
        <v>27.876515373785</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IF(C459&gt;0,(1-D459)/C459,1)</f>
        <v>0.999929601399</v>
      </c>
      <c r="F459" s="41">
        <f>IF(C459&gt;0,(C459-1+D459)/C459^2,1/2)</f>
        <v>0.499976536247</v>
      </c>
      <c r="G459" s="41">
        <f>(C_air_CO2/C_sat_CO2*F_vent_ex-CO2_fix_sched)*(B459/3600)/(V_L_CO2+Vg_CO2)</f>
        <v>-0.001860620474</v>
      </c>
      <c r="H459" s="41">
        <f>(G459*E459+pool_b*D459)/(1-pool_ret*D459)</f>
        <v>27.992999410163</v>
      </c>
      <c r="I459" s="41">
        <f>MIN(C_sat_CO2,MAX(C_air_CO2,(pool_ret*H459+pool_b)*E459+G459*F459))</f>
        <v>27.995900617042</v>
      </c>
      <c r="J459" s="41">
        <f>IF(AND(I459&gt;=CO2_pH_hi_mt,I460&lt;CO2_pH_hi_mt),EXP(LN(A459)+(LN(A460)-LN(A459))*(I459-CO2_pH_hi_mt)/(I459-I460)),0)</f>
        <v>0.0</v>
      </c>
      <c r="L459" s="41">
        <f>k_eff_CO2_l*B459</f>
        <v>0.0007042486083802</v>
      </c>
      <c r="M459" s="41">
        <f>EXP(-L459)</f>
        <v>0.999295999316</v>
      </c>
      <c r="N459" s="41">
        <f>IF(L459&gt;0,(1-M459)/L459,1)</f>
        <v>0.999647958342</v>
      </c>
      <c r="O459" s="41">
        <f>IF(L459&gt;0,(L459-1+M459)/L459^2,1/2)</f>
        <v>0.499882645887</v>
      </c>
      <c r="P459" s="41">
        <f>(C_air_CO2/C_sat_CO2*F_vent_ex-CO2_fix_l)*(B459/3600)/(V_L_CO2+Vg_CO2)</f>
        <v>1.627528235883e-06</v>
      </c>
      <c r="Q459" s="41">
        <f>(P459*N459+pool_b*M459)/(1-pool_ret*M459)</f>
        <v>27.843732761599</v>
      </c>
      <c r="R459" s="41">
        <f>MIN(C_sat_CO2,MAX(C_air_CO2,(pool_ret*Q459+pool_b)*N459+P459*O459))</f>
        <v>27.853538704665</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IF(C460&gt;0,(1-D460)/C460,1)</f>
        <v>0.999920582909</v>
      </c>
      <c r="F460" s="41">
        <f>IF(C460&gt;0,(C460-1+D460)/C460^2,1/2)</f>
        <v>0.499973527706</v>
      </c>
      <c r="G460" s="41">
        <f>(C_air_CO2/C_sat_CO2*F_vent_ex-CO2_fix_sched)*(B460/3600)/(V_L_CO2+Vg_CO2)</f>
        <v>-0.002098989924</v>
      </c>
      <c r="H460" s="41">
        <f>(G460*E460+pool_b*D460)/(1-pool_ret*D460)</f>
        <v>27.984978589556</v>
      </c>
      <c r="I460" s="41">
        <f>MIN(C_sat_CO2,MAX(C_air_CO2,(pool_ret*H460+pool_b)*E460+G460*F460))</f>
        <v>27.988250861036</v>
      </c>
      <c r="J460" s="41">
        <f>IF(AND(I460&gt;=CO2_pH_hi_mt,I461&lt;CO2_pH_hi_mt),EXP(LN(A460)+(LN(A461)-LN(A460))*(I460-CO2_pH_hi_mt)/(I460-I461)),0)</f>
        <v>0.0</v>
      </c>
      <c r="L460" s="41">
        <f>k_eff_CO2_l*B460</f>
        <v>0.0007944719266938</v>
      </c>
      <c r="M460" s="41">
        <f>EXP(-L460)</f>
        <v>0.999205843583</v>
      </c>
      <c r="N460" s="41">
        <f>IF(L460&gt;0,(1-M460)/L460,1)</f>
        <v>0.999602869213</v>
      </c>
      <c r="O460" s="41">
        <f>IF(L460&gt;0,(L460-1+M460)/L460^2,1/2)</f>
        <v>0.499867614241</v>
      </c>
      <c r="P460" s="41">
        <f>(C_air_CO2/C_sat_CO2*F_vent_ex-CO2_fix_l)*(B460/3600)/(V_L_CO2+Vg_CO2)</f>
        <v>1.836035567446e-06</v>
      </c>
      <c r="Q460" s="41">
        <f>(P460*N460+pool_b*M460)/(1-pool_ret*M460)</f>
        <v>27.81679640945</v>
      </c>
      <c r="R460" s="41">
        <f>MIN(C_sat_CO2,MAX(C_air_CO2,(pool_ret*Q460+pool_b)*N460+P460*O460))</f>
        <v>27.827848249951</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IF(C461&gt;0,(1-D461)/C461,1)</f>
        <v>0.999910481747</v>
      </c>
      <c r="F461" s="41">
        <f>IF(C461&gt;0,(C461-1+D461)/C461^2,1/2)</f>
        <v>0.499970159888</v>
      </c>
      <c r="G461" s="41">
        <f>(C_air_CO2/C_sat_CO2*F_vent_ex-CO2_fix_sched)*(B461/3600)/(V_L_CO2+Vg_CO2)</f>
        <v>-0.002365979089</v>
      </c>
      <c r="H461" s="41">
        <f>(G461*E461+pool_b*D461)/(1-pool_ret*D461)</f>
        <v>27.975998287715</v>
      </c>
      <c r="I461" s="41">
        <f>MIN(C_sat_CO2,MAX(C_air_CO2,(pool_ret*H461+pool_b)*E461+G461*F461))</f>
        <v>27.9796860093</v>
      </c>
      <c r="J461" s="41">
        <f>IF(AND(I461&gt;=CO2_pH_hi_mt,I462&lt;CO2_pH_hi_mt),EXP(LN(A461)+(LN(A462)-LN(A461))*(I461-CO2_pH_hi_mt)/(I461-I462)),0)</f>
        <v>0.0</v>
      </c>
      <c r="L461" s="41">
        <f>k_eff_CO2_l*B461</f>
        <v>0.0008955278650302</v>
      </c>
      <c r="M461" s="41">
        <f>EXP(-L461)</f>
        <v>0.999104873</v>
      </c>
      <c r="N461" s="41">
        <f>IF(L461&gt;0,(1-M461)/L461,1)</f>
        <v>0.999552369699</v>
      </c>
      <c r="O461" s="41">
        <f>IF(L461&gt;0,(L461-1+M461)/L461^2,1/2)</f>
        <v>0.499850778752</v>
      </c>
      <c r="P461" s="41">
        <f>(C_air_CO2/C_sat_CO2*F_vent_ex-CO2_fix_l)*(B461/3600)/(V_L_CO2+Vg_CO2)</f>
        <v>2.069577233116e-06</v>
      </c>
      <c r="Q461" s="41">
        <f>(P461*N461+pool_b*M461)/(1-pool_ret*M461)</f>
        <v>27.786684897321</v>
      </c>
      <c r="R461" s="41">
        <f>MIN(C_sat_CO2,MAX(C_air_CO2,(pool_ret*Q461+pool_b)*N461+P461*O461))</f>
        <v>27.799129452371</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IF(C462&gt;0,(1-D462)/C462,1)</f>
        <v>0.999899167955</v>
      </c>
      <c r="F462" s="41">
        <f>IF(C462&gt;0,(C462-1+D462)/C462^2,1/2)</f>
        <v>0.4999663895</v>
      </c>
      <c r="G462" s="41">
        <f>(C_air_CO2/C_sat_CO2*F_vent_ex-CO2_fix_sched)*(B462/3600)/(V_L_CO2+Vg_CO2)</f>
        <v>-0.002665024182</v>
      </c>
      <c r="H462" s="41">
        <f>(G462*E462+pool_b*D462)/(1-pool_ret*D462)</f>
        <v>27.965944201967</v>
      </c>
      <c r="I462" s="41">
        <f>MIN(C_sat_CO2,MAX(C_air_CO2,(pool_ret*H462+pool_b)*E462+G462*F462))</f>
        <v>27.970097046132</v>
      </c>
      <c r="J462" s="41">
        <f>IF(AND(I462&gt;=CO2_pH_hi_mt,I463&lt;CO2_pH_hi_mt),EXP(LN(A462)+(LN(A463)-LN(A462))*(I462-CO2_pH_hi_mt)/(I462-I463)),0)</f>
        <v>0.0</v>
      </c>
      <c r="L462" s="41">
        <f>k_eff_CO2_l*B462</f>
        <v>0.001008717037</v>
      </c>
      <c r="M462" s="41">
        <f>EXP(-L462)</f>
        <v>0.998991791547</v>
      </c>
      <c r="N462" s="41">
        <f>IF(L462&gt;0,(1-M462)/L462,1)</f>
        <v>0.999495811024</v>
      </c>
      <c r="O462" s="41">
        <f>IF(L462&gt;0,(L462-1+M462)/L462^2,1/2)</f>
        <v>0.499831922905</v>
      </c>
      <c r="P462" s="41">
        <f>(C_air_CO2/C_sat_CO2*F_vent_ex-CO2_fix_l)*(B462/3600)/(V_L_CO2+Vg_CO2)</f>
        <v>2.33115896837e-06</v>
      </c>
      <c r="Q462" s="41">
        <f>(P462*N462+pool_b*M462)/(1-pool_ret*M462)</f>
        <v>27.753031774601</v>
      </c>
      <c r="R462" s="41">
        <f>MIN(C_sat_CO2,MAX(C_air_CO2,(pool_ret*Q462+pool_b)*N462+P462*O462))</f>
        <v>27.767032794301</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IF(C463&gt;0,(1-D463)/C463,1)</f>
        <v>0.999886495981</v>
      </c>
      <c r="F463" s="41">
        <f>IF(C463&gt;0,(C463-1+D463)/C463^2,1/2)</f>
        <v>0.499962164475</v>
      </c>
      <c r="G463" s="41">
        <f>(C_air_CO2/C_sat_CO2*F_vent_ex-CO2_fix_sched)*(B463/3600)/(V_L_CO2+Vg_CO2)</f>
        <v>-0.002999973982</v>
      </c>
      <c r="H463" s="41">
        <f>(G463*E463+pool_b*D463)/(1-pool_ret*D463)</f>
        <v>27.954688533147</v>
      </c>
      <c r="I463" s="41">
        <f>MIN(C_sat_CO2,MAX(C_air_CO2,(pool_ret*H463+pool_b)*E463+G463*F463))</f>
        <v>27.959362083412</v>
      </c>
      <c r="J463" s="41">
        <f>IF(AND(I463&gt;=CO2_pH_hi_mt,I464&lt;CO2_pH_hi_mt),EXP(LN(A463)+(LN(A464)-LN(A463))*(I463-CO2_pH_hi_mt)/(I463-I464)),0)</f>
        <v>0.0</v>
      </c>
      <c r="L463" s="41">
        <f>k_eff_CO2_l*B463</f>
        <v>0.001135496213</v>
      </c>
      <c r="M463" s="41">
        <f>EXP(-L463)</f>
        <v>0.998865148219</v>
      </c>
      <c r="N463" s="41">
        <f>IF(L463&gt;0,(1-M463)/L463,1)</f>
        <v>0.999432466724</v>
      </c>
      <c r="O463" s="41">
        <f>IF(L463&gt;0,(L463-1+M463)/L463^2,1/2)</f>
        <v>0.499810804391</v>
      </c>
      <c r="P463" s="41">
        <f>(C_air_CO2/C_sat_CO2*F_vent_ex-CO2_fix_l)*(B463/3600)/(V_L_CO2+Vg_CO2)</f>
        <v>2.624147390896e-06</v>
      </c>
      <c r="Q463" s="41">
        <f>(P463*N463+pool_b*M463)/(1-pool_ret*M463)</f>
        <v>27.715430261901</v>
      </c>
      <c r="R463" s="41">
        <f>MIN(C_sat_CO2,MAX(C_air_CO2,(pool_ret*Q463+pool_b)*N463+P463*O463))</f>
        <v>27.731170289894</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IF(C464&gt;0,(1-D464)/C464,1)</f>
        <v>0.999872302807</v>
      </c>
      <c r="F464" s="41">
        <f>IF(C464&gt;0,(C464-1+D464)/C464^2,1/2)</f>
        <v>0.499957433352</v>
      </c>
      <c r="G464" s="41">
        <f>(C_air_CO2/C_sat_CO2*F_vent_ex-CO2_fix_sched)*(B464/3600)/(V_L_CO2+Vg_CO2)</f>
        <v>-0.003375139372</v>
      </c>
      <c r="H464" s="41">
        <f>(G464*E464+pool_b*D464)/(1-pool_ret*D464)</f>
        <v>27.942088422528</v>
      </c>
      <c r="I464" s="41">
        <f>MIN(C_sat_CO2,MAX(C_air_CO2,(pool_ret*H464+pool_b)*E464+G464*F464))</f>
        <v>27.947344869786</v>
      </c>
      <c r="J464" s="41">
        <f>IF(AND(I464&gt;=CO2_pH_hi_mt,I465&lt;CO2_pH_hi_mt),EXP(LN(A464)+(LN(A465)-LN(A464))*(I464-CO2_pH_hi_mt)/(I464-I465)),0)</f>
        <v>0.0</v>
      </c>
      <c r="L464" s="41">
        <f>k_eff_CO2_l*B464</f>
        <v>0.001277497071</v>
      </c>
      <c r="M464" s="41">
        <f>EXP(-L464)</f>
        <v>0.998723318581</v>
      </c>
      <c r="N464" s="41">
        <f>IF(L464&gt;0,(1-M464)/L464,1)</f>
        <v>0.999361523378</v>
      </c>
      <c r="O464" s="41">
        <f>IF(L464&gt;0,(L464-1+M464)/L464^2,1/2)</f>
        <v>0.499787151792</v>
      </c>
      <c r="P464" s="41">
        <f>(C_air_CO2/C_sat_CO2*F_vent_ex-CO2_fix_l)*(B464/3600)/(V_L_CO2+Vg_CO2)</f>
        <v>2.952313329742e-06</v>
      </c>
      <c r="Q464" s="41">
        <f>(P464*N464+pool_b*M464)/(1-pool_ret*M464)</f>
        <v>27.673429306605</v>
      </c>
      <c r="R464" s="41">
        <f>MIN(C_sat_CO2,MAX(C_air_CO2,(pool_ret*Q464+pool_b)*N464+P464*O464))</f>
        <v>27.69111172183</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IF(C465&gt;0,(1-D465)/C465,1)</f>
        <v>0.999856405854</v>
      </c>
      <c r="F465" s="41">
        <f>IF(C465&gt;0,(C465-1+D465)/C465^2,1/2)</f>
        <v>0.499952134143</v>
      </c>
      <c r="G465" s="41">
        <f>(C_air_CO2/C_sat_CO2*F_vent_ex-CO2_fix_sched)*(B465/3600)/(V_L_CO2+Vg_CO2)</f>
        <v>-0.003795348817</v>
      </c>
      <c r="H465" s="41">
        <f>(G465*E465+pool_b*D465)/(1-pool_ret*D465)</f>
        <v>27.927984215505</v>
      </c>
      <c r="I465" s="41">
        <f>MIN(C_sat_CO2,MAX(C_air_CO2,(pool_ret*H465+pool_b)*E465+G465*F465))</f>
        <v>27.933893134584</v>
      </c>
      <c r="J465" s="41">
        <f>IF(AND(I465&gt;=CO2_pH_hi_mt,I466&lt;CO2_pH_hi_mt),EXP(LN(A465)+(LN(A466)-LN(A465))*(I465-CO2_pH_hi_mt)/(I465-I466)),0)</f>
        <v>0.0</v>
      </c>
      <c r="L465" s="41">
        <f>k_eff_CO2_l*B465</f>
        <v>0.001436547195</v>
      </c>
      <c r="M465" s="41">
        <f>EXP(-L465)</f>
        <v>0.998564484146</v>
      </c>
      <c r="N465" s="41">
        <f>IF(L465&gt;0,(1-M465)/L465,1)</f>
        <v>0.999282070224</v>
      </c>
      <c r="O465" s="41">
        <f>IF(L465&gt;0,(L465-1+M465)/L465^2,1/2)</f>
        <v>0.49976066144</v>
      </c>
      <c r="P465" s="41">
        <f>(C_air_CO2/C_sat_CO2*F_vent_ex-CO2_fix_l)*(B465/3600)/(V_L_CO2+Vg_CO2)</f>
        <v>3.319880356759e-06</v>
      </c>
      <c r="Q465" s="41">
        <f>(P465*N465+pool_b*M465)/(1-pool_ret*M465)</f>
        <v>27.626529379059</v>
      </c>
      <c r="R465" s="41">
        <f>MIN(C_sat_CO2,MAX(C_air_CO2,(pool_ret*Q465+pool_b)*N465+P465*O465))</f>
        <v>27.64638063037</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IF(C466&gt;0,(1-D466)/C466,1)</f>
        <v>0.999838600642</v>
      </c>
      <c r="F466" s="41">
        <f>IF(C466&gt;0,(C466-1+D466)/C466^2,1/2)</f>
        <v>0.499946198387</v>
      </c>
      <c r="G466" s="41">
        <f>(C_air_CO2/C_sat_CO2*F_vent_ex-CO2_fix_sched)*(B466/3600)/(V_L_CO2+Vg_CO2)</f>
        <v>-0.004266010509</v>
      </c>
      <c r="H466" s="41">
        <f>(G466*E466+pool_b*D466)/(1-pool_ret*D466)</f>
        <v>27.912197534837</v>
      </c>
      <c r="I466" s="41">
        <f>MIN(C_sat_CO2,MAX(C_air_CO2,(pool_ret*H466+pool_b)*E466+G466*F466))</f>
        <v>27.918836750082</v>
      </c>
      <c r="J466" s="41">
        <f>IF(AND(I466&gt;=CO2_pH_hi_mt,I467&lt;CO2_pH_hi_mt),EXP(LN(A466)+(LN(A467)-LN(A466))*(I466-CO2_pH_hi_mt)/(I466-I467)),0)</f>
        <v>0.0</v>
      </c>
      <c r="L466" s="41">
        <f>k_eff_CO2_l*B466</f>
        <v>0.001614693596</v>
      </c>
      <c r="M466" s="41">
        <f>EXP(-L466)</f>
        <v>0.99838660932</v>
      </c>
      <c r="N466" s="41">
        <f>IF(L466&gt;0,(1-M466)/L466,1)</f>
        <v>0.999193087566</v>
      </c>
      <c r="O466" s="41">
        <f>IF(L466&gt;0,(L466-1+M466)/L466^2,1/2)</f>
        <v>0.499730993011</v>
      </c>
      <c r="P466" s="41">
        <f>(C_air_CO2/C_sat_CO2*F_vent_ex-CO2_fix_l)*(B466/3600)/(V_L_CO2+Vg_CO2)</f>
        <v>3.731579144956e-06</v>
      </c>
      <c r="Q466" s="41">
        <f>(P466*N466+pool_b*M466)/(1-pool_ret*M466)</f>
        <v>27.574178027252</v>
      </c>
      <c r="R466" s="41">
        <f>MIN(C_sat_CO2,MAX(C_air_CO2,(pool_ret*Q466+pool_b)*N466+P466*O466))</f>
        <v>27.596450071697</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IF(C467&gt;0,(1-D467)/C467,1)</f>
        <v>0.999818658158</v>
      </c>
      <c r="F467" s="41">
        <f>IF(C467&gt;0,(C467-1+D467)/C467^2,1/2)</f>
        <v>0.499939551164</v>
      </c>
      <c r="G467" s="41">
        <f>(C_air_CO2/C_sat_CO2*F_vent_ex-CO2_fix_sched)*(B467/3600)/(V_L_CO2+Vg_CO2)</f>
        <v>-0.004793181976</v>
      </c>
      <c r="H467" s="41">
        <f>(G467*E467+pool_b*D467)/(1-pool_ret*D467)</f>
        <v>27.894529145055</v>
      </c>
      <c r="I467" s="41">
        <f>MIN(C_sat_CO2,MAX(C_air_CO2,(pool_ret*H467+pool_b)*E467+G467*F467))</f>
        <v>27.901985694515</v>
      </c>
      <c r="J467" s="41">
        <f>IF(AND(I467&gt;=CO2_pH_hi_mt,I468&lt;CO2_pH_hi_mt),EXP(LN(A467)+(LN(A468)-LN(A467))*(I467-CO2_pH_hi_mt)/(I467-I468)),0)</f>
        <v>0.0</v>
      </c>
      <c r="L467" s="41">
        <f>k_eff_CO2_l*B467</f>
        <v>0.001814229061</v>
      </c>
      <c r="M467" s="41">
        <f>EXP(-L467)</f>
        <v>0.998187415658</v>
      </c>
      <c r="N467" s="41">
        <f>IF(L467&gt;0,(1-M467)/L467,1)</f>
        <v>0.999093433792</v>
      </c>
      <c r="O467" s="41">
        <f>IF(L467&gt;0,(L467-1+M467)/L467^2,1/2)</f>
        <v>0.499697765583</v>
      </c>
      <c r="P467" s="41">
        <f>(C_air_CO2/C_sat_CO2*F_vent_ex-CO2_fix_l)*(B467/3600)/(V_L_CO2+Vg_CO2)</f>
        <v>4.192708353356e-06</v>
      </c>
      <c r="Q467" s="41">
        <f>(P467*N467+pool_b*M467)/(1-pool_ret*M467)</f>
        <v>27.51576522038</v>
      </c>
      <c r="R467" s="41">
        <f>MIN(C_sat_CO2,MAX(C_air_CO2,(pool_ret*Q467+pool_b)*N467+P467*O467))</f>
        <v>27.540738174412</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IF(C468&gt;0,(1-D468)/C468,1)</f>
        <v>0.999796321918</v>
      </c>
      <c r="F468" s="41">
        <f>IF(C468&gt;0,(C468-1+D468)/C468^2,1/2)</f>
        <v>0.499932105242</v>
      </c>
      <c r="G468" s="41">
        <f>(C_air_CO2/C_sat_CO2*F_vent_ex-CO2_fix_sched)*(B468/3600)/(V_L_CO2+Vg_CO2)</f>
        <v>-0.005383648035</v>
      </c>
      <c r="H468" s="41">
        <f>(G468*E468+pool_b*D468)/(1-pool_ret*D468)</f>
        <v>27.874756588559</v>
      </c>
      <c r="I468" s="41">
        <f>MIN(C_sat_CO2,MAX(C_air_CO2,(pool_ret*H468+pool_b)*E468+G468*F468))</f>
        <v>27.883127797389</v>
      </c>
      <c r="J468" s="41">
        <f>IF(AND(I468&gt;=CO2_pH_hi_mt,I469&lt;CO2_pH_hi_mt),EXP(LN(A468)+(LN(A469)-LN(A468))*(I468-CO2_pH_hi_mt)/(I468-I469)),0)</f>
        <v>0.0</v>
      </c>
      <c r="L468" s="41">
        <f>k_eff_CO2_l*B468</f>
        <v>0.002037721657</v>
      </c>
      <c r="M468" s="41">
        <f>EXP(-L468)</f>
        <v>0.997964353088</v>
      </c>
      <c r="N468" s="41">
        <f>IF(L468&gt;0,(1-M468)/L468,1)</f>
        <v>0.998981830871</v>
      </c>
      <c r="O468" s="41">
        <f>IF(L468&gt;0,(L468-1+M468)/L468^2,1/2)</f>
        <v>0.499660552664</v>
      </c>
      <c r="P468" s="41">
        <f>(C_air_CO2/C_sat_CO2*F_vent_ex-CO2_fix_l)*(B468/3600)/(V_L_CO2+Vg_CO2)</f>
        <v>4.709202821973e-06</v>
      </c>
      <c r="Q468" s="41">
        <f>(P468*N468+pool_b*M468)/(1-pool_ret*M468)</f>
        <v>27.450618527534</v>
      </c>
      <c r="R468" s="41">
        <f>MIN(C_sat_CO2,MAX(C_air_CO2,(pool_ret*Q468+pool_b)*N468+P468*O468))</f>
        <v>27.478603538196</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IF(C469&gt;0,(1-D469)/C469,1)</f>
        <v>0.999771304678</v>
      </c>
      <c r="F469" s="41">
        <f>IF(C469&gt;0,(C469-1+D469)/C469^2,1/2)</f>
        <v>0.499923765043</v>
      </c>
      <c r="G469" s="41">
        <f>(C_air_CO2/C_sat_CO2*F_vent_ex-CO2_fix_sched)*(B469/3600)/(V_L_CO2+Vg_CO2)</f>
        <v>-0.006045008121</v>
      </c>
      <c r="H469" s="41">
        <f>(G469*E469+pool_b*D469)/(1-pool_ret*D469)</f>
        <v>27.852631572936</v>
      </c>
      <c r="I469" s="41">
        <f>MIN(C_sat_CO2,MAX(C_air_CO2,(pool_ret*H469+pool_b)*E469+G469*F469))</f>
        <v>27.862026247405</v>
      </c>
      <c r="J469" s="41">
        <f>IF(AND(I469&gt;=CO2_pH_hi_mt,I470&lt;CO2_pH_hi_mt),EXP(LN(A469)+(LN(A470)-LN(A469))*(I469-CO2_pH_hi_mt)/(I469-I470)),0)</f>
        <v>0.0</v>
      </c>
      <c r="L469" s="41">
        <f>k_eff_CO2_l*B469</f>
        <v>0.002288047786</v>
      </c>
      <c r="M469" s="41">
        <f>EXP(-L469)</f>
        <v>0.9977145678</v>
      </c>
      <c r="N469" s="41">
        <f>IF(L469&gt;0,(1-M469)/L469,1)</f>
        <v>0.998856848135</v>
      </c>
      <c r="O469" s="41">
        <f>IF(L469&gt;0,(L469-1+M469)/L469^2,1/2)</f>
        <v>0.499618876737</v>
      </c>
      <c r="P469" s="41">
        <f>(C_air_CO2/C_sat_CO2*F_vent_ex-CO2_fix_l)*(B469/3600)/(V_L_CO2+Vg_CO2)</f>
        <v>5.287709954579e-06</v>
      </c>
      <c r="Q469" s="41">
        <f>(P469*N469+pool_b*M469)/(1-pool_ret*M469)</f>
        <v>27.37799819766</v>
      </c>
      <c r="R469" s="41">
        <f>MIN(C_sat_CO2,MAX(C_air_CO2,(pool_ret*Q469+pool_b)*N469+P469*O469))</f>
        <v>27.409340537586</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IF(C470&gt;0,(1-D470)/C470,1)</f>
        <v>0.999743284746</v>
      </c>
      <c r="F470" s="41">
        <f>IF(C470&gt;0,(C470-1+D470)/C470^2,1/2)</f>
        <v>0.499914424862</v>
      </c>
      <c r="G470" s="41">
        <f>(C_air_CO2/C_sat_CO2*F_vent_ex-CO2_fix_sched)*(B470/3600)/(V_L_CO2+Vg_CO2)</f>
        <v>-0.006785774094</v>
      </c>
      <c r="H470" s="41">
        <f>(G470*E470+pool_b*D470)/(1-pool_ret*D470)</f>
        <v>27.827877088271</v>
      </c>
      <c r="I470" s="41">
        <f>MIN(C_sat_CO2,MAX(C_air_CO2,(pool_ret*H470+pool_b)*E470+G470*F470))</f>
        <v>27.838416842784</v>
      </c>
      <c r="J470" s="41">
        <f>IF(AND(I470&gt;=CO2_pH_hi_mt,I471&lt;CO2_pH_hi_mt),EXP(LN(A470)+(LN(A471)-LN(A470))*(I470-CO2_pH_hi_mt)/(I470-I471)),0)</f>
        <v>0.0</v>
      </c>
      <c r="L470" s="41">
        <f>k_eff_CO2_l*B470</f>
        <v>0.002568429203</v>
      </c>
      <c r="M470" s="41">
        <f>EXP(-L470)</f>
        <v>0.997434866389</v>
      </c>
      <c r="N470" s="41">
        <f>IF(L470&gt;0,(1-M470)/L470,1)</f>
        <v>0.998716884164</v>
      </c>
      <c r="O470" s="41">
        <f>IF(L470&gt;0,(L470-1+M470)/L470^2,1/2)</f>
        <v>0.499572203195</v>
      </c>
      <c r="P470" s="41">
        <f>(C_air_CO2/C_sat_CO2*F_vent_ex-CO2_fix_l)*(B470/3600)/(V_L_CO2+Vg_CO2)</f>
        <v>5.935675272332e-06</v>
      </c>
      <c r="Q470" s="41">
        <f>(P470*N470+pool_b*M470)/(1-pool_ret*M470)</f>
        <v>27.297092231353</v>
      </c>
      <c r="R470" s="41">
        <f>MIN(C_sat_CO2,MAX(C_air_CO2,(pool_ret*Q470+pool_b)*N470+P470*O470))</f>
        <v>27.332174617054</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IF(C471&gt;0,(1-D471)/C471,1)</f>
        <v>0.999711901857</v>
      </c>
      <c r="F471" s="41">
        <f>IF(C471&gt;0,(C471-1+D471)/C471^2,1/2)</f>
        <v>0.499903962847</v>
      </c>
      <c r="G471" s="41">
        <f>(C_air_CO2/C_sat_CO2*F_vent_ex-CO2_fix_sched)*(B471/3600)/(V_L_CO2+Vg_CO2)</f>
        <v>-0.007615479783</v>
      </c>
      <c r="H471" s="41">
        <f>(G471*E471+pool_b*D471)/(1-pool_ret*D471)</f>
        <v>27.800184232766</v>
      </c>
      <c r="I471" s="41">
        <f>MIN(C_sat_CO2,MAX(C_air_CO2,(pool_ret*H471+pool_b)*E471+G471*F471))</f>
        <v>27.812004963448</v>
      </c>
      <c r="J471" s="41">
        <f>IF(AND(I471&gt;=CO2_pH_hi_mt,I472&lt;CO2_pH_hi_mt),EXP(LN(A471)+(LN(A472)-LN(A471))*(I471-CO2_pH_hi_mt)/(I471-I472)),0)</f>
        <v>0.0</v>
      </c>
      <c r="L471" s="41">
        <f>k_eff_CO2_l*B471</f>
        <v>0.002882474483</v>
      </c>
      <c r="M471" s="41">
        <f>EXP(-L471)</f>
        <v>0.997121675858</v>
      </c>
      <c r="N471" s="41">
        <f>IF(L471&gt;0,(1-M471)/L471,1)</f>
        <v>0.998560146538</v>
      </c>
      <c r="O471" s="41">
        <f>IF(L471&gt;0,(L471-1+M471)/L471^2,1/2)</f>
        <v>0.499519933587</v>
      </c>
      <c r="P471" s="41">
        <f>(C_air_CO2/C_sat_CO2*F_vent_ex-CO2_fix_l)*(B471/3600)/(V_L_CO2+Vg_CO2)</f>
        <v>6.661438239367e-06</v>
      </c>
      <c r="Q471" s="41">
        <f>(P471*N471+pool_b*M471)/(1-pool_ret*M471)</f>
        <v>27.207011564803</v>
      </c>
      <c r="R471" s="41">
        <f>MIN(C_sat_CO2,MAX(C_air_CO2,(pool_ret*Q471+pool_b)*N471+P471*O471))</f>
        <v>27.246257691971</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IF(C472&gt;0,(1-D472)/C472,1)</f>
        <v>0.999676752556</v>
      </c>
      <c r="F472" s="41">
        <f>IF(C472&gt;0,(C472-1+D472)/C472^2,1/2)</f>
        <v>0.499892245265</v>
      </c>
      <c r="G472" s="41">
        <f>(C_air_CO2/C_sat_CO2*F_vent_ex-CO2_fix_sched)*(B472/3600)/(V_L_CO2+Vg_CO2)</f>
        <v>-0.008544803693</v>
      </c>
      <c r="H472" s="41">
        <f>(G472*E472+pool_b*D472)/(1-pool_ret*D472)</f>
        <v>27.76920872494</v>
      </c>
      <c r="I472" s="41">
        <f>MIN(C_sat_CO2,MAX(C_air_CO2,(pool_ret*H472+pool_b)*E472+G472*F472))</f>
        <v>27.782462244001</v>
      </c>
      <c r="J472" s="41">
        <f>IF(AND(I472&gt;=CO2_pH_hi_mt,I473&lt;CO2_pH_hi_mt),EXP(LN(A472)+(LN(A473)-LN(A472))*(I472-CO2_pH_hi_mt)/(I472-I473)),0)</f>
        <v>0.0</v>
      </c>
      <c r="L472" s="41">
        <f>k_eff_CO2_l*B472</f>
        <v>0.00323422546</v>
      </c>
      <c r="M472" s="41">
        <f>EXP(-L472)</f>
        <v>0.996770999013</v>
      </c>
      <c r="N472" s="41">
        <f>IF(L472&gt;0,(1-M472)/L472,1)</f>
        <v>0.99838462923</v>
      </c>
      <c r="O472" s="41">
        <f>IF(L472&gt;0,(L472-1+M472)/L472^2,1/2)</f>
        <v>0.499461397984</v>
      </c>
      <c r="P472" s="41">
        <f>(C_air_CO2/C_sat_CO2*F_vent_ex-CO2_fix_l)*(B472/3600)/(V_L_CO2+Vg_CO2)</f>
        <v>7.474339593635e-06</v>
      </c>
      <c r="Q472" s="41">
        <f>(P472*N472+pool_b*M472)/(1-pool_ret*M472)</f>
        <v>27.10678552176</v>
      </c>
      <c r="R472" s="41">
        <f>MIN(C_sat_CO2,MAX(C_air_CO2,(pool_ret*Q472+pool_b)*N472+P472*O472))</f>
        <v>27.15066380386</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IF(C473&gt;0,(1-D473)/C473,1)</f>
        <v>0.999637385027</v>
      </c>
      <c r="F473" s="41">
        <f>IF(C473&gt;0,(C473-1+D473)/C473^2,1/2)</f>
        <v>0.499879120998</v>
      </c>
      <c r="G473" s="41">
        <f>(C_air_CO2/C_sat_CO2*F_vent_ex-CO2_fix_sched)*(B473/3600)/(V_L_CO2+Vg_CO2)</f>
        <v>-0.009585706438</v>
      </c>
      <c r="H473" s="41">
        <f>(G473*E473+pool_b*D473)/(1-pool_ret*D473)</f>
        <v>27.734567081256</v>
      </c>
      <c r="I473" s="41">
        <f>MIN(C_sat_CO2,MAX(C_air_CO2,(pool_ret*H473+pool_b)*E473+G473*F473))</f>
        <v>27.74942292765</v>
      </c>
      <c r="J473" s="41">
        <f>IF(AND(I473&gt;=CO2_pH_hi_mt,I474&lt;CO2_pH_hi_mt),EXP(LN(A473)+(LN(A474)-LN(A473))*(I473-CO2_pH_hi_mt)/(I473-I474)),0)</f>
        <v>0.0</v>
      </c>
      <c r="L473" s="41">
        <f>k_eff_CO2_l*B473</f>
        <v>0.003628209252</v>
      </c>
      <c r="M473" s="41">
        <f>EXP(-L473)</f>
        <v>0.996378364746</v>
      </c>
      <c r="N473" s="41">
        <f>IF(L473&gt;0,(1-M473)/L473,1)</f>
        <v>0.998188087369</v>
      </c>
      <c r="O473" s="41">
        <f>IF(L473&gt;0,(L473-1+M473)/L473^2,1/2)</f>
        <v>0.499395846559</v>
      </c>
      <c r="P473" s="41">
        <f>(C_air_CO2/C_sat_CO2*F_vent_ex-CO2_fix_l)*(B473/3600)/(V_L_CO2+Vg_CO2)</f>
        <v>8.384841564368e-06</v>
      </c>
      <c r="Q473" s="41">
        <f>(P473*N473+pool_b*M473)/(1-pool_ret*M473)</f>
        <v>26.995357731268</v>
      </c>
      <c r="R473" s="41">
        <f>MIN(C_sat_CO2,MAX(C_air_CO2,(pool_ret*Q473+pool_b)*N473+P473*O473))</f>
        <v>27.044385218249</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IF(C474&gt;0,(1-D474)/C474,1)</f>
        <v>0.99959329331</v>
      </c>
      <c r="F474" s="41">
        <f>IF(C474&gt;0,(C474-1+D474)/C474^2,1/2)</f>
        <v>0.499864421983</v>
      </c>
      <c r="G474" s="41">
        <f>(C_air_CO2/C_sat_CO2*F_vent_ex-CO2_fix_sched)*(B474/3600)/(V_L_CO2+Vg_CO2)</f>
        <v>-0.010751584679</v>
      </c>
      <c r="H474" s="41">
        <f>(G474*E474+pool_b*D474)/(1-pool_ret*D474)</f>
        <v>27.695832439381</v>
      </c>
      <c r="I474" s="41">
        <f>MIN(C_sat_CO2,MAX(C_air_CO2,(pool_ret*H474+pool_b)*E474+G474*F474))</f>
        <v>27.712479881891</v>
      </c>
      <c r="J474" s="41">
        <f>IF(AND(I474&gt;=CO2_pH_hi_mt,I475&lt;CO2_pH_hi_mt),EXP(LN(A474)+(LN(A475)-LN(A474))*(I474-CO2_pH_hi_mt)/(I474-I475)),0)</f>
        <v>0.0</v>
      </c>
      <c r="L474" s="41">
        <f>k_eff_CO2_l*B474</f>
        <v>0.004069496521</v>
      </c>
      <c r="M474" s="41">
        <f>EXP(-L474)</f>
        <v>0.995938772659</v>
      </c>
      <c r="N474" s="41">
        <f>IF(L474&gt;0,(1-M474)/L474,1)</f>
        <v>0.997968009067</v>
      </c>
      <c r="O474" s="41">
        <f>IF(L474&gt;0,(L474-1+M474)/L474^2,1/2)</f>
        <v>0.499322440053</v>
      </c>
      <c r="P474" s="41">
        <f>(C_air_CO2/C_sat_CO2*F_vent_ex-CO2_fix_l)*(B474/3600)/(V_L_CO2+Vg_CO2)</f>
        <v>9.4046625234e-06</v>
      </c>
      <c r="Q474" s="41">
        <f>(P474*N474+pool_b*M474)/(1-pool_ret*M474)</f>
        <v>26.871582757376</v>
      </c>
      <c r="R474" s="41">
        <f>MIN(C_sat_CO2,MAX(C_air_CO2,(pool_ret*Q474+pool_b)*N474+P474*O474))</f>
        <v>26.926329199617</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IF(C475&gt;0,(1-D475)/C475,1)</f>
        <v>0.999543910819</v>
      </c>
      <c r="F475" s="41">
        <f>IF(C475&gt;0,(C475-1+D475)/C475^2,1/2)</f>
        <v>0.499847958677</v>
      </c>
      <c r="G475" s="41">
        <f>(C_air_CO2/C_sat_CO2*F_vent_ex-CO2_fix_sched)*(B475/3600)/(V_L_CO2+Vg_CO2)</f>
        <v>-0.012057443539</v>
      </c>
      <c r="H475" s="41">
        <f>(G475*E475+pool_b*D475)/(1-pool_ret*D475)</f>
        <v>27.652530009647</v>
      </c>
      <c r="I475" s="41">
        <f>MIN(C_sat_CO2,MAX(C_air_CO2,(pool_ret*H475+pool_b)*E475+G475*F475))</f>
        <v>27.671180259514</v>
      </c>
      <c r="J475" s="41">
        <f>IF(AND(I475&gt;=CO2_pH_hi_mt,I476&lt;CO2_pH_hi_mt),EXP(LN(A475)+(LN(A476)-LN(A475))*(I475-CO2_pH_hi_mt)/(I475-I476)),0)</f>
        <v>0.0</v>
      </c>
      <c r="L475" s="41">
        <f>k_eff_CO2_l*B475</f>
        <v>0.004563766738</v>
      </c>
      <c r="M475" s="41">
        <f>EXP(-L475)</f>
        <v>0.995446631421</v>
      </c>
      <c r="N475" s="41">
        <f>IF(L475&gt;0,(1-M475)/L475,1)</f>
        <v>0.997721584002</v>
      </c>
      <c r="O475" s="41">
        <f>IF(L475&gt;0,(L475-1+M475)/L475^2,1/2)</f>
        <v>0.499240239251</v>
      </c>
      <c r="P475" s="41">
        <f>(C_air_CO2/C_sat_CO2*F_vent_ex-CO2_fix_l)*(B475/3600)/(V_L_CO2+Vg_CO2)</f>
        <v>1.054692780334e-05</v>
      </c>
      <c r="Q475" s="41">
        <f>(P475*N475+pool_b*M475)/(1-pool_ret*M475)</f>
        <v>26.734223741898</v>
      </c>
      <c r="R475" s="41">
        <f>MIN(C_sat_CO2,MAX(C_air_CO2,(pool_ret*Q475+pool_b)*N475+P475*O475))</f>
        <v>26.795315750177</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IF(C476&gt;0,(1-D476)/C476,1)</f>
        <v>0.999488603106</v>
      </c>
      <c r="F476" s="41">
        <f>IF(C476&gt;0,(C476-1+D476)/C476^2,1/2)</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0.005117381274</v>
      </c>
      <c r="M476" s="41">
        <f>EXP(-L476)</f>
        <v>0.994895690214</v>
      </c>
      <c r="N476" s="41">
        <f>IF(L476&gt;0,(1-M476)/L476,1)</f>
        <v>0.997445668383</v>
      </c>
      <c r="O476" s="41">
        <f>IF(L476&gt;0,(L476-1+M476)/L476^2,1/2)</f>
        <v>0.499148193155</v>
      </c>
      <c r="P476" s="41">
        <f>(C_air_CO2/C_sat_CO2*F_vent_ex-CO2_fix_l)*(B476/3600)/(V_L_CO2+Vg_CO2)</f>
        <v>1.182633862363e-05</v>
      </c>
      <c r="Q476" s="41">
        <f>(P476*N476+pool_b*M476)/(1-pool_ret*M476)</f>
        <v>26.581951421994</v>
      </c>
      <c r="R476" s="41">
        <f>MIN(C_sat_CO2,MAX(C_air_CO2,(pool_ret*Q476+pool_b)*N476+P476*O476))</f>
        <v>26.650076657074</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IF(C477&gt;0,(1-D477)/C477,1)</f>
        <v>0.999426659743</v>
      </c>
      <c r="F477" s="41">
        <f>IF(C477&gt;0,(C477-1+D477)/C477^2,1/2)</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0.005737465278</v>
      </c>
      <c r="M477" s="41">
        <f>EXP(-L477)</f>
        <v>0.994278962543</v>
      </c>
      <c r="N477" s="41">
        <f>IF(L477&gt;0,(1-M477)/L477,1)</f>
        <v>0.997136745918</v>
      </c>
      <c r="O477" s="41">
        <f>IF(L477&gt;0,(L477-1+M477)/L477^2,1/2)</f>
        <v>0.499045125818</v>
      </c>
      <c r="P477" s="41">
        <f>(C_air_CO2/C_sat_CO2*F_vent_ex-CO2_fix_l)*(B477/3600)/(V_L_CO2+Vg_CO2)</f>
        <v>1.325936129869e-05</v>
      </c>
      <c r="Q477" s="41">
        <f>(P477*N477+pool_b*M477)/(1-pool_ret*M477)</f>
        <v>26.413344949309</v>
      </c>
      <c r="R477" s="41">
        <f>MIN(C_sat_CO2,MAX(C_air_CO2,(pool_ret*Q477+pool_b)*N477+P477*O477))</f>
        <v>26.489256254444</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IF(C478&gt;0,(1-D478)/C478,1)</f>
        <v>0.999357285258</v>
      </c>
      <c r="F478" s="41">
        <f>IF(C478&gt;0,(C478-1+D478)/C478^2,1/2)</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0.006431999374</v>
      </c>
      <c r="M478" s="41">
        <f>EXP(-L478)</f>
        <v>0.993588641656</v>
      </c>
      <c r="N478" s="41">
        <f>IF(L478&gt;0,(1-M478)/L478,1)</f>
        <v>0.996790884342</v>
      </c>
      <c r="O478" s="41">
        <f>IF(L478&gt;0,(L478-1+M478)/L478^2,1/2)</f>
        <v>0.498929721665</v>
      </c>
      <c r="P478" s="41">
        <f>(C_air_CO2/C_sat_CO2*F_vent_ex-CO2_fix_l)*(B478/3600)/(V_L_CO2+Vg_CO2)</f>
        <v>1.486443916318e-05</v>
      </c>
      <c r="Q478" s="41">
        <f>(P478*N478+pool_b*M478)/(1-pool_ret*M478)</f>
        <v>26.226895004212</v>
      </c>
      <c r="R478" s="41">
        <f>MIN(C_sat_CO2,MAX(C_air_CO2,(pool_ret*Q478+pool_b)*N478+P478*O478))</f>
        <v>26.311414370456</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IF(C479&gt;0,(1-D479)/C479,1)</f>
        <v>0.999279588982</v>
      </c>
      <c r="F479" s="41">
        <f>IF(C479&gt;0,(C479-1+D479)/C479^2,1/2)</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0.007209922378</v>
      </c>
      <c r="M479" s="41">
        <f>EXP(-L479)</f>
        <v>0.992816006759</v>
      </c>
      <c r="N479" s="41">
        <f>IF(L479&gt;0,(1-M479)/L479,1)</f>
        <v>0.996403687047</v>
      </c>
      <c r="O479" s="41">
        <f>IF(L479&gt;0,(L479-1+M479)/L479^2,1/2)</f>
        <v>0.498800509109</v>
      </c>
      <c r="P479" s="41">
        <f>(C_air_CO2/C_sat_CO2*F_vent_ex-CO2_fix_l)*(B479/3600)/(V_L_CO2+Vg_CO2)</f>
        <v>1.6662229942e-05</v>
      </c>
      <c r="Q479" s="41">
        <f>(P479*N479+pool_b*M479)/(1-pool_ret*M479)</f>
        <v>26.021009763427</v>
      </c>
      <c r="R479" s="41">
        <f>MIN(C_sat_CO2,MAX(C_air_CO2,(pool_ret*Q479+pool_b)*N479+P479*O479))</f>
        <v>26.115031991102</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IF(C480&gt;0,(1-D480)/C480,1)</f>
        <v>0.999192573703</v>
      </c>
      <c r="F480" s="41">
        <f>IF(C480&gt;0,(C480-1+D480)/C480^2,1/2)</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0.00808124634</v>
      </c>
      <c r="M480" s="41">
        <f>EXP(-L480)</f>
        <v>0.991951319149</v>
      </c>
      <c r="N480" s="41">
        <f>IF(L480&gt;0,(1-M480)/L480,1)</f>
        <v>0.9959702393</v>
      </c>
      <c r="O480" s="41">
        <f>IF(L480&gt;0,(L480-1+M480)/L480^2,1/2)</f>
        <v>0.498655842324</v>
      </c>
      <c r="P480" s="41">
        <f>(C_air_CO2/C_sat_CO2*F_vent_ex-CO2_fix_l)*(B480/3600)/(V_L_CO2+Vg_CO2)</f>
        <v>1.867587162004e-05</v>
      </c>
      <c r="Q480" s="41">
        <f>(P480*N480+pool_b*M480)/(1-pool_ret*M480)</f>
        <v>25.794024336465</v>
      </c>
      <c r="R480" s="41">
        <f>MIN(C_sat_CO2,MAX(C_air_CO2,(pool_ret*Q480+pool_b)*N480+P480*O480))</f>
        <v>25.898520226917</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IF(C481&gt;0,(1-D481)/C481,1)</f>
        <v>0.999095122972</v>
      </c>
      <c r="F481" s="41">
        <f>IF(C481&gt;0,(C481-1+D481)/C481^2,1/2)</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0.0090571854</v>
      </c>
      <c r="M481" s="41">
        <f>EXP(-L481)</f>
        <v>0.990983707353</v>
      </c>
      <c r="N481" s="41">
        <f>IF(L481&gt;0,(1-M481)/L481,1)</f>
        <v>0.9954850485</v>
      </c>
      <c r="O481" s="41">
        <f>IF(L481&gt;0,(L481-1+M481)/L481^2,1/2)</f>
        <v>0.498493880942</v>
      </c>
      <c r="P481" s="41">
        <f>(C_air_CO2/C_sat_CO2*F_vent_ex-CO2_fix_l)*(B481/3600)/(V_L_CO2+Vg_CO2)</f>
        <v>2.093128023336e-05</v>
      </c>
      <c r="Q481" s="41">
        <f>(P481*N481+pool_b*M481)/(1-pool_ret*M481)</f>
        <v>25.544214328207</v>
      </c>
      <c r="R481" s="41">
        <f>MIN(C_sat_CO2,MAX(C_air_CO2,(pool_ret*Q481+pool_b)*N481+P481*O481))</f>
        <v>25.66023320874</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IF(C482&gt;0,(1-D482)/C482,1)</f>
        <v>0.998985986912</v>
      </c>
      <c r="F482" s="41">
        <f>IF(C482&gt;0,(C482-1+D482)/C482^2,1/2)</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0.010150300122</v>
      </c>
      <c r="M482" s="41">
        <f>EXP(-L482)</f>
        <v>0.989901040321</v>
      </c>
      <c r="N482" s="41">
        <f>IF(L482&gt;0,(1-M482)/L482,1)</f>
        <v>0.994941977886</v>
      </c>
      <c r="O482" s="41">
        <f>IF(L482&gt;0,(L482-1+M482)/L482^2,1/2)</f>
        <v>0.498312567471</v>
      </c>
      <c r="P482" s="41">
        <f>(C_air_CO2/C_sat_CO2*F_vent_ex-CO2_fix_l)*(B482/3600)/(V_L_CO2+Vg_CO2)</f>
        <v>2.345748341466e-05</v>
      </c>
      <c r="Q482" s="41">
        <f>(P482*N482+pool_b*M482)/(1-pool_ret*M482)</f>
        <v>25.269814202021</v>
      </c>
      <c r="R482" s="41">
        <f>MIN(C_sat_CO2,MAX(C_air_CO2,(pool_ret*Q482+pool_b)*N482+P482*O482))</f>
        <v>25.398485554821</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IF(C483&gt;0,(1-D483)/C483,1)</f>
        <v>0.998863766358</v>
      </c>
      <c r="F483" s="41">
        <f>IF(C483&gt;0,(C483-1+D483)/C483^2,1/2)</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0.011374659146</v>
      </c>
      <c r="M483" s="41">
        <f>EXP(-L483)</f>
        <v>0.988689787705</v>
      </c>
      <c r="N483" s="41">
        <f>IF(L483&gt;0,(1-M483)/L483,1)</f>
        <v>0.994334173058</v>
      </c>
      <c r="O483" s="41">
        <f>IF(L483&gt;0,(L483-1+M483)/L483^2,1/2)</f>
        <v>0.498109602188</v>
      </c>
      <c r="P483" s="41">
        <f>(C_air_CO2/C_sat_CO2*F_vent_ex-CO2_fix_l)*(B483/3600)/(V_L_CO2+Vg_CO2)</f>
        <v>2.628699398563e-05</v>
      </c>
      <c r="Q483" s="41">
        <f>(P483*N483+pool_b*M483)/(1-pool_ret*M483)</f>
        <v>24.969041097962</v>
      </c>
      <c r="R483" s="41">
        <f>MIN(C_sat_CO2,MAX(C_air_CO2,(pool_ret*Q483+pool_b)*N483+P483*O483))</f>
        <v>25.111575032629</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IF(C484&gt;0,(1-D484)/C484,1)</f>
        <v>0.998726895127</v>
      </c>
      <c r="F484" s="41">
        <f>IF(C484&gt;0,(C484-1+D484)/C484^2,1/2)</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0.012746020256</v>
      </c>
      <c r="M484" s="41">
        <f>EXP(-L484)</f>
        <v>0.987334866235</v>
      </c>
      <c r="N484" s="41">
        <f>IF(L484&gt;0,(1-M484)/L484,1)</f>
        <v>0.99365398065</v>
      </c>
      <c r="O484" s="41">
        <f>IF(L484&gt;0,(L484-1+M484)/L484^2,1/2)</f>
        <v>0.497882415281</v>
      </c>
      <c r="P484" s="41">
        <f>(C_air_CO2/C_sat_CO2*F_vent_ex-CO2_fix_l)*(B484/3600)/(V_L_CO2+Vg_CO2)</f>
        <v>2.945622840447e-05</v>
      </c>
      <c r="Q484" s="41">
        <f>(P484*N484+pool_b*M484)/(1-pool_ret*M484)</f>
        <v>24.640124690061</v>
      </c>
      <c r="R484" s="41">
        <f>MIN(C_sat_CO2,MAX(C_air_CO2,(pool_ret*Q484+pool_b)*N484+P484*O484))</f>
        <v>24.797810971454</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IF(C485&gt;0,(1-D485)/C485,1)</f>
        <v>0.998573620211</v>
      </c>
      <c r="F485" s="41">
        <f>IF(C485&gt;0,(C485-1+D485)/C485^2,1/2)</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0.01428203319</v>
      </c>
      <c r="M485" s="41">
        <f>EXP(-L485)</f>
        <v>0.985819471242</v>
      </c>
      <c r="N485" s="41">
        <f>IF(L485&gt;0,(1-M485)/L485,1)</f>
        <v>0.992892858446</v>
      </c>
      <c r="O485" s="41">
        <f>IF(L485&gt;0,(L485-1+M485)/L485^2,1/2)</f>
        <v>0.497628135936</v>
      </c>
      <c r="P485" s="41">
        <f>(C_air_CO2/C_sat_CO2*F_vent_ex-CO2_fix_l)*(B485/3600)/(V_L_CO2+Vg_CO2)</f>
        <v>3.300597545424e-05</v>
      </c>
      <c r="Q485" s="41">
        <f>(P485*N485+pool_b*M485)/(1-pool_ret*M485)</f>
        <v>24.281343530383</v>
      </c>
      <c r="R485" s="41">
        <f>MIN(C_sat_CO2,MAX(C_air_CO2,(pool_ret*Q485+pool_b)*N485+P485*O485))</f>
        <v>24.455548851896</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IF(C486&gt;0,(1-D486)/C486,1)</f>
        <v>0.99840197966</v>
      </c>
      <c r="F486" s="41">
        <f>IF(C486&gt;0,(C486-1+D486)/C486^2,1/2)</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0.016002466789</v>
      </c>
      <c r="M486" s="41">
        <f>EXP(-L486)</f>
        <v>0.984124892424</v>
      </c>
      <c r="N486" s="41">
        <f>IF(L486&gt;0,(1-M486)/L486,1)</f>
        <v>0.992041276229</v>
      </c>
      <c r="O486" s="41">
        <f>IF(L486&gt;0,(L486-1+M486)/L486^2,1/2)</f>
        <v>0.4973435581</v>
      </c>
      <c r="P486" s="41">
        <f>(C_air_CO2/C_sat_CO2*F_vent_ex-CO2_fix_l)*(B486/3600)/(V_L_CO2+Vg_CO2)</f>
        <v>3.698192120394e-05</v>
      </c>
      <c r="Q486" s="41">
        <f>(P486*N486+pool_b*M486)/(1-pool_ret*M486)</f>
        <v>23.891068110554</v>
      </c>
      <c r="R486" s="41">
        <f>MIN(C_sat_CO2,MAX(C_air_CO2,(pool_ret*Q486+pool_b)*N486+P486*O486))</f>
        <v>24.083231291527</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IF(C487&gt;0,(1-D487)/C487,1)</f>
        <v>0.998209777881</v>
      </c>
      <c r="F487" s="41">
        <f>IF(C487&gt;0,(C487-1+D487)/C487^2,1/2)</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0.017929463435</v>
      </c>
      <c r="M487" s="41">
        <f>EXP(-L487)</f>
        <v>0.982230313067</v>
      </c>
      <c r="N487" s="41">
        <f>IF(L487&gt;0,(1-M487)/L487,1)</f>
        <v>0.991088606597</v>
      </c>
      <c r="O487" s="41">
        <f>IF(L487&gt;0,(L487-1+M487)/L487^2,1/2)</f>
        <v>0.497025102609</v>
      </c>
      <c r="P487" s="41">
        <f>(C_air_CO2/C_sat_CO2*F_vent_ex-CO2_fix_l)*(B487/3600)/(V_L_CO2+Vg_CO2)</f>
        <v>4.143523699879e-05</v>
      </c>
      <c r="Q487" s="41">
        <f>(P487*N487+pool_b*M487)/(1-pool_ret*M487)</f>
        <v>23.467810561163</v>
      </c>
      <c r="R487" s="41">
        <f>MIN(C_sat_CO2,MAX(C_air_CO2,(pool_ret*Q487+pool_b)*N487+P487*O487))</f>
        <v>23.679435350212</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IF(C488&gt;0,(1-D488)/C488,1)</f>
        <v>0.997994558075</v>
      </c>
      <c r="F488" s="41">
        <f>IF(C488&gt;0,(C488-1+D488)/C488^2,1/2)</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0.020087824021</v>
      </c>
      <c r="M488" s="41">
        <f>EXP(-L488)</f>
        <v>0.980112592098</v>
      </c>
      <c r="N488" s="41">
        <f>IF(L488&gt;0,(1-M488)/L488,1)</f>
        <v>0.990023005044</v>
      </c>
      <c r="O488" s="41">
        <f>IF(L488&gt;0,(L488-1+M488)/L488^2,1/2)</f>
        <v>0.496668775368</v>
      </c>
      <c r="P488" s="41">
        <f>(C_air_CO2/C_sat_CO2*F_vent_ex-CO2_fix_l)*(B488/3600)/(V_L_CO2+Vg_CO2)</f>
        <v>4.642323804741e-05</v>
      </c>
      <c r="Q488" s="41">
        <f>(P488*N488+pool_b*M488)/(1-pool_ret*M488)</f>
        <v>23.010280498267</v>
      </c>
      <c r="R488" s="41">
        <f>MIN(C_sat_CO2,MAX(C_air_CO2,(pool_ret*Q488+pool_b)*N488+P488*O488))</f>
        <v>23.242925686657</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IF(C489&gt;0,(1-D489)/C489,1)</f>
        <v>0.997753571482</v>
      </c>
      <c r="F489" s="41">
        <f>IF(C489&gt;0,(C489-1+D489)/C489^2,1/2)</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0.022505327149</v>
      </c>
      <c r="M489" s="41">
        <f>EXP(-L489)</f>
        <v>0.97774602858</v>
      </c>
      <c r="N489" s="41">
        <f>IF(L489&gt;0,(1-M489)/L489,1)</f>
        <v>0.988831278567</v>
      </c>
      <c r="O489" s="41">
        <f>IF(L489&gt;0,(L489-1+M489)/L489^2,1/2)</f>
        <v>0.496270121247</v>
      </c>
      <c r="P489" s="41">
        <f>(C_air_CO2/C_sat_CO2*F_vent_ex-CO2_fix_l)*(B489/3600)/(V_L_CO2+Vg_CO2)</f>
        <v>5.201012108179e-05</v>
      </c>
      <c r="Q489" s="41">
        <f>(P489*N489+pool_b*M489)/(1-pool_ret*M489)</f>
        <v>22.517446015115</v>
      </c>
      <c r="R489" s="41">
        <f>MIN(C_sat_CO2,MAX(C_air_CO2,(pool_ret*Q489+pool_b)*N489+P489*O489))</f>
        <v>22.772712610607</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IF(C490&gt;0,(1-D490)/C490,1)</f>
        <v>0.997483743094</v>
      </c>
      <c r="F490" s="41">
        <f>IF(C490&gt;0,(C490-1+D490)/C490^2,1/2)</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0.025213086647</v>
      </c>
      <c r="M490" s="41">
        <f>EXP(-L490)</f>
        <v>0.97510210865</v>
      </c>
      <c r="N490" s="41">
        <f>IF(L490&gt;0,(1-M490)/L490,1)</f>
        <v>0.987498742155</v>
      </c>
      <c r="O490" s="41">
        <f>IF(L490&gt;0,(L490-1+M490)/L490^2,1/2)</f>
        <v>0.495824173374</v>
      </c>
      <c r="P490" s="41">
        <f>(C_air_CO2/C_sat_CO2*F_vent_ex-CO2_fix_l)*(B490/3600)/(V_L_CO2+Vg_CO2)</f>
        <v>5.826779058419e-05</v>
      </c>
      <c r="Q490" s="41">
        <f>(P490*N490+pool_b*M490)/(1-pool_ret*M490)</f>
        <v>21.98859821984</v>
      </c>
      <c r="R490" s="41">
        <f>MIN(C_sat_CO2,MAX(C_air_CO2,(pool_ret*Q490+pool_b)*N490+P490*O490))</f>
        <v>22.268113505686</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IF(C491&gt;0,(1-D491)/C491,1)</f>
        <v>0.997181633443</v>
      </c>
      <c r="F491" s="41">
        <f>IF(C491&gt;0,(C491-1+D491)/C491^2,1/2)</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0.028245952008</v>
      </c>
      <c r="M491" s="41">
        <f>EXP(-L491)</f>
        <v>0.972149235338</v>
      </c>
      <c r="N491" s="41">
        <f>IF(L491&gt;0,(1-M491)/L491,1)</f>
        <v>0.986009062594</v>
      </c>
      <c r="O491" s="41">
        <f>IF(L491&gt;0,(L491-1+M491)/L491^2,1/2)</f>
        <v>0.495325397491</v>
      </c>
      <c r="P491" s="41">
        <f>(C_air_CO2/C_sat_CO2*F_vent_ex-CO2_fix_l)*(B491/3600)/(V_L_CO2+Vg_CO2)</f>
        <v>6.527678421448e-05</v>
      </c>
      <c r="Q491" s="41">
        <f>(P491*N491+pool_b*M491)/(1-pool_ret*M491)</f>
        <v>21.423417065869</v>
      </c>
      <c r="R491" s="41">
        <f>MIN(C_sat_CO2,MAX(C_air_CO2,(pool_ret*Q491+pool_b)*N491+P491*O491))</f>
        <v>21.728815474585</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IF(C492&gt;0,(1-D492)/C492,1)</f>
        <v>0.996843396043</v>
      </c>
      <c r="F492" s="41">
        <f>IF(C492&gt;0,(C492-1+D492)/C492^2,1/2)</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0.031642956913</v>
      </c>
      <c r="M492" s="41">
        <f>EXP(-L492)</f>
        <v>0.968852442399</v>
      </c>
      <c r="N492" s="41">
        <f>IF(L492&gt;0,(1-M492)/L492,1)</f>
        <v>0.984344089168</v>
      </c>
      <c r="O492" s="41">
        <f>IF(L492&gt;0,(L492-1+M492)/L492^2,1/2)</f>
        <v>0.494767631069</v>
      </c>
      <c r="P492" s="41">
        <f>(C_air_CO2/C_sat_CO2*F_vent_ex-CO2_fix_l)*(B492/3600)/(V_L_CO2+Vg_CO2)</f>
        <v>7.31273093486e-05</v>
      </c>
      <c r="Q492" s="41">
        <f>(P492*N492+pool_b*M492)/(1-pool_ret*M492)</f>
        <v>20.822035559883</v>
      </c>
      <c r="R492" s="41">
        <f>MIN(C_sat_CO2,MAX(C_air_CO2,(pool_ret*Q492+pool_b)*N492+P492*O492))</f>
        <v>21.154936427332</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IF(C493&gt;0,(1-D493)/C493,1)</f>
        <v>0.996464730024</v>
      </c>
      <c r="F493" s="41">
        <f>IF(C493&gt;0,(C493-1+D493)/C493^2,1/2)</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0.035447821605</v>
      </c>
      <c r="M493" s="41">
        <f>EXP(-L493)</f>
        <v>0.965173094099</v>
      </c>
      <c r="N493" s="41">
        <f>IF(L493&gt;0,(1-M493)/L493,1)</f>
        <v>0.982483671042</v>
      </c>
      <c r="O493" s="41">
        <f>IF(L493&gt;0,(L493-1+M493)/L493^2,1/2)</f>
        <v>0.494144016901</v>
      </c>
      <c r="P493" s="41">
        <f>(C_air_CO2/C_sat_CO2*F_vent_ex-CO2_fix_l)*(B493/3600)/(V_L_CO2+Vg_CO2)</f>
        <v>8.192040406836e-05</v>
      </c>
      <c r="Q493" s="41">
        <f>(P493*N493+pool_b*M493)/(1-pool_ret*M493)</f>
        <v>20.185098830106</v>
      </c>
      <c r="R493" s="41">
        <f>MIN(C_sat_CO2,MAX(C_air_CO2,(pool_ret*Q493+pool_b)*N493+P493*O493))</f>
        <v>20.547081259527</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IF(C494&gt;0,(1-D494)/C494,1)</f>
        <v>0.996040827462</v>
      </c>
      <c r="F494" s="41">
        <f>IF(C494&gt;0,(C494-1+D494)/C494^2,1/2)</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0.039709515576</v>
      </c>
      <c r="M494" s="41">
        <f>EXP(-L494)</f>
        <v>0.961068574059</v>
      </c>
      <c r="N494" s="41">
        <f>IF(L494&gt;0,(1-M494)/L494,1)</f>
        <v>0.98040546141</v>
      </c>
      <c r="O494" s="41">
        <f>IF(L494&gt;0,(L494-1+M494)/L494^2,1/2)</f>
        <v>0.493446930941</v>
      </c>
      <c r="P494" s="41">
        <f>(C_air_CO2/C_sat_CO2*F_vent_ex-CO2_fix_l)*(B494/3600)/(V_L_CO2+Vg_CO2)</f>
        <v>9.176923754507e-05</v>
      </c>
      <c r="Q494" s="41">
        <f>(P494*N494+pool_b*M494)/(1-pool_ret*M494)</f>
        <v>19.51381407935</v>
      </c>
      <c r="R494" s="41">
        <f>MIN(C_sat_CO2,MAX(C_air_CO2,(pool_ret*Q494+pool_b)*N494+P494*O494))</f>
        <v>19.906389330484</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IF(C495&gt;0,(1-D495)/C495,1)</f>
        <v>0.995566314856</v>
      </c>
      <c r="F495" s="41">
        <f>IF(C495&gt;0,(C495-1+D495)/C495^2,1/2)</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0.044482887817</v>
      </c>
      <c r="M495" s="41">
        <f>EXP(-L495)</f>
        <v>0.956491967619</v>
      </c>
      <c r="N495" s="41">
        <f>IF(L495&gt;0,(1-M495)/L495,1)</f>
        <v>0.978084708885</v>
      </c>
      <c r="O495" s="41">
        <f>IF(L495&gt;0,(L495-1+M495)/L495^2,1/2)</f>
        <v>0.492667904243</v>
      </c>
      <c r="P495" s="41">
        <f>(C_air_CO2/C_sat_CO2*F_vent_ex-CO2_fix_l)*(B495/3600)/(V_L_CO2+Vg_CO2)</f>
        <v>0.0001028005665531</v>
      </c>
      <c r="Q495" s="41">
        <f>(P495*N495+pool_b*M495)/(1-pool_ret*M495)</f>
        <v>18.80998722522</v>
      </c>
      <c r="R495" s="41">
        <f>MIN(C_sat_CO2,MAX(C_air_CO2,(pool_ret*Q495+pool_b)*N495+P495*O495))</f>
        <v>19.23456923948</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IF(C496&gt;0,(1-D496)/C496,1)</f>
        <v>0.995035188183</v>
      </c>
      <c r="F496" s="41">
        <f>IF(C496&gt;0,(C496-1+D496)/C496^2,1/2)</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0.049829372737</v>
      </c>
      <c r="M496" s="41">
        <f>EXP(-L496)</f>
        <v>0.951391744021</v>
      </c>
      <c r="N496" s="41">
        <f>IF(L496&gt;0,(1-M496)/L496,1)</f>
        <v>0.975494037121</v>
      </c>
      <c r="O496" s="41">
        <f>IF(L496&gt;0,(L496-1+M496)/L496^2,1/2)</f>
        <v>0.49179753894</v>
      </c>
      <c r="P496" s="41">
        <f>(C_air_CO2/C_sat_CO2*F_vent_ex-CO2_fix_l)*(B496/3600)/(V_L_CO2+Vg_CO2)</f>
        <v>0.0001151563668588</v>
      </c>
      <c r="Q496" s="41">
        <f>(P496*N496+pool_b*M496)/(1-pool_ret*M496)</f>
        <v>18.076042133077</v>
      </c>
      <c r="R496" s="41">
        <f>MIN(C_sat_CO2,MAX(C_air_CO2,(pool_ret*Q496+pool_b)*N496+P496*O496))</f>
        <v>18.533916996485</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IF(C497&gt;0,(1-D497)/C497,1)</f>
        <v>0.994440740881</v>
      </c>
      <c r="F497" s="41">
        <f>IF(C497&gt;0,(C497-1+D497)/C497^2,1/2)</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0.05581778084</v>
      </c>
      <c r="M497" s="41">
        <f>EXP(-L497)</f>
        <v>0.945711446936</v>
      </c>
      <c r="N497" s="41">
        <f>IF(L497&gt;0,(1-M497)/L497,1)</f>
        <v>0.972603214367</v>
      </c>
      <c r="O497" s="41">
        <f>IF(L497&gt;0,(L497-1+M497)/L497^2,1/2)</f>
        <v>0.490825418369</v>
      </c>
      <c r="P497" s="41">
        <f>(C_air_CO2/C_sat_CO2*F_vent_ex-CO2_fix_l)*(B497/3600)/(V_L_CO2+Vg_CO2)</f>
        <v>0.0001289956604819</v>
      </c>
      <c r="Q497" s="41">
        <f>(P497*N497+pool_b*M497)/(1-pool_ret*M497)</f>
        <v>17.315018845246</v>
      </c>
      <c r="R497" s="41">
        <f>MIN(C_sat_CO2,MAX(C_air_CO2,(pool_ret*Q497+pool_b)*N497+P497*O497))</f>
        <v>17.807314158056</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IF(C498&gt;0,(1-D498)/C498,1)</f>
        <v>0.993775484134</v>
      </c>
      <c r="F498" s="41">
        <f>IF(C498&gt;0,(C498-1+D498)/C498^2,1/2)</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0.062525184328</v>
      </c>
      <c r="M498" s="41">
        <f>EXP(-L498)</f>
        <v>0.939389404625</v>
      </c>
      <c r="N498" s="41">
        <f>IF(L498&gt;0,(1-M498)/L498,1)</f>
        <v>0.9693789155</v>
      </c>
      <c r="O498" s="41">
        <f>IF(L498&gt;0,(L498-1+M498)/L498^2,1/2)</f>
        <v>0.48974001163</v>
      </c>
      <c r="P498" s="41">
        <f>(C_air_CO2/C_sat_CO2*F_vent_ex-CO2_fix_l)*(B498/3600)/(V_L_CO2+Vg_CO2)</f>
        <v>0.0001444965623456</v>
      </c>
      <c r="Q498" s="41">
        <f>(P498*N498+pool_b*M498)/(1-pool_ret*M498)</f>
        <v>16.530548134749</v>
      </c>
      <c r="R498" s="41">
        <f>MIN(C_sat_CO2,MAX(C_air_CO2,(pool_ret*Q498+pool_b)*N498+P498*O498))</f>
        <v>17.05820338022</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IF(C499&gt;0,(1-D499)/C499,1)</f>
        <v>0.993031058731</v>
      </c>
      <c r="F499" s="41">
        <f>IF(C499&gt;0,(C499-1+D499)/C499^2,1/2)</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0.070037909042</v>
      </c>
      <c r="M499" s="41">
        <f>EXP(-L499)</f>
        <v>0.932358474419</v>
      </c>
      <c r="N499" s="41">
        <f>IF(L499&gt;0,(1-M499)/L499,1)</f>
        <v>0.965784480231</v>
      </c>
      <c r="O499" s="41">
        <f>IF(L499&gt;0,(L499-1+M499)/L499^2,1/2)</f>
        <v>0.488528573131</v>
      </c>
      <c r="P499" s="41">
        <f>(C_air_CO2/C_sat_CO2*F_vent_ex-CO2_fix_l)*(B499/3600)/(V_L_CO2+Vg_CO2)</f>
        <v>0.0001618585726571</v>
      </c>
      <c r="Q499" s="41">
        <f>(P499*N499+pool_b*M499)/(1-pool_ret*M499)</f>
        <v>15.72680104293</v>
      </c>
      <c r="R499" s="41">
        <f>MIN(C_sat_CO2,MAX(C_air_CO2,(pool_ret*Q499+pool_b)*N499+P499*O499))</f>
        <v>16.290540108444</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IF(C500&gt;0,(1-D500)/C500,1)</f>
        <v>0.992198137799</v>
      </c>
      <c r="F500" s="41">
        <f>IF(C500&gt;0,(C500-1+D500)/C500^2,1/2)</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0.078452645494</v>
      </c>
      <c r="M500" s="41">
        <f>EXP(-L500)</f>
        <v>0.924545840306</v>
      </c>
      <c r="N500" s="41">
        <f>IF(L500&gt;0,(1-M500)/L500,1)</f>
        <v>0.961779672545</v>
      </c>
      <c r="O500" s="41">
        <f>IF(L500&gt;0,(L500-1+M500)/L500^2,1/2)</f>
        <v>0.487177037999</v>
      </c>
      <c r="P500" s="41">
        <f>(C_air_CO2/C_sat_CO2*F_vent_ex-CO2_fix_l)*(B500/3600)/(V_L_CO2+Vg_CO2)</f>
        <v>0.0001813051445215</v>
      </c>
      <c r="Q500" s="41">
        <f>(P500*N500+pool_b*M500)/(1-pool_ret*M500)</f>
        <v>14.908413714787</v>
      </c>
      <c r="R500" s="41">
        <f>MIN(C_sat_CO2,MAX(C_air_CO2,(pool_ret*Q500+pool_b)*N500+P500*O500))</f>
        <v>15.508720701315</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IF(C501&gt;0,(1-D501)/C501,1)</f>
        <v>0.991266319666</v>
      </c>
      <c r="F501" s="41">
        <f>IF(C501&gt;0,(C501-1+D501)/C501^2,1/2)</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0.087877693297</v>
      </c>
      <c r="M501" s="41">
        <f>EXP(-L501)</f>
        <v>0.915872887267</v>
      </c>
      <c r="N501" s="41">
        <f>IF(L501&gt;0,(1-M501)/L501,1)</f>
        <v>0.957320448195</v>
      </c>
      <c r="O501" s="41">
        <f>IF(L501&gt;0,(L501-1+M501)/L501^2,1/2)</f>
        <v>0.485669914671</v>
      </c>
      <c r="P501" s="41">
        <f>(C_air_CO2/C_sat_CO2*F_vent_ex-CO2_fix_l)*(B501/3600)/(V_L_CO2+Vg_CO2)</f>
        <v>0.0002030865598355</v>
      </c>
      <c r="Q501" s="41">
        <f>(P501*N501+pool_b*M501)/(1-pool_ret*M501)</f>
        <v>14.080389679282</v>
      </c>
      <c r="R501" s="41">
        <f>MIN(C_sat_CO2,MAX(C_air_CO2,(pool_ret*Q501+pool_b)*N501+P501*O501))</f>
        <v>14.717489031555</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IF(C502&gt;0,(1-D502)/C502,1)</f>
        <v>0.990224010114</v>
      </c>
      <c r="F502" s="41">
        <f>IF(C502&gt;0,(C502-1+D502)/C502^2,1/2)</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0.098434355004</v>
      </c>
      <c r="M502" s="41">
        <f>EXP(-L502)</f>
        <v>0.906255181779</v>
      </c>
      <c r="N502" s="41">
        <f>IF(L502&gt;0,(1-M502)/L502,1)</f>
        <v>0.952358739149</v>
      </c>
      <c r="O502" s="41">
        <f>IF(L502&gt;0,(L502-1+M502)/L502^2,1/2)</f>
        <v>0.48399017649</v>
      </c>
      <c r="P502" s="41">
        <f>(C_air_CO2/C_sat_CO2*F_vent_ex-CO2_fix_l)*(B502/3600)/(V_L_CO2+Vg_CO2)</f>
        <v>0.000227483150473</v>
      </c>
      <c r="Q502" s="41">
        <f>(P502*N502+pool_b*M502)/(1-pool_ret*M502)</f>
        <v>13.247983542191</v>
      </c>
      <c r="R502" s="41">
        <f>MIN(C_sat_CO2,MAX(C_air_CO2,(pool_ret*Q502+pool_b)*N502+P502*O502))</f>
        <v>13.921825342593</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IF(C503&gt;0,(1-D503)/C503,1)</f>
        <v>0.989058293304</v>
      </c>
      <c r="F503" s="41">
        <f>IF(C503&gt;0,(C503-1+D503)/C503^2,1/2)</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0.110258497305</v>
      </c>
      <c r="M503" s="41">
        <f>EXP(-L503)</f>
        <v>0.895602594515</v>
      </c>
      <c r="N503" s="41">
        <f>IF(L503&gt;0,(1-M503)/L503,1)</f>
        <v>0.946842266467</v>
      </c>
      <c r="O503" s="41">
        <f>IF(L503&gt;0,(L503-1+M503)/L503^2,1/2)</f>
        <v>0.482119154822</v>
      </c>
      <c r="P503" s="41">
        <f>(C_air_CO2/C_sat_CO2*F_vent_ex-CO2_fix_l)*(B503/3600)/(V_L_CO2+Vg_CO2)</f>
        <v>0.0002548089062218</v>
      </c>
      <c r="Q503" s="41">
        <f>(P503*N503+pool_b*M503)/(1-pool_ret*M503)</f>
        <v>12.416571651787</v>
      </c>
      <c r="R503" s="41">
        <f>MIN(C_sat_CO2,MAX(C_air_CO2,(pool_ret*Q503+pool_b)*N503+P503*O503))</f>
        <v>13.126822656556</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IF(C504&gt;0,(1-D504)/C504,1)</f>
        <v>0.987754790712</v>
      </c>
      <c r="F504" s="41">
        <f>IF(C504&gt;0,(C504-1+D504)/C504^2,1/2)</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0.123502299656</v>
      </c>
      <c r="M504" s="41">
        <f>EXP(-L504)</f>
        <v>0.883819608761</v>
      </c>
      <c r="N504" s="41">
        <f>IF(L504&gt;0,(1-M504)/L504,1)</f>
        <v>0.940714396112</v>
      </c>
      <c r="O504" s="41">
        <f>IF(L504&gt;0,(L504-1+M504)/L504^2,1/2)</f>
        <v>0.480036436999</v>
      </c>
      <c r="P504" s="41">
        <f>(C_air_CO2/C_sat_CO2*F_vent_ex-CO2_fix_l)*(B504/3600)/(V_L_CO2+Vg_CO2)</f>
        <v>0.000285415515905</v>
      </c>
      <c r="Q504" s="41">
        <f>(P504*N504+pool_b*M504)/(1-pool_ret*M504)</f>
        <v>11.591516460288</v>
      </c>
      <c r="R504" s="41">
        <f>MIN(C_sat_CO2,MAX(C_air_CO2,(pool_ret*Q504+pool_b)*N504+P504*O504))</f>
        <v>12.337557137494</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IF(C505&gt;0,(1-D505)/C505,1)</f>
        <v>0.98629750747</v>
      </c>
      <c r="F505" s="41">
        <f>IF(C505&gt;0,(C505-1+D505)/C505^2,1/2)</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0.138336212869</v>
      </c>
      <c r="M505" s="41">
        <f>EXP(-L505)</f>
        <v>0.870805866384</v>
      </c>
      <c r="N505" s="41">
        <f>IF(L505&gt;0,(1-M505)/L505,1)</f>
        <v>0.933914055738</v>
      </c>
      <c r="O505" s="41">
        <f>IF(L505&gt;0,(L505-1+M505)/L505^2,1/2)</f>
        <v>0.477719773378</v>
      </c>
      <c r="P505" s="41">
        <f>(C_air_CO2/C_sat_CO2*F_vent_ex-CO2_fix_l)*(B505/3600)/(V_L_CO2+Vg_CO2)</f>
        <v>0.0003196968936979</v>
      </c>
      <c r="Q505" s="41">
        <f>(P505*N505+pool_b*M505)/(1-pool_ret*M505)</f>
        <v>10.778031881241</v>
      </c>
      <c r="R505" s="41">
        <f>MIN(C_sat_CO2,MAX(C_air_CO2,(pool_ret*Q505+pool_b)*N505+P505*O505))</f>
        <v>11.558959363686</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IF(C506&gt;0,(1-D506)/C506,1)</f>
        <v>0.984668665686</v>
      </c>
      <c r="F506" s="41">
        <f>IF(C506&gt;0,(C506-1+D506)/C506^2,1/2)</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0.154951152854</v>
      </c>
      <c r="M506" s="41">
        <f>EXP(-L506)</f>
        <v>0.856457011942</v>
      </c>
      <c r="N506" s="41">
        <f>IF(L506&gt;0,(1-M506)/L506,1)</f>
        <v>0.926375734633</v>
      </c>
      <c r="O506" s="41">
        <f>IF(L506&gt;0,(L506-1+M506)/L506^2,1/2)</f>
        <v>0.475144998991</v>
      </c>
      <c r="P506" s="41">
        <f>(C_air_CO2/C_sat_CO2*F_vent_ex-CO2_fix_l)*(B506/3600)/(V_L_CO2+Vg_CO2)</f>
        <v>0.0003580942488947</v>
      </c>
      <c r="Q506" s="41">
        <f>(P506*N506+pool_b*M506)/(1-pool_ret*M506)</f>
        <v>9.981056855614</v>
      </c>
      <c r="R506" s="41">
        <f>MIN(C_sat_CO2,MAX(C_air_CO2,(pool_ret*Q506+pool_b)*N506+P506*O506))</f>
        <v>10.795693379796</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IF(C507&gt;0,(1-D507)/C507,1)</f>
        <v>0.982848524455</v>
      </c>
      <c r="F507" s="41">
        <f>IF(C507&gt;0,(C507-1+D507)/C507^2,1/2)</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0.173560957747</v>
      </c>
      <c r="M507" s="41">
        <f>EXP(-L507)</f>
        <v>0.840665904501</v>
      </c>
      <c r="N507" s="41">
        <f>IF(L507&gt;0,(1-M507)/L507,1)</f>
        <v>0.918029593567</v>
      </c>
      <c r="O507" s="41">
        <f>IF(L507&gt;0,(L507-1+M507)/L507^2,1/2)</f>
        <v>0.472285976623</v>
      </c>
      <c r="P507" s="41">
        <f>(C_air_CO2/C_sat_CO2*F_vent_ex-CO2_fix_l)*(B507/3600)/(V_L_CO2+Vg_CO2)</f>
        <v>0.0004011017643751</v>
      </c>
      <c r="Q507" s="41">
        <f>(P507*N507+pool_b*M507)/(1-pool_ret*M507)</f>
        <v>9.205143599328</v>
      </c>
      <c r="R507" s="41">
        <f>MIN(C_sat_CO2,MAX(C_air_CO2,(pool_ret*Q507+pool_b)*N507+P507*O507))</f>
        <v>10.052049694684</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IF(C508&gt;0,(1-D508)/C508,1)</f>
        <v>0.980815186604</v>
      </c>
      <c r="F508" s="41">
        <f>IF(C508&gt;0,(C508-1+D508)/C508^2,1/2)</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0.194405140058</v>
      </c>
      <c r="M508" s="41">
        <f>EXP(-L508)</f>
        <v>0.823324275045</v>
      </c>
      <c r="N508" s="41">
        <f>IF(L508&gt;0,(1-M508)/L508,1)</f>
        <v>0.908801716364</v>
      </c>
      <c r="O508" s="41">
        <f>IF(L508&gt;0,(L508-1+M508)/L508^2,1/2)</f>
        <v>0.469114569753</v>
      </c>
      <c r="P508" s="41">
        <f>(C_air_CO2/C_sat_CO2*F_vent_ex-CO2_fix_l)*(B508/3600)/(V_L_CO2+Vg_CO2)</f>
        <v>0.000449272956852</v>
      </c>
      <c r="Q508" s="41">
        <f>(P508*N508+pool_b*M508)/(1-pool_ret*M508)</f>
        <v>8.454365713134</v>
      </c>
      <c r="R508" s="41">
        <f>MIN(C_sat_CO2,MAX(C_air_CO2,(pool_ret*Q508+pool_b)*N508+P508*O508))</f>
        <v>9.33185716029</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IF(C509&gt;0,(1-D509)/C509,1)</f>
        <v>0.978544392535</v>
      </c>
      <c r="F509" s="41">
        <f>IF(C509&gt;0,(C509-1+D509)/C509^2,1/2)</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0.217751969256</v>
      </c>
      <c r="M509" s="41">
        <f>EXP(-L509)</f>
        <v>0.804324914234</v>
      </c>
      <c r="N509" s="41">
        <f>IF(L509&gt;0,(1-M509)/L509,1)</f>
        <v>0.898614540359</v>
      </c>
      <c r="O509" s="41">
        <f>IF(L509&gt;0,(L509-1+M509)/L509^2,1/2)</f>
        <v>0.465600655587</v>
      </c>
      <c r="P509" s="41">
        <f>(C_air_CO2/C_sat_CO2*F_vent_ex-CO2_fix_l)*(B509/3600)/(V_L_CO2+Vg_CO2)</f>
        <v>0.0005032278007608</v>
      </c>
      <c r="Q509" s="41">
        <f>(P509*N509+pool_b*M509)/(1-pool_ret*M509)</f>
        <v>7.732249662632</v>
      </c>
      <c r="R509" s="41">
        <f>MIN(C_sat_CO2,MAX(C_air_CO2,(pool_ret*Q509+pool_b)*N509+P509*O509))</f>
        <v>8.638417073669</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IF(C510&gt;0,(1-D510)/C510,1)</f>
        <v>0.976009302069</v>
      </c>
      <c r="F510" s="41">
        <f>IF(C510&gt;0,(C510-1+D510)/C510^2,1/2)</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0.243901924455</v>
      </c>
      <c r="M510" s="41">
        <f>EXP(-L510)</f>
        <v>0.783564479008</v>
      </c>
      <c r="N510" s="41">
        <f>IF(L510&gt;0,(1-M510)/L510,1)</f>
        <v>0.88738750822</v>
      </c>
      <c r="O510" s="41">
        <f>IF(L510&gt;0,(L510-1+M510)/L510^2,1/2)</f>
        <v>0.461712190388</v>
      </c>
      <c r="P510" s="41">
        <f>(C_air_CO2/C_sat_CO2*F_vent_ex-CO2_fix_l)*(B510/3600)/(V_L_CO2+Vg_CO2)</f>
        <v>0.000563660707474</v>
      </c>
      <c r="Q510" s="41">
        <f>(P510*N510+pool_b*M510)/(1-pool_ret*M510)</f>
        <v>7.041731290763</v>
      </c>
      <c r="R510" s="41">
        <f>MIN(C_sat_CO2,MAX(C_air_CO2,(pool_ret*Q510+pool_b)*N510+P510*O510))</f>
        <v>7.974461087269</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IF(C511&gt;0,(1-D511)/C511,1)</f>
        <v>0.973180265816</v>
      </c>
      <c r="F511" s="41">
        <f>IF(C511&gt;0,(C511-1+D511)/C511^2,1/2)</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0.273191561652</v>
      </c>
      <c r="M511" s="41">
        <f>EXP(-L511)</f>
        <v>0.760947005401</v>
      </c>
      <c r="N511" s="41">
        <f>IF(L511&gt;0,(1-M511)/L511,1)</f>
        <v>0.875037988559</v>
      </c>
      <c r="O511" s="41">
        <f>IF(L511&gt;0,(L511-1+M511)/L511^2,1/2)</f>
        <v>0.457415341402</v>
      </c>
      <c r="P511" s="41">
        <f>(C_air_CO2/C_sat_CO2*F_vent_ex-CO2_fix_l)*(B511/3600)/(V_L_CO2+Vg_CO2)</f>
        <v>0.0006313494625371</v>
      </c>
      <c r="Q511" s="41">
        <f>(P511*N511+pool_b*M511)/(1-pool_ret*M511)</f>
        <v>6.38513721857</v>
      </c>
      <c r="R511" s="41">
        <f>MIN(C_sat_CO2,MAX(C_air_CO2,(pool_ret*Q511+pool_b)*N511+P511*O511))</f>
        <v>7.342132793639</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IF(C512&gt;0,(1-D512)/C512,1)</f>
        <v>0.970024588442</v>
      </c>
      <c r="F512" s="41">
        <f>IF(C512&gt;0,(C512-1+D512)/C512^2,1/2)</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0.30599784528</v>
      </c>
      <c r="M512" s="41">
        <f>EXP(-L512)</f>
        <v>0.736388206165</v>
      </c>
      <c r="N512" s="41">
        <f>IF(L512&gt;0,(1-M512)/L512,1)</f>
        <v>0.86148251663</v>
      </c>
      <c r="O512" s="41">
        <f>IF(L512&gt;0,(L512-1+M512)/L512^2,1/2)</f>
        <v>0.452674701821</v>
      </c>
      <c r="P512" s="41">
        <f>(C_air_CO2/C_sat_CO2*F_vent_ex-CO2_fix_l)*(B512/3600)/(V_L_CO2+Vg_CO2)</f>
        <v>0.000707165235949</v>
      </c>
      <c r="Q512" s="41">
        <f>(P512*N512+pool_b*M512)/(1-pool_ret*M512)</f>
        <v>5.764189403898</v>
      </c>
      <c r="R512" s="41">
        <f>MIN(C_sat_CO2,MAX(C_air_CO2,(pool_ret*Q512+pool_b)*N512+P512*O512))</f>
        <v>6.742991343095</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IF(C513&gt;0,(1-D513)/C513,1)</f>
        <v>0.966506287286</v>
      </c>
      <c r="F513" s="41">
        <f>IF(C513&gt;0,(C513-1+D513)/C513^2,1/2)</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0.342742999828</v>
      </c>
      <c r="M513" s="41">
        <f>EXP(-L513)</f>
        <v>0.70982061214</v>
      </c>
      <c r="N513" s="41">
        <f>IF(L513&gt;0,(1-M513)/L513,1)</f>
        <v>0.846638408386</v>
      </c>
      <c r="O513" s="41">
        <f>IF(L513&gt;0,(L513-1+M513)/L513^2,1/2)</f>
        <v>0.447453607195</v>
      </c>
      <c r="P513" s="41">
        <f>(C_air_CO2/C_sat_CO2*F_vent_ex-CO2_fix_l)*(B513/3600)/(V_L_CO2+Vg_CO2)</f>
        <v>0.0007920837943223</v>
      </c>
      <c r="Q513" s="41">
        <f>(P513*N513+pool_b*M513)/(1-pool_ret*M513)</f>
        <v>5.180029890728</v>
      </c>
      <c r="R513" s="41">
        <f>MIN(C_sat_CO2,MAX(C_air_CO2,(pool_ret*Q513+pool_b)*N513+P513*O513))</f>
        <v>6.17803427974</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IF(C514&gt;0,(1-D514)/C514,1)</f>
        <v>0.96258585108</v>
      </c>
      <c r="F514" s="41">
        <f>IF(C514&gt;0,(C514-1+D514)/C514^2,1/2)</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0.383899943972</v>
      </c>
      <c r="M514" s="41">
        <f>EXP(-L514)</f>
        <v>0.681199581895</v>
      </c>
      <c r="N514" s="41">
        <f>IF(L514&gt;0,(1-M514)/L514,1)</f>
        <v>0.830425800034</v>
      </c>
      <c r="O514" s="41">
        <f>IF(L514&gt;0,(L514-1+M514)/L514^2,1/2)</f>
        <v>0.441714573366</v>
      </c>
      <c r="P514" s="41">
        <f>(C_air_CO2/C_sat_CO2*F_vent_ex-CO2_fix_l)*(B514/3600)/(V_L_CO2+Vg_CO2)</f>
        <v>0.0008871980592264</v>
      </c>
      <c r="Q514" s="41">
        <f>(P514*N514+pool_b*M514)/(1-pool_ret*M514)</f>
        <v>4.633261959703</v>
      </c>
      <c r="R514" s="41">
        <f>MIN(C_sat_CO2,MAX(C_air_CO2,(pool_ret*Q514+pool_b)*N514+P514*O514))</f>
        <v>5.647736005805</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IF(C515&gt;0,(1-D515)/C515,1)</f>
        <v>0.958220005227</v>
      </c>
      <c r="F515" s="41">
        <f>IF(C515&gt;0,(C515-1+D515)/C515^2,1/2)</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0.429998377139</v>
      </c>
      <c r="M515" s="41">
        <f>EXP(-L515)</f>
        <v>0.65051015041</v>
      </c>
      <c r="N515" s="41">
        <f>IF(L515&gt;0,(1-M515)/L515,1)</f>
        <v>0.812770159542</v>
      </c>
      <c r="O515" s="41">
        <f>IF(L515&gt;0,(L515-1+M515)/L515^2,1/2)</f>
        <v>0.43541987694</v>
      </c>
      <c r="P515" s="41">
        <f>(C_air_CO2/C_sat_CO2*F_vent_ex-CO2_fix_l)*(B515/3600)/(V_L_CO2+Vg_CO2)</f>
        <v>0.0009937321733415</v>
      </c>
      <c r="Q515" s="41">
        <f>(P515*N515+pool_b*M515)/(1-pool_ret*M515)</f>
        <v>4.124003487907</v>
      </c>
      <c r="R515" s="41">
        <f>MIN(C_sat_CO2,MAX(C_air_CO2,(pool_ret*Q515+pool_b)*N515+P515*O515))</f>
        <v>5.152097912061</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IF(C516&gt;0,(1-D516)/C516,1)</f>
        <v>0.953361492091</v>
      </c>
      <c r="F516" s="41">
        <f>IF(C516&gt;0,(C516-1+D516)/C516^2,1/2)</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0.481631596873</v>
      </c>
      <c r="M516" s="41">
        <f>EXP(-L516)</f>
        <v>0.617774609945</v>
      </c>
      <c r="N516" s="41">
        <f>IF(L516&gt;0,(1-M516)/L516,1)</f>
        <v>0.79360530442</v>
      </c>
      <c r="O516" s="41">
        <f>IF(L516&gt;0,(L516-1+M516)/L516^2,1/2)</f>
        <v>0.42853229921</v>
      </c>
      <c r="P516" s="41">
        <f>(C_air_CO2/C_sat_CO2*F_vent_ex-CO2_fix_l)*(B516/3600)/(V_L_CO2+Vg_CO2)</f>
        <v>0.001113057255</v>
      </c>
      <c r="Q516" s="41">
        <f>(P516*N516+pool_b*M516)/(1-pool_ret*M516)</f>
        <v>3.651948298506</v>
      </c>
      <c r="R516" s="41">
        <f>MIN(C_sat_CO2,MAX(C_air_CO2,(pool_ret*Q516+pool_b)*N516+P516*O516))</f>
        <v>4.690706201507</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IF(C517&gt;0,(1-D517)/C517,1)</f>
        <v>0.947958877225</v>
      </c>
      <c r="F517" s="41">
        <f>IF(C517&gt;0,(C517-1+D517)/C517^2,1/2)</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0.539464134704</v>
      </c>
      <c r="M517" s="41">
        <f>EXP(-L517)</f>
        <v>0.583060610622</v>
      </c>
      <c r="N517" s="41">
        <f>IF(L517&gt;0,(1-M517)/L517,1)</f>
        <v>0.772876939459</v>
      </c>
      <c r="O517" s="41">
        <f>IF(L517&gt;0,(L517-1+M517)/L517^2,1/2)</f>
        <v>0.421016052654</v>
      </c>
      <c r="P517" s="41">
        <f>(C_air_CO2/C_sat_CO2*F_vent_ex-CO2_fix_l)*(B517/3600)/(V_L_CO2+Vg_CO2)</f>
        <v>0.001246709047</v>
      </c>
      <c r="Q517" s="41">
        <f>(P517*N517+pool_b*M517)/(1-pool_ret*M517)</f>
        <v>3.21643155077</v>
      </c>
      <c r="R517" s="41">
        <f>MIN(C_sat_CO2,MAX(C_air_CO2,(pool_ret*Q517+pool_b)*N517+P517*O517))</f>
        <v>4.26279371219</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IF(C518&gt;0,(1-D518)/C518,1)</f>
        <v>0.941956395413</v>
      </c>
      <c r="F518" s="41">
        <f>IF(C518&gt;0,(C518-1+D518)/C518^2,1/2)</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0.604240308825</v>
      </c>
      <c r="M518" s="41">
        <f>EXP(-L518)</f>
        <v>0.546489432181</v>
      </c>
      <c r="N518" s="41">
        <f>IF(L518&gt;0,(1-M518)/L518,1)</f>
        <v>0.75054669673</v>
      </c>
      <c r="O518" s="41">
        <f>IF(L518&gt;0,(L518-1+M518)/L518^2,1/2)</f>
        <v>0.412837905097</v>
      </c>
      <c r="P518" s="41">
        <f>(C_air_CO2/C_sat_CO2*F_vent_ex-CO2_fix_l)*(B518/3600)/(V_L_CO2+Vg_CO2)</f>
        <v>0.001396407678</v>
      </c>
      <c r="Q518" s="41">
        <f>(P518*N518+pool_b*M518)/(1-pool_ret*M518)</f>
        <v>2.816495695296</v>
      </c>
      <c r="R518" s="41">
        <f>MIN(C_sat_CO2,MAX(C_air_CO2,(pool_ret*Q518+pool_b)*N518+P518*O518))</f>
        <v>3.86730252564</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IF(C519&gt;0,(1-D519)/C519,1)</f>
        <v>0.935293853813</v>
      </c>
      <c r="F519" s="41">
        <f>IF(C519&gt;0,(C519-1+D519)/C519^2,1/2)</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0.676793803641</v>
      </c>
      <c r="M519" s="41">
        <f>EXP(-L519)</f>
        <v>0.508243912641</v>
      </c>
      <c r="N519" s="41">
        <f>IF(L519&gt;0,(1-M519)/L519,1)</f>
        <v>0.726596615857</v>
      </c>
      <c r="O519" s="41">
        <f>IF(L519&gt;0,(L519-1+M519)/L519^2,1/2)</f>
        <v>0.403968509569</v>
      </c>
      <c r="P519" s="41">
        <f>(C_air_CO2/C_sat_CO2*F_vent_ex-CO2_fix_l)*(B519/3600)/(V_L_CO2+Vg_CO2)</f>
        <v>0.001564079804</v>
      </c>
      <c r="Q519" s="41">
        <f>(P519*N519+pool_b*M519)/(1-pool_ret*M519)</f>
        <v>2.450954104755</v>
      </c>
      <c r="R519" s="41">
        <f>MIN(C_sat_CO2,MAX(C_air_CO2,(pool_ret*Q519+pool_b)*N519+P519*O519))</f>
        <v>3.502944743165</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IF(C520&gt;0,(1-D520)/C520,1)</f>
        <v>0.927906613546</v>
      </c>
      <c r="F520" s="41">
        <f>IF(C520&gt;0,(C520-1+D520)/C520^2,1/2)</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0.758058399484</v>
      </c>
      <c r="M520" s="41">
        <f>EXP(-L520)</f>
        <v>0.468575330464</v>
      </c>
      <c r="N520" s="41">
        <f>IF(L520&gt;0,(1-M520)/L520,1)</f>
        <v>0.701033943952</v>
      </c>
      <c r="O520" s="41">
        <f>IF(L520&gt;0,(L520-1+M520)/L520^2,1/2)</f>
        <v>0.394383936979</v>
      </c>
      <c r="P520" s="41">
        <f>(C_air_CO2/C_sat_CO2*F_vent_ex-CO2_fix_l)*(B520/3600)/(V_L_CO2+Vg_CO2)</f>
        <v>0.001751883404</v>
      </c>
      <c r="Q520" s="41">
        <f>(P520*N520+pool_b*M520)/(1-pool_ret*M520)</f>
        <v>2.118450105022</v>
      </c>
      <c r="R520" s="41">
        <f>MIN(C_sat_CO2,MAX(C_air_CO2,(pool_ret*Q520+pool_b)*N520+P520*O520))</f>
        <v>3.168259446479</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IF(C521&gt;0,(1-D521)/C521,1)</f>
        <v>0.919725675504</v>
      </c>
      <c r="F521" s="41">
        <f>IF(C521&gt;0,(C521-1+D521)/C521^2,1/2)</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0.849079990574</v>
      </c>
      <c r="M521" s="41">
        <f>EXP(-L521)</f>
        <v>0.427808338656</v>
      </c>
      <c r="N521" s="41">
        <f>IF(L521&gt;0,(1-M521)/L521,1)</f>
        <v>0.673896061262</v>
      </c>
      <c r="O521" s="41">
        <f>IF(L521&gt;0,(L521-1+M521)/L521^2,1/2)</f>
        <v>0.384067393365</v>
      </c>
      <c r="P521" s="41">
        <f>(C_air_CO2/C_sat_CO2*F_vent_ex-CO2_fix_l)*(B521/3600)/(V_L_CO2+Vg_CO2)</f>
        <v>0.001962235555</v>
      </c>
      <c r="Q521" s="41">
        <f>(P521*N521+pool_b*M521)/(1-pool_ret*M521)</f>
        <v>1.817509711031</v>
      </c>
      <c r="R521" s="41">
        <f>MIN(C_sat_CO2,MAX(C_air_CO2,(pool_ret*Q521+pool_b)*N521+P521*O521))</f>
        <v>2.861664471753</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IF(C522&gt;0,(1-D522)/C522,1)</f>
        <v>0.910677901209</v>
      </c>
      <c r="F522" s="41">
        <f>IF(C522&gt;0,(C522-1+D522)/C522^2,1/2)</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0.951030045931</v>
      </c>
      <c r="M522" s="41">
        <f>EXP(-L522)</f>
        <v>0.386342867532</v>
      </c>
      <c r="N522" s="41">
        <f>IF(L522&gt;0,(1-M522)/L522,1)</f>
        <v>0.645255252548</v>
      </c>
      <c r="O522" s="41">
        <f>IF(L522&gt;0,(L522-1+M522)/L522^2,1/2)</f>
        <v>0.373011083056</v>
      </c>
      <c r="P522" s="41">
        <f>(C_air_CO2/C_sat_CO2*F_vent_ex-CO2_fix_l)*(B522/3600)/(V_L_CO2+Vg_CO2)</f>
        <v>0.002197843538</v>
      </c>
      <c r="Q522" s="41">
        <f>(P522*N522+pool_b*M522)/(1-pool_ret*M522)</f>
        <v>1.546586872698</v>
      </c>
      <c r="R522" s="41">
        <f>MIN(C_sat_CO2,MAX(C_air_CO2,(pool_ret*Q522+pool_b)*N522+P522*O522))</f>
        <v>2.581502175553</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IF(C523&gt;0,(1-D523)/C523,1)</f>
        <v>0.900686404787</v>
      </c>
      <c r="F523" s="41">
        <f>IF(C523&gt;0,(C523-1+D523)/C523^2,1/2)</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1.065220686445</v>
      </c>
      <c r="M523" s="41">
        <f>EXP(-L523)</f>
        <v>0.344651786396</v>
      </c>
      <c r="N523" s="41">
        <f>IF(L523&gt;0,(1-M523)/L523,1)</f>
        <v>0.615222950458</v>
      </c>
      <c r="O523" s="41">
        <f>IF(L523&gt;0,(L523-1+M523)/L523^2,1/2)</f>
        <v>0.361218153607</v>
      </c>
      <c r="P523" s="41">
        <f>(C_air_CO2/C_sat_CO2*F_vent_ex-CO2_fix_l)*(B523/3600)/(V_L_CO2+Vg_CO2)</f>
        <v>0.002461739681</v>
      </c>
      <c r="Q523" s="41">
        <f>(P523*N523+pool_b*M523)/(1-pool_ret*M523)</f>
        <v>1.304100437343</v>
      </c>
      <c r="R523" s="41">
        <f>MIN(C_sat_CO2,MAX(C_air_CO2,(pool_ret*Q523+pool_b)*N523+P523*O523))</f>
        <v>2.32607883293</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IF(C524&gt;0,(1-D524)/C524,1)</f>
        <v>0.88967115751</v>
      </c>
      <c r="F524" s="41">
        <f>IF(C524&gt;0,(C524-1+D524)/C524^2,1/2)</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1.193121572182</v>
      </c>
      <c r="M524" s="41">
        <f>EXP(-L524)</f>
        <v>0.303273096089</v>
      </c>
      <c r="N524" s="41">
        <f>IF(L524&gt;0,(1-M524)/L524,1)</f>
        <v>0.583952985308</v>
      </c>
      <c r="O524" s="41">
        <f>IF(L524&gt;0,(L524-1+M524)/L524^2,1/2)</f>
        <v>0.348704628591</v>
      </c>
      <c r="P524" s="41">
        <f>(C_air_CO2/C_sat_CO2*F_vent_ex-CO2_fix_l)*(B524/3600)/(V_L_CO2+Vg_CO2)</f>
        <v>0.00275732039</v>
      </c>
      <c r="Q524" s="41">
        <f>(P524*N524+pool_b*M524)/(1-pool_ret*M524)</f>
        <v>1.088462336023</v>
      </c>
      <c r="R524" s="41">
        <f>MIN(C_sat_CO2,MAX(C_air_CO2,(pool_ret*Q524+pool_b)*N524+P524*O524))</f>
        <v>2.09369767254</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IF(C525&gt;0,(1-D525)/C525,1)</f>
        <v>0.877549851432</v>
      </c>
      <c r="F525" s="41">
        <f>IF(C525&gt;0,(C525-1+D525)/C525^2,1/2)</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1.336378817247</v>
      </c>
      <c r="M525" s="41">
        <f>EXP(-L525)</f>
        <v>0.26279557846</v>
      </c>
      <c r="N525" s="41">
        <f>IF(L525&gt;0,(1-M525)/L525,1)</f>
        <v>0.551643300557</v>
      </c>
      <c r="O525" s="41">
        <f>IF(L525&gt;0,(L525-1+M525)/L525^2,1/2)</f>
        <v>0.335501201947</v>
      </c>
      <c r="P525" s="41">
        <f>(C_air_CO2/C_sat_CO2*F_vent_ex-CO2_fix_l)*(B525/3600)/(V_L_CO2+Vg_CO2)</f>
        <v>0.003088389857</v>
      </c>
      <c r="Q525" s="41">
        <f>(P525*N525+pool_b*M525)/(1-pool_ret*M525)</f>
        <v>0.898096723551</v>
      </c>
      <c r="R525" s="41">
        <f>MIN(C_sat_CO2,MAX(C_air_CO2,(pool_ret*Q525+pool_b)*N525+P525*O525))</f>
        <v>1.882685822315</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IF(C526&gt;0,(1-D526)/C526,1)</f>
        <v>0.864239072748</v>
      </c>
      <c r="F526" s="41">
        <f>IF(C526&gt;0,(C526-1+D526)/C526^2,1/2)</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1.496836175656</v>
      </c>
      <c r="M526" s="41">
        <f>EXP(-L526)</f>
        <v>0.223837222702</v>
      </c>
      <c r="N526" s="41">
        <f>IF(L526&gt;0,(1-M526)/L526,1)</f>
        <v>0.51853555514</v>
      </c>
      <c r="O526" s="41">
        <f>IF(L526&gt;0,(L526-1+M526)/L526^2,1/2)</f>
        <v>0.321654735962</v>
      </c>
      <c r="P526" s="41">
        <f>(C_air_CO2/C_sat_CO2*F_vent_ex-CO2_fix_l)*(B526/3600)/(V_L_CO2+Vg_CO2)</f>
        <v>0.003459209023</v>
      </c>
      <c r="Q526" s="41">
        <f>(P526*N526+pool_b*M526)/(1-pool_ret*M526)</f>
        <v>0.73144999038</v>
      </c>
      <c r="R526" s="41">
        <f>MIN(C_sat_CO2,MAX(C_air_CO2,(pool_ret*Q526+pool_b)*N526+P526*O526))</f>
        <v>1.691415620434</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IF(C527&gt;0,(1-D527)/C527,1)</f>
        <v>0.849655837971</v>
      </c>
      <c r="F527" s="41">
        <f>IF(C527&gt;0,(C527-1+D527)/C527^2,1/2)</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1.67655877088</v>
      </c>
      <c r="M527" s="41">
        <f>EXP(-L527)</f>
        <v>0.187016436386</v>
      </c>
      <c r="N527" s="41">
        <f>IF(L527&gt;0,(1-M527)/L527,1)</f>
        <v>0.484912057803</v>
      </c>
      <c r="O527" s="41">
        <f>IF(L527&gt;0,(L527-1+M527)/L527^2,1/2)</f>
        <v>0.307229278892</v>
      </c>
      <c r="P527" s="41">
        <f>(C_air_CO2/C_sat_CO2*F_vent_ex-CO2_fix_l)*(B527/3600)/(V_L_CO2+Vg_CO2)</f>
        <v>0.003874550416</v>
      </c>
      <c r="Q527" s="41">
        <f>(P527*N527+pool_b*M527)/(1-pool_ret*M527)</f>
        <v>0.586991788557</v>
      </c>
      <c r="R527" s="41">
        <f>MIN(C_sat_CO2,MAX(C_air_CO2,(pool_ret*Q527+pool_b)*N527+P527*O527))</f>
        <v>1.518320852998</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IF(C528&gt;0,(1-D528)/C528,1)</f>
        <v>0.833719545606</v>
      </c>
      <c r="F528" s="41">
        <f>IF(C528&gt;0,(C528-1+D528)/C528^2,1/2)</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1.877859674461</v>
      </c>
      <c r="M528" s="41">
        <f>EXP(-L528)</f>
        <v>0.152917048014</v>
      </c>
      <c r="N528" s="41">
        <f>IF(L528&gt;0,(1-M528)/L528,1)</f>
        <v>0.451089590722</v>
      </c>
      <c r="O528" s="41">
        <f>IF(L528&gt;0,(L528-1+M528)/L528^2,1/2)</f>
        <v>0.29230640433</v>
      </c>
      <c r="P528" s="41">
        <f>(C_air_CO2/C_sat_CO2*F_vent_ex-CO2_fix_l)*(B528/3600)/(V_L_CO2+Vg_CO2)</f>
        <v>0.004339759578</v>
      </c>
      <c r="Q528" s="41">
        <f>(P528*N528+pool_b*M528)/(1-pool_ret*M528)</f>
        <v>0.463207568297</v>
      </c>
      <c r="R528" s="41">
        <f>MIN(C_sat_CO2,MAX(C_air_CO2,(pool_ret*Q528+pool_b)*N528+P528*O528))</f>
        <v>1.361908526575</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IF(C529&gt;0,(1-D529)/C529,1)</f>
        <v>0.816354391322</v>
      </c>
      <c r="F529" s="41">
        <f>IF(C529&gt;0,(C529-1+D529)/C529^2,1/2)</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2.103329675783</v>
      </c>
      <c r="M529" s="41">
        <f>EXP(-L529)</f>
        <v>0.122049366118</v>
      </c>
      <c r="N529" s="41">
        <f>IF(L529&gt;0,(1-M529)/L529,1)</f>
        <v>0.417409902019</v>
      </c>
      <c r="O529" s="41">
        <f>IF(L529&gt;0,(L529-1+M529)/L529^2,1/2)</f>
        <v>0.27698468038</v>
      </c>
      <c r="P529" s="41">
        <f>(C_air_CO2/C_sat_CO2*F_vent_ex-CO2_fix_l)*(B529/3600)/(V_L_CO2+Vg_CO2)</f>
        <v>0.004860823857</v>
      </c>
      <c r="Q529" s="41">
        <f>(P529*N529+pool_b*M529)/(1-pool_ret*M529)</f>
        <v>0.358583718203</v>
      </c>
      <c r="R529" s="41">
        <f>MIN(C_sat_CO2,MAX(C_air_CO2,(pool_ret*Q529+pool_b)*N529+P529*O529))</f>
        <v>1.220766786033</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IF(C530&gt;0,(1-D530)/C530,1)</f>
        <v>0.797492283961</v>
      </c>
      <c r="F530" s="41">
        <f>IF(C530&gt;0,(C530-1+D530)/C530^2,1/2)</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2.355870626129</v>
      </c>
      <c r="M530" s="41">
        <f>EXP(-L530)</f>
        <v>0.094810925722</v>
      </c>
      <c r="N530" s="41">
        <f>IF(L530&gt;0,(1-M530)/L530,1)</f>
        <v>0.38422698778</v>
      </c>
      <c r="O530" s="41">
        <f>IF(L530&gt;0,(L530-1+M530)/L530^2,1/2)</f>
        <v>0.261378110237</v>
      </c>
      <c r="P530" s="41">
        <f>(C_air_CO2/C_sat_CO2*F_vent_ex-CO2_fix_l)*(B530/3600)/(V_L_CO2+Vg_CO2)</f>
        <v>0.005444449472</v>
      </c>
      <c r="Q530" s="41">
        <f>(P530*N530+pool_b*M530)/(1-pool_ret*M530)</f>
        <v>0.271587343472</v>
      </c>
      <c r="R530" s="41">
        <f>MIN(C_sat_CO2,MAX(C_air_CO2,(pool_ret*Q530+pool_b)*N530+P530*O530))</f>
        <v>1.093569560736</v>
      </c>
      <c r="S530" s="41">
        <f>IF(AND(R530&gt;=CO2_pH_hi_mt,R531&lt;CO2_pH_hi_mt),EXP(LN(A530)+(LN(A531)-LN(A530))*(R530-CO2_pH_hi_mt)/(R530-R531)),0)</f>
        <v>0.0</v>
      </c>
    </row>
    <row r="531">
      <c r="A531" s="41">
        <f>A530*grid_ratio</f>
        <v>605.54568605914</v>
      </c>
      <c r="B531" s="41">
        <f>MAX(0,A531*60-spg_dur)</f>
        <v>36332.09116355</v>
      </c>
      <c r="C531" s="41">
        <f>k_eff_CO2*B531</f>
        <v>0.527574531084</v>
      </c>
      <c r="D531" s="41">
        <f>EXP(-C531)</f>
        <v>0.590034345489</v>
      </c>
      <c r="E531" s="41">
        <f>IF(C531&gt;0,(1-D531)/C531,1)</f>
        <v>0.777076280898</v>
      </c>
      <c r="F531" s="41">
        <f>IF(C531&gt;0,(C531-1+D531)/C531^2,1/2)</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2.638732786185</v>
      </c>
      <c r="M531" s="41">
        <f>EXP(-L531)</f>
        <v>0.071451756864</v>
      </c>
      <c r="N531" s="41">
        <f>IF(L531&gt;0,(1-M531)/L531,1)</f>
        <v>0.351891729241</v>
      </c>
      <c r="O531" s="41">
        <f>IF(L531&gt;0,(L531-1+M531)/L531^2,1/2)</f>
        <v>0.245613452848</v>
      </c>
      <c r="P531" s="41">
        <f>(C_air_CO2/C_sat_CO2*F_vent_ex-CO2_fix_l)*(B531/3600)/(V_L_CO2+Vg_CO2)</f>
        <v>0.006098147821</v>
      </c>
      <c r="Q531" s="41">
        <f>(P531*N531+pool_b*M531)/(1-pool_ret*M531)</f>
        <v>0.200644039877</v>
      </c>
      <c r="R531" s="41">
        <f>MIN(C_sat_CO2,MAX(C_air_CO2,(pool_ret*Q531+pool_b)*N531+P531*O531))</f>
        <v>0.979078480149</v>
      </c>
      <c r="S531" s="41">
        <f>IF(AND(R531&gt;=CO2_pH_hi_mt,R532&lt;CO2_pH_hi_mt),EXP(LN(A531)+(LN(A532)-LN(A531))*(R531-CO2_pH_hi_mt)/(R531-R532)),0)</f>
        <v>613.957173300919</v>
      </c>
    </row>
    <row r="532">
      <c r="A532" s="41">
        <f>A531*grid_ratio</f>
        <v>678.250242333597</v>
      </c>
      <c r="B532" s="41">
        <f>MAX(0,A532*60-spg_dur)</f>
        <v>40694.36454002</v>
      </c>
      <c r="C532" s="41">
        <f>k_eff_CO2*B532</f>
        <v>0.590918650769</v>
      </c>
      <c r="D532" s="41">
        <f>EXP(-C532)</f>
        <v>0.55381828538</v>
      </c>
      <c r="E532" s="41">
        <f>IF(C532&gt;0,(1-D532)/C532,1)</f>
        <v>0.755064532215</v>
      </c>
      <c r="F532" s="41">
        <f>IF(C532&gt;0,(C532-1+D532)/C532^2,1/2)</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2.955556657648</v>
      </c>
      <c r="M532" s="41">
        <f>EXP(-L532)</f>
        <v>0.052049678659</v>
      </c>
      <c r="N532" s="41">
        <f>IF(L532&gt;0,(1-M532)/L532,1)</f>
        <v>0.320734951532</v>
      </c>
      <c r="O532" s="41">
        <f>IF(L532&gt;0,(L532-1+M532)/L532^2,1/2)</f>
        <v>0.229826434459</v>
      </c>
      <c r="P532" s="41">
        <f>(C_air_CO2/C_sat_CO2*F_vent_ex-CO2_fix_l)*(B532/3600)/(V_L_CO2+Vg_CO2)</f>
        <v>0.006830332152</v>
      </c>
      <c r="Q532" s="41">
        <f>(P532*N532+pool_b*M532)/(1-pool_ret*M532)</f>
        <v>0.144118605372</v>
      </c>
      <c r="R532" s="41">
        <f>MIN(C_sat_CO2,MAX(C_air_CO2,(pool_ret*Q532+pool_b)*N532+P532*O532))</f>
        <v>0.876142556822</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IF(C533&gt;0,(1-D533)/C533,1)</f>
        <v>0.731434681533</v>
      </c>
      <c r="F533" s="41">
        <f>IF(C533&gt;0,(C533-1+D533)/C533^2,1/2)</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3.310419837328</v>
      </c>
      <c r="M533" s="41">
        <f>EXP(-L533)</f>
        <v>0.036500846119</v>
      </c>
      <c r="N533" s="41">
        <f>IF(L533&gt;0,(1-M533)/L533,1)</f>
        <v>0.2910504411</v>
      </c>
      <c r="O533" s="41">
        <f>IF(L533&gt;0,(L533-1+M533)/L533^2,1/2)</f>
        <v>0.214156993293</v>
      </c>
      <c r="P533" s="41">
        <f>(C_air_CO2/C_sat_CO2*F_vent_ex-CO2_fix_l)*(B533/3600)/(V_L_CO2+Vg_CO2)</f>
        <v>0.007650425849</v>
      </c>
      <c r="Q533" s="41">
        <f>(P533*N533+pool_b*M533)/(1-pool_ret*M533)</f>
        <v>0.100305082361</v>
      </c>
      <c r="R533" s="41">
        <f>MIN(C_sat_CO2,MAX(C_air_CO2,(pool_ret*Q533+pool_b)*N533+P533*O533))</f>
        <v>0.783696102605</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IF(C534&gt;0,(1-D534)/C534,1)</f>
        <v>0.706188615629</v>
      </c>
      <c r="F534" s="41">
        <f>IF(C534&gt;0,(C534-1+D534)/C534^2,1/2)</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3.707889496769</v>
      </c>
      <c r="M534" s="41">
        <f>EXP(-L534)</f>
        <v>0.024529237716</v>
      </c>
      <c r="N534" s="41">
        <f>IF(L534&gt;0,(1-M534)/L534,1)</f>
        <v>0.263079782484</v>
      </c>
      <c r="O534" s="41">
        <f>IF(L534&gt;0,(L534-1+M534)/L534^2,1/2)</f>
        <v>0.198743845565</v>
      </c>
      <c r="P534" s="41">
        <f>(C_air_CO2/C_sat_CO2*F_vent_ex-CO2_fix_l)*(B534/3600)/(V_L_CO2+Vg_CO2)</f>
        <v>0.008568983708</v>
      </c>
      <c r="Q534" s="41">
        <f>(P534*N534+pool_b*M534)/(1-pool_ret*M534)</f>
        <v>0.067433108996</v>
      </c>
      <c r="R534" s="41">
        <f>MIN(C_sat_CO2,MAX(C_air_CO2,(pool_ret*Q534+pool_b)*N534+P534*O534))</f>
        <v>0.700755329226</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IF(C535&gt;0,(1-D535)/C535,1)</f>
        <v>0.679357384467</v>
      </c>
      <c r="F535" s="41">
        <f>IF(C535&gt;0,(C535-1+D535)/C535^2,1/2)</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4.153081162802</v>
      </c>
      <c r="M535" s="41">
        <f>EXP(-L535)</f>
        <v>0.015715918505</v>
      </c>
      <c r="N535" s="41">
        <f>IF(L535&gt;0,(1-M535)/L535,1)</f>
        <v>0.237000926038</v>
      </c>
      <c r="O535" s="41">
        <f>IF(L535&gt;0,(L535-1+M535)/L535^2,1/2)</f>
        <v>0.183718796732</v>
      </c>
      <c r="P535" s="41">
        <f>(C_air_CO2/C_sat_CO2*F_vent_ex-CO2_fix_l)*(B535/3600)/(V_L_CO2+Vg_CO2)</f>
        <v>0.009597827781</v>
      </c>
      <c r="Q535" s="41">
        <f>(P535*N535+pool_b*M535)/(1-pool_ret*M535)</f>
        <v>0.04369630776</v>
      </c>
      <c r="R535" s="41">
        <f>MIN(C_sat_CO2,MAX(C_air_CO2,(pool_ret*Q535+pool_b)*N535+P535*O535))</f>
        <v>0.626414084537</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IF(C536&gt;0,(1-D536)/C536,1)</f>
        <v>0.651006029451</v>
      </c>
      <c r="F536" s="41">
        <f>IF(C536&gt;0,(C536-1+D536)/C536^2,1/2)</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4.651724555569</v>
      </c>
      <c r="M536" s="41">
        <f>EXP(-L536)</f>
        <v>0.009545126627</v>
      </c>
      <c r="N536" s="41">
        <f>IF(L536&gt;0,(1-M536)/L536,1)</f>
        <v>0.212922081164</v>
      </c>
      <c r="O536" s="41">
        <f>IF(L536&gt;0,(L536-1+M536)/L536^2,1/2)</f>
        <v>0.169201316508</v>
      </c>
      <c r="P536" s="41">
        <f>(C_air_CO2/C_sat_CO2*F_vent_ex-CO2_fix_l)*(B536/3600)/(V_L_CO2+Vg_CO2)</f>
        <v>0.010750199531</v>
      </c>
      <c r="Q536" s="41">
        <f>(P536*N536+pool_b*M536)/(1-pool_ret*M536)</f>
        <v>0.027304555367</v>
      </c>
      <c r="R536" s="41">
        <f>MIN(C_sat_CO2,MAX(C_air_CO2,(pool_ret*Q536+pool_b)*N536+P536*O536))</f>
        <v>0.559839174394</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IF(C537&gt;0,(1-D537)/C537,1)</f>
        <v>0.62123796488</v>
      </c>
      <c r="F537" s="41">
        <f>IF(C537&gt;0,(C537-1+D537)/C537^2,1/2)</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5.210237331349</v>
      </c>
      <c r="M537" s="41">
        <f>EXP(-L537)</f>
        <v>0.005460377615</v>
      </c>
      <c r="N537" s="41">
        <f>IF(L537&gt;0,(1-M537)/L537,1)</f>
        <v>0.190881827283</v>
      </c>
      <c r="O537" s="41">
        <f>IF(L537&gt;0,(L537-1+M537)/L537^2,1/2)</f>
        <v>0.155293918734</v>
      </c>
      <c r="P537" s="41">
        <f>(C_air_CO2/C_sat_CO2*F_vent_ex-CO2_fix_l)*(B537/3600)/(V_L_CO2+Vg_CO2)</f>
        <v>0.01204093025</v>
      </c>
      <c r="Q537" s="41">
        <f>(P537*N537+pool_b*M537)/(1-pool_ret*M537)</f>
        <v>0.016555536705</v>
      </c>
      <c r="R537" s="41">
        <f>MIN(C_sat_CO2,MAX(C_air_CO2,(pool_ret*Q537+pool_b)*N537+P537*O537))</f>
        <v>0.500265689646</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IF(C538&gt;0,(1-D538)/C538,1)</f>
        <v>0.590198464388</v>
      </c>
      <c r="F538" s="41">
        <f>IF(C538&gt;0,(C538-1+D538)/C538^2,1/2)</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5.835807679285</v>
      </c>
      <c r="M538" s="41">
        <f>EXP(-L538)</f>
        <v>0.002921063025</v>
      </c>
      <c r="N538" s="41">
        <f>IF(L538&gt;0,(1-M538)/L538,1)</f>
        <v>0.170855345442</v>
      </c>
      <c r="O538" s="41">
        <f>IF(L538&gt;0,(L538-1+M538)/L538^2,1/2)</f>
        <v>0.142078817556</v>
      </c>
      <c r="P538" s="41">
        <f>(C_air_CO2/C_sat_CO2*F_vent_ex-CO2_fix_l)*(B538/3600)/(V_L_CO2+Vg_CO2)</f>
        <v>0.013486631942</v>
      </c>
      <c r="Q538" s="41">
        <f>(P538*N538+pool_b*M538)/(1-pool_ret*M538)</f>
        <v>0.009913603781</v>
      </c>
      <c r="R538" s="41">
        <f>MIN(C_sat_CO2,MAX(C_air_CO2,(pool_ret*Q538+pool_b)*N538+P538*O538))</f>
        <v>0.44699266917</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6.536486835048</v>
      </c>
      <c r="M539" s="41">
        <f>EXP(-L539)</f>
        <v>0.00144957215</v>
      </c>
      <c r="N539" s="41">
        <f>IF(L539&gt;0,(1-M539)/L539,1)</f>
        <v>0.152765614473</v>
      </c>
      <c r="O539" s="41">
        <f>IF(L539&gt;0,(L539-1+M539)/L539^2,1/2)</f>
        <v>0.129616169497</v>
      </c>
      <c r="P539" s="41">
        <f>(C_air_CO2/C_sat_CO2*F_vent_ex-CO2_fix_l)*(B539/3600)/(V_L_CO2+Vg_CO2)</f>
        <v>0.015105911124</v>
      </c>
      <c r="Q539" s="41">
        <f>(P539*N539+pool_b*M539)/(1-pool_ret*M539)</f>
        <v>0.006078740529</v>
      </c>
      <c r="R539" s="41">
        <f>MIN(C_sat_CO2,MAX(C_air_CO2,(pool_ret*Q539+pool_b)*N539+P539*O539))</f>
        <v>0.39937927455</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2.328965780397</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IF(ph_unreach_l,NA(),MIN(spg_int_carbon,IF(ISNUMBER(spg_int_DO_l),spg_int_DO_l,spg_int_max),IF(ISNUMBER(spg_int_H2safe_opt),spg_int_H2safe_opt,spg_int_carbon),IF(ISNUMBER(spg_int_pH_l),spg_int_pH_l*spg_dur_eq_opt/spg_dur_eq,spg_int_carbon)))</f>
        <v>1.255448232589</v>
      </c>
      <c r="E546" s="51" t="inlineStr">
        <is>
          <t xml:space="preserve">The shortest of the carbon bound, the lag O₂ bound (or the legacy guard D89 when the lag DO target is unreachable), the H₂-screen interval (D563) and the lag pH ceiling (D561), on the basis of D91. #N/A when no interval holds the lag pH under the ceiling. Equals D91 when Summary D12 is Lag.</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lag",IF(spg_int_su_opt=IF(ISNUMBER(spg_int_H2safe_opt),spg_int_H2safe_opt,spg_int_carbon),"the H₂ flammability screen (Biology D92)",IF(spg_int_su_opt=IF(ISNUMBER(spg_int_pH_l),spg_int_pH_l*spg_dur_eq_opt/spg_dur_eq,spg_int_carbon),"the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0.035940779</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0.982242979832</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0.494063308071</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0.011040074343</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0.016702620853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0.011419634754</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4.090403518227</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(DO_surf_excess_lag+H_O2_T*P_dry*MAX(y_O2_avg_su,y_O2_end_su-(S_O2_l-F_gap_l*y_O2_end_su)/n_hs_gas*tau_L_h))*M_O2</f>
        <v>4.090403518227</v>
      </c>
      <c r="E557" s="51" t="inlineStr">
        <is>
          <t xml:space="preserve">As D365 at the start-up interval.</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0.029078582503</v>
      </c>
      <c r="E558" s="51" t="inlineStr">
        <is>
          <t xml:space="preserve">As D388 at the start-up interval.</t>
        </is>
      </c>
    </row>
    <row r="560">
      <c r="A560" s="18" t="inlineStr">
        <is>
          <t xml:space="preserve">Pool decay rate through the vent — lag</t>
        </is>
      </c>
      <c r="B560" s="19" t="inlineStr">
        <is>
          <t xml:space="preserve">k_eff_CO2_l</t>
        </is>
      </c>
      <c r="C560" s="20" t="inlineStr">
        <is>
          <t xml:space="preserve">1/s</t>
        </is>
      </c>
      <c r="D560" s="41">
        <f>F_gap_l/3600/n_hs_gas*Vg_CO2/(V_L_CO2+Vg_CO2)</f>
        <v>7.262815603722e-05</v>
      </c>
      <c r="E560" s="51" t="inlineStr">
        <is>
          <t xml:space="preserve">As D195 on the lag gas flow (F_gap_l, D353), for the lag columns L–S of the interval grid.</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613.957173300919</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2.402446256223</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0.101655502651</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