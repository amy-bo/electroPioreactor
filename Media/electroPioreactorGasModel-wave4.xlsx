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artincurrie/andeye Dropbox/andeye/Projects/electroPioreactor/Media/"/>
    </mc:Choice>
  </mc:AlternateContent>
  <xr:revisionPtr revIDLastSave="0" documentId="13_ncr:1_{96CC8FD1-785B-AC4D-8121-CAB29CA67389}" xr6:coauthVersionLast="47" xr6:coauthVersionMax="47" xr10:uidLastSave="{00000000-0000-0000-0000-000000000000}"/>
  <bookViews>
    <workbookView xWindow="4720" yWindow="9920" windowWidth="25160" windowHeight="18060" tabRatio="500" xr2:uid="{00000000-000D-0000-FFFF-FFFF00000000}"/>
  </bookViews>
  <sheets>
    <sheet name="Summary" sheetId="1" r:id="rId1"/>
    <sheet name="Geometry" sheetId="2" r:id="rId2"/>
    <sheet name="Electrochemistry" sheetId="3" r:id="rId3"/>
    <sheet name="Chemistry" sheetId="7" r:id="rId4"/>
    <sheet name="Biology" sheetId="4" r:id="rId5"/>
    <sheet name="Mass Transfer" sheetId="5" r:id="rId6"/>
    <sheet name="CO2 flows" sheetId="6" r:id="rId7"/>
    <sheet name="Calibrations" sheetId="8" r:id="rId8"/>
  </sheets>
  <definedNames>
    <definedName name="A_anode" localSheetId="3">Chemistry!$D$130</definedName>
    <definedName name="A_anode_wet" localSheetId="2">Electrochemistry!$D$46</definedName>
    <definedName name="A_cath_wet" localSheetId="2">Electrochemistry!$D$47</definedName>
    <definedName name="A_DH" localSheetId="3">Chemistry!$D$186</definedName>
    <definedName name="a_int" localSheetId="5">'Mass Transfer'!$D$49</definedName>
    <definedName name="a_surf" localSheetId="5">'Mass Transfer'!$D$71</definedName>
    <definedName name="A_x" localSheetId="1">Geometry!$D$21</definedName>
    <definedName name="A_x" localSheetId="5">'Mass Transfer'!$D$17</definedName>
    <definedName name="anode_dia" localSheetId="2">Electrochemistry!$D$42</definedName>
    <definedName name="anode_j_cont" localSheetId="2">Electrochemistry!$D$50</definedName>
    <definedName name="anode_j_max" localSheetId="2">Electrochemistry!$D$51</definedName>
    <definedName name="anode_material" localSheetId="2">Electrochemistry!$D$63</definedName>
    <definedName name="anode_shape" localSheetId="2">Electrochemistry!$D$41</definedName>
    <definedName name="b_anode" localSheetId="2">Electrochemistry!$D$107</definedName>
    <definedName name="b_cath" localSheetId="2">Electrochemistry!$D$109</definedName>
    <definedName name="bio_CO2" localSheetId="4">Biology!$D$12</definedName>
    <definedName name="bio_H2" localSheetId="4">Biology!$D$10</definedName>
    <definedName name="bio_O2" localSheetId="4">Biology!$D$11</definedName>
    <definedName name="bleach_flag" localSheetId="3">Chemistry!$D$109</definedName>
    <definedName name="bleach_rate" localSheetId="3">Chemistry!$D$107</definedName>
    <definedName name="bleach_t1ppm" localSheetId="3">Chemistry!$D$108</definedName>
    <definedName name="bubble_regime" localSheetId="5">'Mass Transfer'!$D$64</definedName>
    <definedName name="buffer_flag" localSheetId="3">Chemistry!$D$219</definedName>
    <definedName name="C_air_CO2" localSheetId="5">'Mass Transfer'!$D$146</definedName>
    <definedName name="C_cycle_peak" localSheetId="5">'Mass Transfer'!$D$199</definedName>
    <definedName name="C_cycle_start" localSheetId="5">'Mass Transfer'!$D$198</definedName>
    <definedName name="C_eff" localSheetId="3">Chemistry!$D$145</definedName>
    <definedName name="C_eff_Cl2" localSheetId="3">Chemistry!$D$226</definedName>
    <definedName name="C_eff_hi" localSheetId="3">Chemistry!$D$157</definedName>
    <definedName name="C_eff_lo" localSheetId="3">Chemistry!$D$156</definedName>
    <definedName name="C_H2_sat" localSheetId="4">Biology!$D$41</definedName>
    <definedName name="C_sat_CO2" localSheetId="5">'Mass Transfer'!$D$145</definedName>
    <definedName name="Ca_CO2" localSheetId="5">'Mass Transfer'!$D$157</definedName>
    <definedName name="cal_Dint">Calibrations!$D$75</definedName>
    <definedName name="cal_DO_impair">Calibrations!$D$105</definedName>
    <definedName name="cal_DO_min">Calibrations!$D$103</definedName>
    <definedName name="cal_DO_opt">Calibrations!$D$104</definedName>
    <definedName name="cal_DO_toxic">Calibrations!$D$106</definedName>
    <definedName name="cal_etaF">Calibrations!$D$31</definedName>
    <definedName name="cal_etaF_OER">Calibrations!$D$32</definedName>
    <definedName name="cal_flow">Calibrations!$D$60</definedName>
    <definedName name="cal_gerrit_int">Calibrations!$D$17</definedName>
    <definedName name="cal_gerrit_slope">Calibrations!$D$16</definedName>
    <definedName name="cal_j_ceiling">Calibrations!$D$137</definedName>
    <definedName name="cal_j_opt">Calibrations!$D$136</definedName>
    <definedName name="cal_kLa">Calibrations!$D$46</definedName>
    <definedName name="cal_knall_CO2">Calibrations!$D$122</definedName>
    <definedName name="cal_knall_H2">Calibrations!$D$120</definedName>
    <definedName name="cal_knall_O2">Calibrations!$D$121</definedName>
    <definedName name="cal_sinter">Calibrations!$D$89</definedName>
    <definedName name="cal_Vtot">Calibrations!$D$74</definedName>
    <definedName name="cal_warning" localSheetId="5">'Mass Transfer'!$D$120</definedName>
    <definedName name="carbon_margin_min" localSheetId="5">'Mass Transfer'!$D$85</definedName>
    <definedName name="carry_flag" localSheetId="5">'Mass Transfer'!$D$59</definedName>
    <definedName name="cath_j_cont" localSheetId="2">Electrochemistry!$D$52</definedName>
    <definedName name="cath_j_max" localSheetId="2">Electrochemistry!$D$53</definedName>
    <definedName name="cathode_dia" localSheetId="2">Electrochemistry!$D$44</definedName>
    <definedName name="cathode_shape" localSheetId="2">Electrochemistry!$D$43</definedName>
    <definedName name="Cb_CO2" localSheetId="5">'Mass Transfer'!$D$158</definedName>
    <definedName name="Cl_kill" localSheetId="3">Chemistry!$D$147</definedName>
    <definedName name="Cl_mc02" localSheetId="3">Chemistry!$D$38</definedName>
    <definedName name="Cl_onset" localSheetId="3">Chemistry!$D$146</definedName>
    <definedName name="cl_per_N" localSheetId="3">Chemistry!$D$224</definedName>
    <definedName name="Cl_pool_mgL" localSheetId="3">Chemistry!$D$149</definedName>
    <definedName name="Cl_udg" localSheetId="3">Chemistry!$D$42</definedName>
    <definedName name="CO2_carbon_margin" localSheetId="4">Biology!$D$35</definedName>
    <definedName name="CO2_cons" localSheetId="4">Biology!$D$15</definedName>
    <definedName name="CO2_cons" localSheetId="5">'Mass Transfer'!$D$10</definedName>
    <definedName name="CO2_cyc_avg" localSheetId="5">'Mass Transfer'!$D$161</definedName>
    <definedName name="CO2_cyc_avg_new" localSheetId="5">'Mass Transfer'!$D$200</definedName>
    <definedName name="CO2_diss" localSheetId="4">Biology!$D$33</definedName>
    <definedName name="CO2_int_off" localSheetId="5">'Mass Transfer'!$D$160</definedName>
    <definedName name="CO2_int_on" localSheetId="5">'Mass Transfer'!$D$159</definedName>
    <definedName name="CO2_pulse" localSheetId="5">'Mass Transfer'!$D$123</definedName>
    <definedName name="CO2_rate_full" localSheetId="5">'Mass Transfer'!$D$178</definedName>
    <definedName name="CO2_sd_ratio" localSheetId="5">'Mass Transfer'!$D$126</definedName>
    <definedName name="CO2_supply" localSheetId="5">'Mass Transfer'!$D$100</definedName>
    <definedName name="CO2aqc" localSheetId="3">Chemistry!$D$5</definedName>
    <definedName name="CO2aqc_ss" localSheetId="5">'Mass Transfer'!$D$162</definedName>
    <definedName name="coef_CO2" localSheetId="5">'Mass Transfer'!$D$156</definedName>
    <definedName name="corr_I_frac" localSheetId="3">Chemistry!$D$158</definedName>
    <definedName name="d_bubble" localSheetId="5">'Mass Transfer'!$D$42</definedName>
    <definedName name="d_bubble_mm" localSheetId="5">'Mass Transfer'!$D$43</definedName>
    <definedName name="D_CO2" localSheetId="5">'Mass Transfer'!$D$138</definedName>
    <definedName name="D_CO2_ref" localSheetId="5">'Mass Transfer'!$D$174</definedName>
    <definedName name="D_HPO4" localSheetId="3">Chemistry!$D$214</definedName>
    <definedName name="D_int" localSheetId="1">Geometry!$D$22</definedName>
    <definedName name="D_int_1" localSheetId="1">Geometry!$D$12</definedName>
    <definedName name="D_int_2" localSheetId="1">Geometry!$D$13</definedName>
    <definedName name="D_O2" localSheetId="5">'Mass Transfer'!$D$32</definedName>
    <definedName name="d_orifice" localSheetId="5">'Mass Transfer'!$D$41</definedName>
    <definedName name="delta_diff" localSheetId="3">Chemistry!$D$215</definedName>
    <definedName name="depth_warn" localSheetId="1">Geometry!$D$55</definedName>
    <definedName name="disp_tot" localSheetId="1">Geometry!$D$40</definedName>
    <definedName name="DO_frac_fallback" localSheetId="4">Biology!$D$61</definedName>
    <definedName name="DO_frac_target" localSheetId="4">Biology!$D$60</definedName>
    <definedName name="DO_hs_floor" localSheetId="5">'Mass Transfer'!$D$188</definedName>
    <definedName name="DO_impair" localSheetId="4">Biology!$D$47</definedName>
    <definedName name="DO_impair" localSheetId="5">'Mass Transfer'!$D$23</definedName>
    <definedName name="DO_min" localSheetId="4">Biology!$D$45</definedName>
    <definedName name="DO_min" localSheetId="5">'Mass Transfer'!$D$25</definedName>
    <definedName name="DO_opt" localSheetId="4">Biology!$D$46</definedName>
    <definedName name="DO_opt" localSheetId="5">'Mass Transfer'!$D$22</definedName>
    <definedName name="DO_ss" localSheetId="5">'Mass Transfer'!$D$108</definedName>
    <definedName name="DO_ss_sawtooth" localSheetId="5">'Mass Transfer'!$D$133</definedName>
    <definedName name="DO_ss_sawtooth_lag" localSheetId="5">'Mass Transfer'!$D$135</definedName>
    <definedName name="DO_ss_vs_min" localSheetId="5">'Mass Transfer'!$D$110</definedName>
    <definedName name="DO_ss_vs_opt" localSheetId="5">'Mass Transfer'!$D$109</definedName>
    <definedName name="DO_surf_excess" localSheetId="5">'Mass Transfer'!$D$180</definedName>
    <definedName name="DO_surf_excess_lag" localSheetId="5">'Mass Transfer'!$D$181</definedName>
    <definedName name="DO_target" localSheetId="5">'Mass Transfer'!$D$179</definedName>
    <definedName name="DO_toxic" localSheetId="4">Biology!$D$48</definedName>
    <definedName name="DO_toxic" localSheetId="5">'Mass Transfer'!$D$24</definedName>
    <definedName name="DO_vent_eq" localSheetId="5">'Mass Transfer'!$D$76</definedName>
    <definedName name="dur_ok" localSheetId="5">'Mass Transfer'!$D$130</definedName>
    <definedName name="duty" localSheetId="5">'Mass Transfer'!$D$105</definedName>
    <definedName name="duty_actual" localSheetId="5">'Mass Transfer'!$D$93</definedName>
    <definedName name="duty_carbon" localSheetId="5">'Mass Transfer'!$D$86</definedName>
    <definedName name="duty_DO" localSheetId="5">'Mass Transfer'!$D$184</definedName>
    <definedName name="duty_O2vent" localSheetId="5">'Mass Transfer'!$D$87</definedName>
    <definedName name="duty_opt" localSheetId="5">'Mass Transfer'!$D$88</definedName>
    <definedName name="E_Cl_margin" localSheetId="3">Chemistry!$D$209</definedName>
    <definedName name="E_Cl2" localSheetId="3">Chemistry!$D$208</definedName>
    <definedName name="E_Cu_margin" localSheetId="3">Chemistry!$D$211</definedName>
    <definedName name="E_HER" localSheetId="3">Chemistry!$D$207</definedName>
    <definedName name="E_OER" localSheetId="3">Chemistry!$D$206</definedName>
    <definedName name="E_ORR2" localSheetId="3">Chemistry!$D$210</definedName>
    <definedName name="E0_Cl2" localSheetId="3">Chemistry!$D$203</definedName>
    <definedName name="E0_Cu" localSheetId="3">Chemistry!$D$205</definedName>
    <definedName name="E0_HER" localSheetId="3">Chemistry!$D$202</definedName>
    <definedName name="E0_OER" localSheetId="3">Chemistry!$D$201</definedName>
    <definedName name="E0_ORR2" localSheetId="3">Chemistry!$D$204</definedName>
    <definedName name="e1_CO2" localSheetId="5">'Mass Transfer'!$D$154</definedName>
    <definedName name="e2_CO2" localSheetId="5">'Mass Transfer'!$D$155</definedName>
    <definedName name="Ea_D_CO2" localSheetId="5">'Mass Transfer'!$D$175</definedName>
    <definedName name="ec_corr_I" localSheetId="2">Electrochemistry!$D$102</definedName>
    <definedName name="ec_D_O2" localSheetId="2">Electrochemistry!$D$81</definedName>
    <definedName name="ec_DO_design" localSheetId="2">Electrochemistry!$D$85</definedName>
    <definedName name="ec_DO_frac" localSheetId="2">Electrochemistry!$D$79</definedName>
    <definedName name="ec_E_rev" localSheetId="2">Electrochemistry!$D$106</definedName>
    <definedName name="ec_gap" localSheetId="2">Electrochemistry!$D$115</definedName>
    <definedName name="ec_I_Cl" localSheetId="2">Electrochemistry!$D$101</definedName>
    <definedName name="ec_kappa" localSheetId="2">Electrochemistry!$D$114</definedName>
    <definedName name="ec_O2_ceil" localSheetId="2">Electrochemistry!$D$80</definedName>
    <definedName name="ec_V_L" localSheetId="2">Electrochemistry!$D$82</definedName>
    <definedName name="eff_disp" localSheetId="1">Geometry!$D$39</definedName>
    <definedName name="eff_ID" localSheetId="1">Geometry!$D$34</definedName>
    <definedName name="eff_OD" localSheetId="1">Geometry!$D$33</definedName>
    <definedName name="eff_sub_L" localSheetId="1">Geometry!$D$38</definedName>
    <definedName name="elec_clear" localSheetId="1">Geometry!$D$28</definedName>
    <definedName name="elec_disp" localSheetId="1">Geometry!$D$36</definedName>
    <definedName name="elec_gap" localSheetId="1">Geometry!$D$92</definedName>
    <definedName name="elec_ins" localSheetId="1">Geometry!$D$29</definedName>
    <definedName name="elec_sub_L" localSheetId="1">Geometry!$D$35</definedName>
    <definedName name="elec_sub_L_act" localSheetId="1">Geometry!$D$93</definedName>
    <definedName name="electrode_sel" localSheetId="2">Electrochemistry!$D$8</definedName>
    <definedName name="electrode_sel" localSheetId="0">Summary!$D$3</definedName>
    <definedName name="ElectrodeList">Electrochemistry!$A$35:$A$38</definedName>
    <definedName name="eon_CO2" localSheetId="5">'Mass Transfer'!$D$153</definedName>
    <definedName name="eta_anode" localSheetId="2">Electrochemistry!$D$111</definedName>
    <definedName name="eta_cath" localSheetId="2">Electrochemistry!$D$112</definedName>
    <definedName name="etaF" localSheetId="2">Electrochemistry!$D$18</definedName>
    <definedName name="etaF_calc" localSheetId="2">Electrochemistry!$D$88</definedName>
    <definedName name="etaF_calc_min" localSheetId="2">Electrochemistry!$D$89</definedName>
    <definedName name="etaF_OER" localSheetId="2">Electrochemistry!$D$26</definedName>
    <definedName name="etaF_OER_calc" localSheetId="2">Electrochemistry!$D$104</definedName>
    <definedName name="f_Cl_anode" localSheetId="2">Electrochemistry!$D$103</definedName>
    <definedName name="F_const" localSheetId="2">Electrochemistry!$D$15</definedName>
    <definedName name="f_HOOH" localSheetId="2">Electrochemistry!$D$91</definedName>
    <definedName name="f_local" localSheetId="3">Chemistry!$D$141</definedName>
    <definedName name="Fcc" localSheetId="3">Chemistry!$D$7</definedName>
    <definedName name="FE_CER" localSheetId="3">Chemistry!$D$128</definedName>
    <definedName name="flowrate_cal" localSheetId="5">'Mass Transfer'!$D$117</definedName>
    <definedName name="flush_factor" localSheetId="5">'Mass Transfer'!$D$106</definedName>
    <definedName name="g_const" localSheetId="5">'Mass Transfer'!$D$31</definedName>
    <definedName name="gam1" localSheetId="3">Chemistry!$D$187</definedName>
    <definedName name="gam2" localSheetId="3">Chemistry!$D$188</definedName>
    <definedName name="gam3" localSheetId="3">Chemistry!$D$189</definedName>
    <definedName name="geom_check" localSheetId="1">Geometry!$D$90</definedName>
    <definedName name="gerrit_int" localSheetId="2">Electrochemistry!$D$12</definedName>
    <definedName name="gerrit_max" localSheetId="2">Electrochemistry!$D$14</definedName>
    <definedName name="gerrit_min" localSheetId="2">Electrochemistry!$D$13</definedName>
    <definedName name="gerrit_slope" localSheetId="2">Electrochemistry!$D$11</definedName>
    <definedName name="h_actual" localSheetId="1">Geometry!$D$42</definedName>
    <definedName name="H_CO2_T" localSheetId="4">Biology!$D$31</definedName>
    <definedName name="H_CO2ref" localSheetId="4">Biology!$D$29</definedName>
    <definedName name="H_CO2T" localSheetId="4">Biology!$D$30</definedName>
    <definedName name="h_datum" localSheetId="1">Geometry!$D$25</definedName>
    <definedName name="H_H2_T" localSheetId="4">Biology!$D$40</definedName>
    <definedName name="H_H2ref" localSheetId="4">Biology!$D$38</definedName>
    <definedName name="H_H2T" localSheetId="4">Biology!$D$39</definedName>
    <definedName name="H_O2_T" localSheetId="4">Biology!$D$24</definedName>
    <definedName name="H_O2_T" localSheetId="5">'Mass Transfer'!$D$12</definedName>
    <definedName name="H_O2ref" localSheetId="4">Biology!$D$21</definedName>
    <definedName name="H_O2T" localSheetId="4">Biology!$D$22</definedName>
    <definedName name="H2_cons" localSheetId="4">Biology!$D$13</definedName>
    <definedName name="H2_safety" localSheetId="4">Biology!$D$44</definedName>
    <definedName name="H2_turnover" localSheetId="4">Biology!$D$43</definedName>
    <definedName name="H2O2_flag" localSheetId="2">Electrochemistry!$D$99</definedName>
    <definedName name="H2O2_lag_1h" localSheetId="2">Electrochemistry!$D$96</definedName>
    <definedName name="H2O2_ss" localSheetId="2">Electrochemistry!$D$95</definedName>
    <definedName name="H2O2_thresh" localSheetId="2">Electrochemistry!$D$97</definedName>
    <definedName name="has_cal" localSheetId="5">'Mass Transfer'!$D$119</definedName>
    <definedName name="HB_a" localSheetId="5">'Mass Transfer'!$D$171</definedName>
    <definedName name="HB_b" localSheetId="5">'Mass Transfer'!$D$172</definedName>
    <definedName name="HB_c" localSheetId="5">'Mass Transfer'!$D$173</definedName>
    <definedName name="headspace_V" localSheetId="1">Geometry!$D$49</definedName>
    <definedName name="headspace_V" localSheetId="5">'Mass Transfer'!$D$19</definedName>
    <definedName name="headspace_V_m3" localSheetId="5">'Mass Transfer'!$D$140</definedName>
    <definedName name="HOCl_max" localSheetId="3">Chemistry!$D$125</definedName>
    <definedName name="HOCl_ss" localSheetId="3">Chemistry!$D$139</definedName>
    <definedName name="HOCl_ss_mgL" localSheetId="3">Chemistry!$D$140</definedName>
    <definedName name="holdup" localSheetId="5">'Mass Transfer'!$D$48</definedName>
    <definedName name="hs_flush_time" localSheetId="5">'Mass Transfer'!$D$77</definedName>
    <definedName name="hs_H_CO2" localSheetId="5">'Mass Transfer'!$D$191</definedName>
    <definedName name="hs_O2_allow" localSheetId="5">'Mass Transfer'!$D$182</definedName>
    <definedName name="I_app" localSheetId="2">Electrochemistry!$D$19</definedName>
    <definedName name="I_Cl" localSheetId="3">Chemistry!$D$133</definedName>
    <definedName name="I_Cl_FE" localSheetId="3">Chemistry!$D$131</definedName>
    <definedName name="I_Cl_mt" localSheetId="3">Chemistry!$D$132</definedName>
    <definedName name="I_ionic" localSheetId="3">Chemistry!$D$185</definedName>
    <definedName name="I_max" localSheetId="2">Electrochemistry!$D$74</definedName>
    <definedName name="I_mc02" localSheetId="3">Chemistry!$D$183</definedName>
    <definedName name="i_ORR_ceiling" localSheetId="2">Electrochemistry!$D$87</definedName>
    <definedName name="i_ORR_design" localSheetId="2">Electrochemistry!$D$86</definedName>
    <definedName name="I_udg" localSheetId="3">Chemistry!$D$184</definedName>
    <definedName name="I_valid" localSheetId="2">Electrochemistry!$D$20</definedName>
    <definedName name="Iappc" localSheetId="3">Chemistry!$D$6</definedName>
    <definedName name="intensity" localSheetId="2">Electrochemistry!$D$10</definedName>
    <definedName name="interface_A" localSheetId="1">Geometry!$D$44</definedName>
    <definedName name="interface_A" localSheetId="5">'Mass Transfer'!$D$14</definedName>
    <definedName name="j_anode" localSheetId="2">Electrochemistry!$D$48</definedName>
    <definedName name="j_anode_c" localSheetId="3">Chemistry!$D$217</definedName>
    <definedName name="j_anode_max" localSheetId="2">Electrochemistry!$D$75</definedName>
    <definedName name="j_bio_flag" localSheetId="2">Electrochemistry!$D$59</definedName>
    <definedName name="j_buffer_lim" localSheetId="3">Chemistry!$D$216</definedName>
    <definedName name="j_buffer_ratio" localSheetId="3">Chemistry!$D$218</definedName>
    <definedName name="j_cath_flag" localSheetId="2">Electrochemistry!$D$61</definedName>
    <definedName name="j_cathode" localSheetId="2">Electrochemistry!$D$49</definedName>
    <definedName name="j_ceiling_default" localSheetId="2">Electrochemistry!$D$55</definedName>
    <definedName name="j_ceiling_strain" localSheetId="2">Electrochemistry!$D$57</definedName>
    <definedName name="j_flag" localSheetId="2">Electrochemistry!$D$62</definedName>
    <definedName name="j_flag_max" localSheetId="2">Electrochemistry!$D$76</definedName>
    <definedName name="j_mat_flag" localSheetId="2">Electrochemistry!$D$60</definedName>
    <definedName name="j_opt_default" localSheetId="2">Electrochemistry!$D$54</definedName>
    <definedName name="j_opt_strain" localSheetId="2">Electrochemistry!$D$56</definedName>
    <definedName name="j_strain_conf" localSheetId="2">Electrochemistry!$D$58</definedName>
    <definedName name="j0_anode" localSheetId="2">Electrochemistry!$D$108</definedName>
    <definedName name="j0_cath" localSheetId="2">Electrochemistry!$D$110</definedName>
    <definedName name="k_cat_cells" localSheetId="2">Electrochemistry!$D$94</definedName>
    <definedName name="k_eff_CO2" localSheetId="5">'Mass Transfer'!$D$195</definedName>
    <definedName name="k_geom" localSheetId="2">Electrochemistry!$D$116</definedName>
    <definedName name="k_vent" localSheetId="5">'Mass Transfer'!$D$143</definedName>
    <definedName name="k1_NH2Cl" localSheetId="3">Chemistry!$D$136</definedName>
    <definedName name="Ka_HOCl" localSheetId="3">Chemistry!$D$20</definedName>
    <definedName name="Ka_NH4" localSheetId="3">Chemistry!$D$18</definedName>
    <definedName name="Ka1_carb" localSheetId="4">Biology!$D$36</definedName>
    <definedName name="Ka1c" localSheetId="3">Chemistry!$D$13</definedName>
    <definedName name="Ka1c_c" localSheetId="3">Chemistry!$D$190</definedName>
    <definedName name="Ka1p" localSheetId="3">Chemistry!$D$15</definedName>
    <definedName name="Ka1p_c" localSheetId="3">Chemistry!$D$192</definedName>
    <definedName name="Ka2c" localSheetId="3">Chemistry!$D$14</definedName>
    <definedName name="Ka2c_c" localSheetId="3">Chemistry!$D$191</definedName>
    <definedName name="Ka2p" localSheetId="3">Chemistry!$D$16</definedName>
    <definedName name="Ka2p_c" localSheetId="3">Chemistry!$D$193</definedName>
    <definedName name="Ka3p" localSheetId="3">Chemistry!$D$17</definedName>
    <definedName name="Ka3p_c" localSheetId="3">Chemistry!$D$194</definedName>
    <definedName name="KaHOCl_c" localSheetId="3">Chemistry!$D$196</definedName>
    <definedName name="KaN_c" localSheetId="3">Chemistry!$D$197</definedName>
    <definedName name="kappa_fI" localSheetId="3">Chemistry!$D$178</definedName>
    <definedName name="kappa_med" localSheetId="3">Chemistry!$D$180</definedName>
    <definedName name="kappa_TC" localSheetId="3">Chemistry!$D$179</definedName>
    <definedName name="kappa0_mc02" localSheetId="3">Chemistry!$D$176</definedName>
    <definedName name="kappa0_udg" localSheetId="3">Chemistry!$D$177</definedName>
    <definedName name="kinetic_caveat" localSheetId="5">'Mass Transfer'!$D$96</definedName>
    <definedName name="kL" localSheetId="5">'Mass Transfer'!$D$51</definedName>
    <definedName name="kL_surf" localSheetId="5">'Mass Transfer'!$D$70</definedName>
    <definedName name="kL_surf_crit" localSheetId="5">'Mass Transfer'!$D$131</definedName>
    <definedName name="kLa_avg" localSheetId="5">'Mass Transfer'!$D$53</definedName>
    <definedName name="kLa_CO2_off" localSheetId="5">'Mass Transfer'!$D$148</definedName>
    <definedName name="kLa_meas" localSheetId="5">'Mass Transfer'!$D$97</definedName>
    <definedName name="kLa_req" localSheetId="5">'Mass Transfer'!$D$57</definedName>
    <definedName name="kLa_sparge" localSheetId="5">'Mass Transfer'!$D$52</definedName>
    <definedName name="kLa_surf" localSheetId="5">'Mass Transfer'!$D$72</definedName>
    <definedName name="kLa_surf_req" localSheetId="5">'Mass Transfer'!$D$186</definedName>
    <definedName name="kLa_surf_used" localSheetId="5">'Mass Transfer'!$D$98</definedName>
    <definedName name="km_Cl" localSheetId="3">Chemistry!$D$129</definedName>
    <definedName name="Km_CO2" localSheetId="4">Biology!$D$34</definedName>
    <definedName name="km_exp" localSheetId="2">Electrochemistry!$D$84</definedName>
    <definedName name="km_O2" localSheetId="2">Electrochemistry!$D$83</definedName>
    <definedName name="Kw_c" localSheetId="3">Chemistry!$D$195</definedName>
    <definedName name="Kw_w" localSheetId="3">Chemistry!$D$19</definedName>
    <definedName name="L_sub" localSheetId="2">Electrochemistry!$D$45</definedName>
    <definedName name="lam_Ca" localSheetId="3">Chemistry!$D$170</definedName>
    <definedName name="lam_Cl" localSheetId="3">Chemistry!$D$175</definedName>
    <definedName name="lam_H2PO4" localSheetId="3">Chemistry!$D$171</definedName>
    <definedName name="lam_HCO3" localSheetId="3">Chemistry!$D$174</definedName>
    <definedName name="lam_HPO4" localSheetId="3">Chemistry!$D$172</definedName>
    <definedName name="lam_K" localSheetId="3">Chemistry!$D$167</definedName>
    <definedName name="lam_Mg" localSheetId="3">Chemistry!$D$169</definedName>
    <definedName name="lam_Na" localSheetId="3">Chemistry!$D$166</definedName>
    <definedName name="lam_NH4" localSheetId="3">Chemistry!$D$168</definedName>
    <definedName name="lam_SO4" localSheetId="3">Chemistry!$D$173</definedName>
    <definedName name="latest_date" localSheetId="5">'Mass Transfer'!$D$116</definedName>
    <definedName name="led_intensity" localSheetId="0">Summary!$D$6</definedName>
    <definedName name="M_Cl2" localSheetId="3">Chemistry!$D$223</definedName>
    <definedName name="M_CO2" localSheetId="5">'Mass Transfer'!$D$103</definedName>
    <definedName name="M_H2O2" localSheetId="2">Electrochemistry!$D$92</definedName>
    <definedName name="M_HOCl" localSheetId="3">Chemistry!$D$222</definedName>
    <definedName name="mc_CaSO4_2H2O" localSheetId="3">Chemistry!$C$30</definedName>
    <definedName name="mc_K2SO4" localSheetId="3">Chemistry!$C$29</definedName>
    <definedName name="mc_MgSO4_7H2O" localSheetId="3">Chemistry!$C$31</definedName>
    <definedName name="mc_Na2HPO4" localSheetId="3">Chemistry!$C$26</definedName>
    <definedName name="mc_NaH2PO4_2H2O" localSheetId="3">Chemistry!$C$27</definedName>
    <definedName name="mc_NH42SO4" localSheetId="3">Chemistry!$C$32</definedName>
    <definedName name="media_sel" localSheetId="0">Summary!$D$5</definedName>
    <definedName name="media_vol_warn" localSheetId="1">Geometry!$D$54</definedName>
    <definedName name="media_volume" localSheetId="1">Geometry!$D$6</definedName>
    <definedName name="media_volume" localSheetId="0">Summary!$D$9</definedName>
    <definedName name="MediaList">Chemistry!$A$114:$A$115</definedName>
    <definedName name="mend_a" localSheetId="5">'Mass Transfer'!$D$44</definedName>
    <definedName name="mend_b" localSheetId="5">'Mass Transfer'!$D$45</definedName>
    <definedName name="metal_flag" localSheetId="3">Chemistry!$D$163</definedName>
    <definedName name="metal_leach_rate" localSheetId="3">Chemistry!$D$161</definedName>
    <definedName name="metal_MW" localSheetId="3">Chemistry!$D$159</definedName>
    <definedName name="metal_tox_thresh" localSheetId="3">Chemistry!$D$162</definedName>
    <definedName name="metal_z" localSheetId="3">Chemistry!$D$160</definedName>
    <definedName name="min_sparge_cal" localSheetId="5">'Mass Transfer'!$D$118</definedName>
    <definedName name="MW_CaCl2" localSheetId="3">Chemistry!$B$33</definedName>
    <definedName name="MW_CaSO4_2H2O" localSheetId="3">Chemistry!$B$30</definedName>
    <definedName name="MW_K2SO4" localSheetId="3">Chemistry!$B$29</definedName>
    <definedName name="MW_KH2PO4" localSheetId="3">Chemistry!$B$25</definedName>
    <definedName name="MW_MgSO4_7H2O" localSheetId="3">Chemistry!$B$31</definedName>
    <definedName name="MW_N" localSheetId="3">Chemistry!$D$225</definedName>
    <definedName name="MW_Na2HPO4" localSheetId="3">Chemistry!$B$26</definedName>
    <definedName name="MW_NaH2PO4_2H2O" localSheetId="3">Chemistry!$B$27</definedName>
    <definedName name="MW_NaHCO3" localSheetId="3">Chemistry!$B$28</definedName>
    <definedName name="MW_NH42SO4" localSheetId="3">Chemistry!$B$32</definedName>
    <definedName name="n_cross" localSheetId="3">Chemistry!$D$105</definedName>
    <definedName name="n_e_Cl" localSheetId="3">Chemistry!$D$148</definedName>
    <definedName name="n_hs_gas" localSheetId="5">'Mass Transfer'!$D$150</definedName>
    <definedName name="n_pores_active" localSheetId="5">'Mass Transfer'!$D$61</definedName>
    <definedName name="nCO2_rate" localSheetId="5">'Mass Transfer'!$D$104</definedName>
    <definedName name="nernst_slope" localSheetId="3">Chemistry!$D$200</definedName>
    <definedName name="NH2Cl_hi" localSheetId="3">Chemistry!$D$155</definedName>
    <definedName name="NH2Cl_lo" localSheetId="3">Chemistry!$D$154</definedName>
    <definedName name="NH2Cl_mgL" localSheetId="3">Chemistry!$D$143</definedName>
    <definedName name="NH3_free" localSheetId="3">Chemistry!$D$138</definedName>
    <definedName name="NH3_N" localSheetId="3">Chemistry!$D$135</definedName>
    <definedName name="NT_mc02" localSheetId="3">Chemistry!$D$37</definedName>
    <definedName name="NT_udg" localSheetId="3">Chemistry!$D$41</definedName>
    <definedName name="O2_accum" localSheetId="5">'Mass Transfer'!$D$127</definedName>
    <definedName name="O2_cathode_ORR" localSheetId="2">Electrochemistry!$D$28</definedName>
    <definedName name="O2_ceil_atm" localSheetId="4">Biology!$D$25</definedName>
    <definedName name="O2_ceil_C" localSheetId="4">Biology!$D$27</definedName>
    <definedName name="O2_ceil_C" localSheetId="5">'Mass Transfer'!$D$6</definedName>
    <definedName name="O2_ceil_Pa" localSheetId="4">Biology!$D$26</definedName>
    <definedName name="O2_ceil_Pa" localSheetId="5">'Mass Transfer'!$D$7</definedName>
    <definedName name="O2_ceil_uM" localSheetId="4">Biology!$D$28</definedName>
    <definedName name="O2_cons" localSheetId="4">Biology!$D$14</definedName>
    <definedName name="O2_excess" localSheetId="4">Biology!$D$16</definedName>
    <definedName name="O2_excess" localSheetId="5">'Mass Transfer'!$D$11</definedName>
    <definedName name="O2_net_gen" localSheetId="4">Biology!$D$5</definedName>
    <definedName name="O2_net_gen" localSheetId="2">Electrochemistry!$D$29</definedName>
    <definedName name="O2_net_gen" localSheetId="5">'Mass Transfer'!$D$13</definedName>
    <definedName name="O2_removal_ratio" localSheetId="5">'Mass Transfer'!$D$78</definedName>
    <definedName name="O2_src_guard" localSheetId="5">'Mass Transfer'!$D$132</definedName>
    <definedName name="O2_strip_pulse" localSheetId="5">'Mass Transfer'!$D$128</definedName>
    <definedName name="od_ok" localSheetId="5">'Mass Transfer'!$D$95</definedName>
    <definedName name="opt_binding" localSheetId="5">'Mass Transfer'!$D$94</definedName>
    <definedName name="organism_sel" localSheetId="4">Biology!$D$7</definedName>
    <definedName name="organism_sel" localSheetId="0">Summary!$D$4</definedName>
    <definedName name="OrganismList">Biology!$A$52:$A$57</definedName>
    <definedName name="P_atm" localSheetId="4">Biology!$D$19</definedName>
    <definedName name="P_atm" localSheetId="2">Electrochemistry!$D$6</definedName>
    <definedName name="P_atm" localSheetId="5">'Mass Transfer'!$D$9</definedName>
    <definedName name="P_atm_set" localSheetId="0">Summary!$D$10</definedName>
    <definedName name="p_CO2_sparge" localSheetId="4">Biology!$D$32</definedName>
    <definedName name="P_HOCl" localSheetId="3">Chemistry!$D$134</definedName>
    <definedName name="p_sat_w" localSheetId="5">'Mass Transfer'!$D$206</definedName>
    <definedName name="Pa_per_atm" localSheetId="4">Biology!$D$20</definedName>
    <definedName name="pcet_credit" localSheetId="2">Electrochemistry!$D$113</definedName>
    <definedName name="pCO2_air" localSheetId="5">'Mass Transfer'!$D$139</definedName>
    <definedName name="pH_band_flag" localSheetId="3">Chemistry!$D$110</definedName>
    <definedName name="pH_Cl" localSheetId="3">Chemistry!$D$47</definedName>
    <definedName name="pH_CO2_unbuf" localSheetId="4">Biology!$D$37</definedName>
    <definedName name="pH_fHOCl" localSheetId="3">Chemistry!$D$104</definedName>
    <definedName name="pH_meas" localSheetId="3">Chemistry!$D$220</definedName>
    <definedName name="pH_NT" localSheetId="3">Chemistry!$D$46</definedName>
    <definedName name="pH_op" localSheetId="3">Chemistry!$D$103</definedName>
    <definedName name="pH_PT" localSheetId="3">Chemistry!$D$45</definedName>
    <definedName name="pH_SID" localSheetId="3">Chemistry!$D$44</definedName>
    <definedName name="pKa_HOCl" localSheetId="3">Chemistry!$D$21</definedName>
    <definedName name="pKa_NH4" localSheetId="3">Chemistry!$D$137</definedName>
    <definedName name="pool_a" localSheetId="5">'Mass Transfer'!$D$193</definedName>
    <definedName name="pool_b" localSheetId="5">'Mass Transfer'!$D$194</definedName>
    <definedName name="pool_beta_ratio" localSheetId="5">'Mass Transfer'!$D$196</definedName>
    <definedName name="pool_e" localSheetId="5">'Mass Transfer'!$D$197</definedName>
    <definedName name="por_grade" localSheetId="5">'Mass Transfer'!$D$20</definedName>
    <definedName name="por_grade_e" localSheetId="2">Electrochemistry!$D$32</definedName>
    <definedName name="por_pore" localSheetId="5">'Mass Transfer'!$D$39</definedName>
    <definedName name="por0_um" localSheetId="5">'Mass Transfer'!$D$33</definedName>
    <definedName name="por1_um" localSheetId="5">'Mass Transfer'!$D$34</definedName>
    <definedName name="por2_um" localSheetId="5">'Mass Transfer'!$D$35</definedName>
    <definedName name="por3_um" localSheetId="5">'Mass Transfer'!$D$36</definedName>
    <definedName name="por4_um" localSheetId="5">'Mass Transfer'!$D$37</definedName>
    <definedName name="por5_um" localSheetId="5">'Mass Transfer'!$D$38</definedName>
    <definedName name="power_max" localSheetId="2">Electrochemistry!$D$73</definedName>
    <definedName name="PT_mc02" localSheetId="3">Chemistry!$D$35</definedName>
    <definedName name="PT_udg" localSheetId="3">Chemistry!$D$39</definedName>
    <definedName name="pulse_floor" localSheetId="5">'Mass Transfer'!$D$99</definedName>
    <definedName name="pulses_d" localSheetId="5">'Mass Transfer'!$D$125</definedName>
    <definedName name="pulses_h" localSheetId="5">'Mass Transfer'!$D$124</definedName>
    <definedName name="pw_A" localSheetId="5">'Mass Transfer'!$D$203</definedName>
    <definedName name="pw_B" localSheetId="5">'Mass Transfer'!$D$204</definedName>
    <definedName name="pw_C" localSheetId="5">'Mass Transfer'!$D$205</definedName>
    <definedName name="Q_CO2" localSheetId="5">'Mass Transfer'!$D$102</definedName>
    <definedName name="Q_vent" localSheetId="5">'Mass Transfer'!$D$142</definedName>
    <definedName name="R_cell" localSheetId="2">Electrochemistry!$D$117</definedName>
    <definedName name="R_chloramine" localSheetId="3">Chemistry!$D$144</definedName>
    <definedName name="R_chloramine_hi" localSheetId="3">Chemistry!$D$153</definedName>
    <definedName name="R_chloramine_lo" localSheetId="3">Chemistry!$D$152</definedName>
    <definedName name="R_gas" localSheetId="3">Chemistry!$D$9</definedName>
    <definedName name="R_gas" localSheetId="2">Electrochemistry!$D$7</definedName>
    <definedName name="R_gas" localSheetId="5">'Mass Transfer'!$D$101</definedName>
    <definedName name="r_H2O2" localSheetId="2">Electrochemistry!$D$93</definedName>
    <definedName name="Reactor" localSheetId="5">'Mass Transfer'!$D$115</definedName>
    <definedName name="reactor_sel" localSheetId="1">Geometry!$D$5</definedName>
    <definedName name="Reactor_sel" localSheetId="0">Summary!$D$2</definedName>
    <definedName name="ReactorList">Geometry!$A$59:$A$80</definedName>
    <definedName name="rH2_gen" localSheetId="4">Biology!$D$4</definedName>
    <definedName name="rH2_gen" localSheetId="2">Electrochemistry!$D$21</definedName>
    <definedName name="rho_0" localSheetId="5">'Mass Transfer'!$D$169</definedName>
    <definedName name="rho_CO2" localSheetId="5">'Mass Transfer'!$D$60</definedName>
    <definedName name="rho_k" localSheetId="5">'Mass Transfer'!$D$170</definedName>
    <definedName name="rho_L" localSheetId="5">'Mass Transfer'!$D$30</definedName>
    <definedName name="rO2_gen" localSheetId="2">Electrochemistry!$D$22</definedName>
    <definedName name="rod_d" localSheetId="1">Geometry!$D$26</definedName>
    <definedName name="rod_n" localSheetId="1">Geometry!$D$27</definedName>
    <definedName name="rx_ver" localSheetId="1">Geometry!$D$51</definedName>
    <definedName name="s_renew" localSheetId="5">'Mass Transfer'!$D$69</definedName>
    <definedName name="sched_bal" localSheetId="5">'Mass Transfer'!$D$129</definedName>
    <definedName name="sched_mode" localSheetId="5">'Mass Transfer'!$D$81</definedName>
    <definedName name="sched_regime" localSheetId="5">'Mass Transfer'!$D$113</definedName>
    <definedName name="sched_valid" localSheetId="5">'Mass Transfer'!$D$164</definedName>
    <definedName name="SID_mc02" localSheetId="3">Chemistry!$D$36</definedName>
    <definedName name="SID_udg" localSheetId="3">Chemistry!$D$40</definedName>
    <definedName name="sigma" localSheetId="5">'Mass Transfer'!$D$29</definedName>
    <definedName name="sigma_0" localSheetId="5">'Mass Transfer'!$D$167</definedName>
    <definedName name="sigma_k" localSheetId="5">'Mass Transfer'!$D$168</definedName>
    <definedName name="sparge_depth" localSheetId="1">Geometry!$D$43</definedName>
    <definedName name="sparger" localSheetId="5">'Mass Transfer'!$D$21</definedName>
    <definedName name="sparger_e" localSheetId="2">Electrochemistry!$D$31</definedName>
    <definedName name="spg_disp" localSheetId="1">Geometry!$D$37</definedName>
    <definedName name="spg_dur" localSheetId="5">'Mass Transfer'!$D$121</definedName>
    <definedName name="spg_dur_man" localSheetId="5">'Mass Transfer'!$D$82</definedName>
    <definedName name="spg_dur_opt" localSheetId="5">'Mass Transfer'!$D$90</definedName>
    <definedName name="spg_ID" localSheetId="1">Geometry!$D$31</definedName>
    <definedName name="spg_ID" localSheetId="5">'Mass Transfer'!$D$18</definedName>
    <definedName name="spg_int" localSheetId="5">'Mass Transfer'!$D$122</definedName>
    <definedName name="spg_int_carbon" localSheetId="5">'Mass Transfer'!$D$112</definedName>
    <definedName name="spg_int_DO" localSheetId="5">'Mass Transfer'!$D$185</definedName>
    <definedName name="spg_int_man" localSheetId="5">'Mass Transfer'!$D$83</definedName>
    <definedName name="spg_int_max" localSheetId="5">'Mass Transfer'!$D$89</definedName>
    <definedName name="spg_int_opt" localSheetId="5">'Mass Transfer'!$D$91</definedName>
    <definedName name="spg_int_opt_s" localSheetId="5">'Mass Transfer'!$D$92</definedName>
    <definedName name="spg_int_regime" localSheetId="5">'Mass Transfer'!$D$134</definedName>
    <definedName name="spg_len" localSheetId="1">Geometry!$D$50</definedName>
    <definedName name="spg_name_1" localSheetId="5">'Mass Transfer'!$D$27</definedName>
    <definedName name="spg_name_2" localSheetId="5">'Mass Transfer'!$D$28</definedName>
    <definedName name="spg_OD" localSheetId="1">Geometry!$D$30</definedName>
    <definedName name="spg_tip_h" localSheetId="1">Geometry!$D$32</definedName>
    <definedName name="sqrtD_CO2" localSheetId="5">'Mass Transfer'!$D$147</definedName>
    <definedName name="stir_bar_L" localSheetId="1">Geometry!$D$52</definedName>
    <definedName name="stir_len" localSheetId="5">'Mass Transfer'!$D$5</definedName>
    <definedName name="stir_rpm" localSheetId="5">'Mass Transfer'!$D$67</definedName>
    <definedName name="stir_rpm_set" localSheetId="0">Summary!$D$7</definedName>
    <definedName name="strip_avg" localSheetId="5">'Mass Transfer'!$D$55</definedName>
    <definedName name="strip_ratio" localSheetId="5">'Mass Transfer'!$D$56</definedName>
    <definedName name="strip_sparge" localSheetId="5">'Mass Transfer'!$D$54</definedName>
    <definedName name="surf_ratio" localSheetId="5">'Mass Transfer'!$D$74</definedName>
    <definedName name="surf_strip" localSheetId="5">'Mass Transfer'!$D$73</definedName>
    <definedName name="T_C" localSheetId="4">Biology!$D$17</definedName>
    <definedName name="t_contact" localSheetId="5">'Mass Transfer'!$D$50</definedName>
    <definedName name="t_H2_sat" localSheetId="4">Biology!$D$42</definedName>
    <definedName name="t_H2O2_thresh" localSheetId="2">Electrochemistry!$D$98</definedName>
    <definedName name="T_K" localSheetId="4">Biology!$D$18</definedName>
    <definedName name="T_K" localSheetId="2">Electrochemistry!$D$5</definedName>
    <definedName name="T_K" localSheetId="5">'Mass Transfer'!$D$8</definedName>
    <definedName name="t_O2_ceiling" localSheetId="5">'Mass Transfer'!$D$65</definedName>
    <definedName name="t_O2_ceiling_lag" localSheetId="5">'Mass Transfer'!$D$79</definedName>
    <definedName name="t_O2_ceiling_rem" localSheetId="5">'Mass Transfer'!$D$80</definedName>
    <definedName name="t_O2_ceiling_strip" localSheetId="5">'Mass Transfer'!$D$66</definedName>
    <definedName name="t_off_CO2" localSheetId="5">'Mass Transfer'!$D$152</definedName>
    <definedName name="t_on_CO2" localSheetId="5">'Mass Transfer'!$D$151</definedName>
    <definedName name="T_ref" localSheetId="4">Biology!$D$23</definedName>
    <definedName name="target_DO_frac" localSheetId="5">'Mass Transfer'!$D$84</definedName>
    <definedName name="tau_hs" localSheetId="5">'Mass Transfer'!$D$144</definedName>
    <definedName name="tau_NH2Cl" localSheetId="3">Chemistry!$D$142</definedName>
    <definedName name="tau_NH2Cl_hi" localSheetId="3">Chemistry!$D$151</definedName>
    <definedName name="tau_NH2Cl_lo" localSheetId="3">Chemistry!$D$150</definedName>
    <definedName name="tau_surf_floor" localSheetId="5">'Mass Transfer'!$D$149</definedName>
    <definedName name="temp_C" localSheetId="0">Summary!$D$8</definedName>
    <definedName name="tip_speed" localSheetId="5">'Mass Transfer'!$D$68</definedName>
    <definedName name="tip_warn" localSheetId="5">'Mass Transfer'!$D$111</definedName>
    <definedName name="TKc" localSheetId="3">Chemistry!$D$4</definedName>
    <definedName name="tube_d_m" localSheetId="5">'Mass Transfer'!$D$40</definedName>
    <definedName name="u_g_max" localSheetId="5">'Mass Transfer'!$D$58</definedName>
    <definedName name="u_rise" localSheetId="5">'Mass Transfer'!$D$46</definedName>
    <definedName name="u_sg" localSheetId="5">'Mass Transfer'!$D$47</definedName>
    <definedName name="udg_CaCl2" localSheetId="3">Chemistry!$D$33</definedName>
    <definedName name="udg_KH2PO4" localSheetId="3">Chemistry!$D$25</definedName>
    <definedName name="udg_MgSO4_7H2O" localSheetId="3">Chemistry!$D$31</definedName>
    <definedName name="udg_Na2HPO4" localSheetId="3">Chemistry!$D$26</definedName>
    <definedName name="udg_NaHCO3" localSheetId="3">Chemistry!$D$28</definedName>
    <definedName name="udg_NH42SO4" localSheetId="3">Chemistry!$D$32</definedName>
    <definedName name="V_cell_est" localSheetId="2">Electrochemistry!$D$119</definedName>
    <definedName name="V_charge" localSheetId="4">Biology!$D$6</definedName>
    <definedName name="V_charge" localSheetId="1">Geometry!$D$41</definedName>
    <definedName name="V_charge" localSheetId="5">'Mass Transfer'!$D$16</definedName>
    <definedName name="V_flag" localSheetId="2">Electrochemistry!$D$122</definedName>
    <definedName name="V_gas_total" localSheetId="2">Electrochemistry!$D$25</definedName>
    <definedName name="V_H2_gen" localSheetId="2">Electrochemistry!$D$23</definedName>
    <definedName name="V_headroom" localSheetId="2">Electrochemistry!$D$121</definedName>
    <definedName name="V_inserts" localSheetId="1">Geometry!$D$48</definedName>
    <definedName name="V_IR" localSheetId="2">Electrochemistry!$D$118</definedName>
    <definedName name="V_L_m3" localSheetId="5">'Mass Transfer'!$D$141</definedName>
    <definedName name="V_max" localSheetId="1">Geometry!$D$23</definedName>
    <definedName name="V_O2_gen" localSheetId="2">Electrochemistry!$D$24</definedName>
    <definedName name="v_orifice" localSheetId="5">'Mass Transfer'!$D$62</definedName>
    <definedName name="V_rail" localSheetId="2">Electrochemistry!$D$120</definedName>
    <definedName name="V_vial_total" localSheetId="1">Geometry!$D$24</definedName>
    <definedName name="vent_floor_chk" localSheetId="5">'Mass Transfer'!$D$163</definedName>
    <definedName name="ver_name_1" localSheetId="1">Geometry!$D$8</definedName>
    <definedName name="ver_name_2" localSheetId="1">Geometry!$D$9</definedName>
    <definedName name="Vg_CO2" localSheetId="5">'Mass Transfer'!$D$192</definedName>
    <definedName name="vial_ID" localSheetId="1">Geometry!$D$20</definedName>
    <definedName name="vial_ID" localSheetId="5">'Mass Transfer'!$D$15</definedName>
    <definedName name="vial_OD" localSheetId="1">Geometry!$D$18</definedName>
    <definedName name="vial_OD_1" localSheetId="1">Geometry!$D$10</definedName>
    <definedName name="vial_OD_2" localSheetId="1">Geometry!$D$11</definedName>
    <definedName name="vial_wall" localSheetId="1">Geometry!$D$19</definedName>
    <definedName name="VLc" localSheetId="3">Chemistry!$D$8</definedName>
    <definedName name="Vmax_1" localSheetId="1">Geometry!$D$14</definedName>
    <definedName name="Vmax_2" localSheetId="1">Geometry!$D$15</definedName>
    <definedName name="Vtot_1" localSheetId="1">Geometry!$D$16</definedName>
    <definedName name="Vtot_2" localSheetId="1">Geometry!$D$17</definedName>
    <definedName name="We_orifice" localSheetId="5">'Mass Transfer'!$D$63</definedName>
    <definedName name="xtube_n" localSheetId="1">Geometry!$D$46</definedName>
    <definedName name="xtube_OD" localSheetId="1">Geometry!$D$45</definedName>
    <definedName name="xtube_pro" localSheetId="1">Geometry!$D$47</definedName>
    <definedName name="y_O2_actual" localSheetId="5">'Mass Transfer'!$D$187</definedName>
    <definedName name="y_O2_star" localSheetId="5">'Mass Transfer'!$D$183</definedName>
    <definedName name="y_O2_vent" localSheetId="5">'Mass Transfer'!$D$75</definedName>
    <definedName name="z_e_H2" localSheetId="2">Electrochemistry!$D$16</definedName>
    <definedName name="z_e_O2" localSheetId="2">Electrochemistry!$D$17</definedName>
    <definedName name="z_e_ORR" localSheetId="2">Electrochemistry!$D$27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 i="8" l="1"/>
  <c r="D136" i="8"/>
  <c r="A125" i="8"/>
  <c r="D122" i="8"/>
  <c r="D12" i="4" s="1"/>
  <c r="D121" i="8"/>
  <c r="D120" i="8"/>
  <c r="D10" i="4" s="1"/>
  <c r="A109" i="8"/>
  <c r="D106" i="8"/>
  <c r="D105" i="8"/>
  <c r="D104" i="8"/>
  <c r="D103" i="8"/>
  <c r="A92" i="8"/>
  <c r="D89" i="8"/>
  <c r="D32" i="3" s="1"/>
  <c r="D20" i="5" s="1"/>
  <c r="D39" i="5" s="1"/>
  <c r="F88" i="8"/>
  <c r="E88" i="8"/>
  <c r="F87" i="8"/>
  <c r="E87" i="8"/>
  <c r="F86" i="8"/>
  <c r="E86" i="8"/>
  <c r="F85" i="8"/>
  <c r="E85" i="8"/>
  <c r="F84" i="8"/>
  <c r="E84" i="8"/>
  <c r="F83" i="8"/>
  <c r="E83" i="8"/>
  <c r="F82" i="8"/>
  <c r="E82" i="8"/>
  <c r="F81" i="8"/>
  <c r="E81" i="8"/>
  <c r="A78" i="8"/>
  <c r="I73" i="8"/>
  <c r="G73" i="8"/>
  <c r="I72" i="8"/>
  <c r="G72" i="8"/>
  <c r="I71" i="8"/>
  <c r="G71" i="8"/>
  <c r="I70" i="8"/>
  <c r="G70" i="8"/>
  <c r="I69" i="8"/>
  <c r="G69" i="8"/>
  <c r="I68" i="8"/>
  <c r="G68" i="8"/>
  <c r="I67" i="8"/>
  <c r="G67" i="8"/>
  <c r="I66" i="8"/>
  <c r="G66" i="8"/>
  <c r="A63" i="8"/>
  <c r="D60" i="8"/>
  <c r="G59" i="8"/>
  <c r="F59" i="8"/>
  <c r="G58" i="8"/>
  <c r="F58" i="8"/>
  <c r="G57" i="8"/>
  <c r="F57" i="8"/>
  <c r="G56" i="8"/>
  <c r="F56" i="8"/>
  <c r="G55" i="8"/>
  <c r="F55" i="8"/>
  <c r="G54" i="8"/>
  <c r="F54" i="8"/>
  <c r="G53" i="8"/>
  <c r="F53" i="8"/>
  <c r="G52" i="8"/>
  <c r="F52" i="8"/>
  <c r="A49" i="8"/>
  <c r="D46" i="8"/>
  <c r="E45" i="8"/>
  <c r="E44" i="8"/>
  <c r="E43" i="8"/>
  <c r="E42" i="8"/>
  <c r="E41" i="8"/>
  <c r="E40" i="8"/>
  <c r="E39" i="8"/>
  <c r="E38" i="8"/>
  <c r="A35" i="8"/>
  <c r="D32" i="8"/>
  <c r="D31" i="8"/>
  <c r="J30" i="8"/>
  <c r="J29" i="8"/>
  <c r="J28" i="8"/>
  <c r="J27" i="8"/>
  <c r="J26" i="8"/>
  <c r="J25" i="8"/>
  <c r="J24" i="8"/>
  <c r="J23" i="8"/>
  <c r="A20" i="8"/>
  <c r="D17" i="8"/>
  <c r="D16" i="8"/>
  <c r="F15" i="8"/>
  <c r="F14" i="8"/>
  <c r="F13" i="8"/>
  <c r="F12" i="8"/>
  <c r="F11" i="8"/>
  <c r="F10" i="8"/>
  <c r="F9" i="8"/>
  <c r="F8" i="8"/>
  <c r="A5" i="8"/>
  <c r="E46" i="6"/>
  <c r="G46" i="6" s="1"/>
  <c r="G45" i="6"/>
  <c r="E45" i="6"/>
  <c r="G44" i="6"/>
  <c r="E44" i="6"/>
  <c r="G43" i="6"/>
  <c r="E43" i="6"/>
  <c r="E42" i="6"/>
  <c r="G42" i="6" s="1"/>
  <c r="H41" i="6"/>
  <c r="E41" i="6"/>
  <c r="G41" i="6" s="1"/>
  <c r="E39" i="6"/>
  <c r="G39" i="6" s="1"/>
  <c r="E38" i="6"/>
  <c r="G38" i="6" s="1"/>
  <c r="G37" i="6"/>
  <c r="H37" i="6" s="1"/>
  <c r="E37" i="6"/>
  <c r="G36" i="6"/>
  <c r="E36" i="6"/>
  <c r="E35" i="6"/>
  <c r="E34" i="6"/>
  <c r="G34" i="6" s="1"/>
  <c r="G33" i="6"/>
  <c r="E33" i="6"/>
  <c r="E32" i="6"/>
  <c r="G32" i="6" s="1"/>
  <c r="E31" i="6"/>
  <c r="G31" i="6" s="1"/>
  <c r="E30" i="6"/>
  <c r="G30" i="6" s="1"/>
  <c r="H30" i="6" s="1"/>
  <c r="G29" i="6"/>
  <c r="E29" i="6"/>
  <c r="G28" i="6"/>
  <c r="E28" i="6"/>
  <c r="G27" i="6"/>
  <c r="E27" i="6"/>
  <c r="E26" i="6"/>
  <c r="G26" i="6" s="1"/>
  <c r="E25" i="6"/>
  <c r="G25" i="6" s="1"/>
  <c r="H25" i="6" s="1"/>
  <c r="E23" i="6"/>
  <c r="G23" i="6" s="1"/>
  <c r="E22" i="6"/>
  <c r="G22" i="6" s="1"/>
  <c r="G21" i="6"/>
  <c r="E21" i="6"/>
  <c r="E20" i="6"/>
  <c r="G20" i="6" s="1"/>
  <c r="E19" i="6"/>
  <c r="G19" i="6" s="1"/>
  <c r="E18" i="6"/>
  <c r="G18" i="6" s="1"/>
  <c r="H18" i="6" s="1"/>
  <c r="G16" i="6"/>
  <c r="E16" i="6"/>
  <c r="G15" i="6"/>
  <c r="E15" i="6"/>
  <c r="G14" i="6"/>
  <c r="E14" i="6"/>
  <c r="E13" i="6"/>
  <c r="G13" i="6" s="1"/>
  <c r="G12" i="6"/>
  <c r="E12" i="6"/>
  <c r="E11" i="6"/>
  <c r="G11" i="6" s="1"/>
  <c r="E9" i="6"/>
  <c r="G9" i="6" s="1"/>
  <c r="G8" i="6"/>
  <c r="E8" i="6"/>
  <c r="G7" i="6"/>
  <c r="E7" i="6"/>
  <c r="E5" i="6"/>
  <c r="G5" i="6" s="1"/>
  <c r="H5" i="6" s="1"/>
  <c r="D115" i="5"/>
  <c r="D97" i="5"/>
  <c r="D96" i="5"/>
  <c r="D67" i="5"/>
  <c r="D40" i="5"/>
  <c r="E25" i="5"/>
  <c r="E24" i="5"/>
  <c r="E23" i="5"/>
  <c r="E22" i="5"/>
  <c r="E21" i="5"/>
  <c r="E20" i="5"/>
  <c r="E19" i="5"/>
  <c r="E18" i="5"/>
  <c r="D18" i="5"/>
  <c r="E17" i="5"/>
  <c r="E16" i="5"/>
  <c r="E15" i="5"/>
  <c r="E14" i="5"/>
  <c r="E13" i="5"/>
  <c r="E12" i="5"/>
  <c r="E11" i="5"/>
  <c r="E10" i="5"/>
  <c r="E9" i="5"/>
  <c r="E8" i="5"/>
  <c r="E7" i="5"/>
  <c r="D7" i="5"/>
  <c r="E6" i="5"/>
  <c r="E5" i="5"/>
  <c r="D26" i="4"/>
  <c r="D19" i="4"/>
  <c r="D9" i="5" s="1"/>
  <c r="D17" i="4"/>
  <c r="D18" i="4" s="1"/>
  <c r="D8" i="5" s="1"/>
  <c r="D11" i="4"/>
  <c r="E8" i="4"/>
  <c r="D8" i="4"/>
  <c r="E7" i="4"/>
  <c r="D7" i="4"/>
  <c r="E6" i="4"/>
  <c r="E5" i="4"/>
  <c r="E4" i="4"/>
  <c r="D185" i="7"/>
  <c r="D184" i="7"/>
  <c r="D183" i="7"/>
  <c r="D177" i="7"/>
  <c r="D176" i="7"/>
  <c r="D163" i="7"/>
  <c r="D161" i="7"/>
  <c r="D149" i="7"/>
  <c r="D148" i="7"/>
  <c r="C100" i="7"/>
  <c r="D47" i="7"/>
  <c r="D42" i="7"/>
  <c r="D41" i="7"/>
  <c r="D46" i="7" s="1"/>
  <c r="D40" i="7"/>
  <c r="D44" i="7" s="1"/>
  <c r="D39" i="7"/>
  <c r="D45" i="7" s="1"/>
  <c r="D38" i="7"/>
  <c r="D37" i="7"/>
  <c r="D36" i="7"/>
  <c r="D35" i="7"/>
  <c r="C114" i="7" s="1"/>
  <c r="D9" i="7"/>
  <c r="D7" i="7"/>
  <c r="D115" i="3"/>
  <c r="D106" i="3"/>
  <c r="D102" i="3"/>
  <c r="D74" i="3"/>
  <c r="D58" i="3"/>
  <c r="D57" i="3"/>
  <c r="D56" i="3"/>
  <c r="D19" i="3"/>
  <c r="D12" i="3"/>
  <c r="D11" i="3"/>
  <c r="D10" i="3"/>
  <c r="D20" i="3" s="1"/>
  <c r="E8" i="3"/>
  <c r="D8" i="3"/>
  <c r="D27" i="3" s="1"/>
  <c r="E7" i="3"/>
  <c r="D7" i="3"/>
  <c r="E6" i="3"/>
  <c r="E5" i="3"/>
  <c r="D45" i="2"/>
  <c r="D39" i="2"/>
  <c r="D38" i="2"/>
  <c r="D32" i="2"/>
  <c r="E6" i="2"/>
  <c r="D6" i="2"/>
  <c r="E5" i="2"/>
  <c r="D5" i="2"/>
  <c r="D51" i="2" s="1"/>
  <c r="D23" i="2" s="1"/>
  <c r="E90" i="1"/>
  <c r="E89" i="1"/>
  <c r="E88" i="1"/>
  <c r="E87" i="1"/>
  <c r="E86" i="1"/>
  <c r="E85" i="1"/>
  <c r="E84" i="1"/>
  <c r="E83" i="1"/>
  <c r="E82" i="1"/>
  <c r="D80" i="1"/>
  <c r="D79" i="1"/>
  <c r="D78" i="1"/>
  <c r="D77" i="1"/>
  <c r="D76" i="1"/>
  <c r="D75" i="1"/>
  <c r="D74" i="1"/>
  <c r="D73" i="1"/>
  <c r="D72" i="1"/>
  <c r="D71" i="1"/>
  <c r="D70" i="1"/>
  <c r="D69" i="1"/>
  <c r="D68" i="1"/>
  <c r="D67" i="1"/>
  <c r="D66" i="1"/>
  <c r="E49" i="1"/>
  <c r="E48" i="1"/>
  <c r="E47" i="1"/>
  <c r="E46" i="1"/>
  <c r="D46" i="1"/>
  <c r="E45" i="1"/>
  <c r="E44" i="1"/>
  <c r="E43" i="1"/>
  <c r="D43" i="1"/>
  <c r="E41" i="1"/>
  <c r="E40" i="1"/>
  <c r="E39" i="1"/>
  <c r="E38" i="1"/>
  <c r="E36" i="1"/>
  <c r="E35" i="1"/>
  <c r="E34" i="1"/>
  <c r="E33" i="1"/>
  <c r="D33" i="1"/>
  <c r="E32" i="1"/>
  <c r="E31" i="1"/>
  <c r="E30" i="1"/>
  <c r="E29" i="1"/>
  <c r="E28" i="1"/>
  <c r="E27" i="1"/>
  <c r="E26" i="1"/>
  <c r="E25" i="1"/>
  <c r="E24" i="1"/>
  <c r="E23" i="1"/>
  <c r="E22" i="1"/>
  <c r="E21" i="1"/>
  <c r="E20" i="1"/>
  <c r="E19" i="1"/>
  <c r="E15" i="1"/>
  <c r="E13" i="1"/>
  <c r="D30" i="5" l="1"/>
  <c r="D29" i="5"/>
  <c r="D138" i="5"/>
  <c r="D147" i="5" s="1"/>
  <c r="D206" i="5"/>
  <c r="D32" i="5"/>
  <c r="D60" i="5"/>
  <c r="D135" i="7"/>
  <c r="D119" i="5"/>
  <c r="D116" i="5"/>
  <c r="D118" i="5" s="1"/>
  <c r="D99" i="5" s="1"/>
  <c r="D47" i="1"/>
  <c r="D45" i="4"/>
  <c r="D47" i="4"/>
  <c r="D23" i="5" s="1"/>
  <c r="D6" i="7"/>
  <c r="D44" i="3"/>
  <c r="D40" i="4"/>
  <c r="D41" i="4" s="1"/>
  <c r="H11" i="6"/>
  <c r="D48" i="4"/>
  <c r="D24" i="5" s="1"/>
  <c r="H7" i="6"/>
  <c r="D46" i="4"/>
  <c r="C115" i="7"/>
  <c r="D52" i="2"/>
  <c r="D5" i="5" s="1"/>
  <c r="D68" i="5" s="1"/>
  <c r="D18" i="2"/>
  <c r="D20" i="2" s="1"/>
  <c r="D75" i="8"/>
  <c r="D22" i="2" s="1"/>
  <c r="D74" i="8"/>
  <c r="D24" i="2" s="1"/>
  <c r="D4" i="7"/>
  <c r="D14" i="7" s="1"/>
  <c r="D191" i="7" s="1"/>
  <c r="D31" i="4"/>
  <c r="D24" i="4"/>
  <c r="D63" i="3"/>
  <c r="D51" i="3"/>
  <c r="D43" i="3"/>
  <c r="D50" i="3"/>
  <c r="D42" i="3"/>
  <c r="D41" i="3"/>
  <c r="D6" i="3"/>
  <c r="D32" i="4"/>
  <c r="D5" i="3"/>
  <c r="D31" i="3"/>
  <c r="D21" i="5" s="1"/>
  <c r="D41" i="5" s="1"/>
  <c r="D42" i="5" s="1"/>
  <c r="D17" i="7"/>
  <c r="D194" i="7" s="1"/>
  <c r="D13" i="7" l="1"/>
  <c r="D190" i="7" s="1"/>
  <c r="D15" i="7"/>
  <c r="D192" i="7" s="1"/>
  <c r="D21" i="2"/>
  <c r="D15" i="5"/>
  <c r="I30" i="8"/>
  <c r="I26" i="8"/>
  <c r="I29" i="8"/>
  <c r="I25" i="8"/>
  <c r="I27" i="8"/>
  <c r="I23" i="8"/>
  <c r="I28" i="8"/>
  <c r="I24" i="8"/>
  <c r="D43" i="5"/>
  <c r="D111" i="5"/>
  <c r="D30" i="1" s="1"/>
  <c r="D40" i="1"/>
  <c r="D69" i="5"/>
  <c r="D34" i="1"/>
  <c r="D25" i="5"/>
  <c r="D110" i="5" s="1"/>
  <c r="D22" i="1" s="1"/>
  <c r="D46" i="5"/>
  <c r="D50" i="5" s="1"/>
  <c r="D51" i="5" s="1"/>
  <c r="D27" i="4"/>
  <c r="D12" i="5"/>
  <c r="D22" i="5"/>
  <c r="D109" i="5" s="1"/>
  <c r="D21" i="1" s="1"/>
  <c r="D60" i="4"/>
  <c r="D33" i="4"/>
  <c r="D191" i="5"/>
  <c r="D145" i="5"/>
  <c r="D146" i="5"/>
  <c r="D180" i="7"/>
  <c r="D114" i="3" s="1"/>
  <c r="D186" i="7"/>
  <c r="D18" i="7"/>
  <c r="D200" i="7"/>
  <c r="D16" i="7"/>
  <c r="D193" i="7" s="1"/>
  <c r="D20" i="7"/>
  <c r="D19" i="7"/>
  <c r="D195" i="7" s="1"/>
  <c r="D120" i="5"/>
  <c r="D20" i="1" s="1"/>
  <c r="D131" i="7"/>
  <c r="D29" i="2"/>
  <c r="D50" i="2"/>
  <c r="D117" i="5"/>
  <c r="D102" i="5" s="1"/>
  <c r="D81" i="3"/>
  <c r="D70" i="5"/>
  <c r="D62" i="5" l="1"/>
  <c r="D63" i="5" s="1"/>
  <c r="D64" i="5" s="1"/>
  <c r="D25" i="1" s="1"/>
  <c r="D104" i="5"/>
  <c r="D196" i="7"/>
  <c r="D21" i="7"/>
  <c r="D37" i="4"/>
  <c r="D35" i="4"/>
  <c r="D41" i="1" s="1"/>
  <c r="D208" i="7"/>
  <c r="D84" i="5"/>
  <c r="D79" i="3"/>
  <c r="D85" i="3" s="1"/>
  <c r="D197" i="7"/>
  <c r="D137" i="7"/>
  <c r="D189" i="7"/>
  <c r="D188" i="7"/>
  <c r="D187" i="7"/>
  <c r="D6" i="5"/>
  <c r="D28" i="4"/>
  <c r="D80" i="3"/>
  <c r="H68" i="8"/>
  <c r="H73" i="8"/>
  <c r="H70" i="8"/>
  <c r="H67" i="8"/>
  <c r="H66" i="8"/>
  <c r="D44" i="2"/>
  <c r="D14" i="5" s="1"/>
  <c r="H71" i="8"/>
  <c r="H69" i="8"/>
  <c r="H72" i="8"/>
  <c r="D17" i="5"/>
  <c r="D47" i="5" s="1"/>
  <c r="D90" i="2"/>
  <c r="D19" i="1" s="1"/>
  <c r="D25" i="2"/>
  <c r="D59" i="5" l="1"/>
  <c r="D29" i="1" s="1"/>
  <c r="D48" i="5"/>
  <c r="D49" i="5" s="1"/>
  <c r="D52" i="5" s="1"/>
  <c r="D179" i="5"/>
  <c r="D35" i="2"/>
  <c r="D36" i="2" s="1"/>
  <c r="D37" i="2"/>
  <c r="D178" i="5"/>
  <c r="D40" i="2" l="1"/>
  <c r="D41" i="2" s="1"/>
  <c r="D42" i="2" l="1"/>
  <c r="D6" i="4"/>
  <c r="D54" i="2"/>
  <c r="D31" i="1" s="1"/>
  <c r="D16" i="5"/>
  <c r="D141" i="5" l="1"/>
  <c r="D71" i="5"/>
  <c r="D72" i="5" s="1"/>
  <c r="D54" i="5"/>
  <c r="D82" i="3"/>
  <c r="D8" i="7"/>
  <c r="D107" i="7" s="1"/>
  <c r="D108" i="7" s="1"/>
  <c r="D55" i="2"/>
  <c r="D32" i="1" s="1"/>
  <c r="D93" i="2"/>
  <c r="D45" i="3" s="1"/>
  <c r="D43" i="2"/>
  <c r="D48" i="2"/>
  <c r="D49" i="2" s="1"/>
  <c r="D19" i="5" s="1"/>
  <c r="D140" i="5" l="1"/>
  <c r="D90" i="5"/>
  <c r="D148" i="5"/>
  <c r="D98" i="5"/>
  <c r="D73" i="5" s="1"/>
  <c r="D47" i="3"/>
  <c r="D46" i="3"/>
  <c r="D117" i="3"/>
  <c r="D118" i="3" s="1"/>
  <c r="D49" i="3" l="1"/>
  <c r="D87" i="3"/>
  <c r="D89" i="3" s="1"/>
  <c r="D86" i="3"/>
  <c r="D149" i="5"/>
  <c r="D156" i="5"/>
  <c r="D121" i="5"/>
  <c r="D13" i="1"/>
  <c r="D14" i="1" s="1"/>
  <c r="D130" i="7"/>
  <c r="D132" i="7" s="1"/>
  <c r="D133" i="7" s="1"/>
  <c r="D48" i="3"/>
  <c r="D75" i="3"/>
  <c r="D144" i="5"/>
  <c r="D163" i="5" s="1"/>
  <c r="D143" i="5"/>
  <c r="D192" i="5"/>
  <c r="D193" i="5" s="1"/>
  <c r="D150" i="5"/>
  <c r="D196" i="5" l="1"/>
  <c r="D134" i="7"/>
  <c r="D101" i="3"/>
  <c r="D103" i="3" s="1"/>
  <c r="D104" i="3" s="1"/>
  <c r="D26" i="3" s="1"/>
  <c r="D22" i="3" s="1"/>
  <c r="D88" i="3"/>
  <c r="D93" i="3"/>
  <c r="D111" i="3"/>
  <c r="D217" i="7"/>
  <c r="D44" i="1"/>
  <c r="D60" i="3"/>
  <c r="D59" i="3"/>
  <c r="D130" i="5"/>
  <c r="D27" i="1" s="1"/>
  <c r="D151" i="5"/>
  <c r="D123" i="5"/>
  <c r="D128" i="5"/>
  <c r="D48" i="1"/>
  <c r="D76" i="3"/>
  <c r="D49" i="1" s="1"/>
  <c r="D195" i="5"/>
  <c r="D112" i="3"/>
  <c r="D61" i="3"/>
  <c r="D194" i="5" l="1"/>
  <c r="D153" i="5"/>
  <c r="D98" i="3"/>
  <c r="D96" i="3"/>
  <c r="D95" i="3"/>
  <c r="D99" i="3" s="1"/>
  <c r="D85" i="1" s="1"/>
  <c r="D18" i="3"/>
  <c r="D82" i="1"/>
  <c r="D24" i="3"/>
  <c r="D119" i="3"/>
  <c r="D62" i="3"/>
  <c r="D45" i="1" s="1"/>
  <c r="D155" i="7"/>
  <c r="D143" i="7"/>
  <c r="D154" i="7"/>
  <c r="D121" i="3" l="1"/>
  <c r="D122" i="3" s="1"/>
  <c r="D84" i="1" s="1"/>
  <c r="D83" i="1"/>
  <c r="D21" i="3"/>
  <c r="D28" i="3"/>
  <c r="D29" i="3" s="1"/>
  <c r="D5" i="4" l="1"/>
  <c r="D13" i="5"/>
  <c r="D4" i="4"/>
  <c r="D23" i="3"/>
  <c r="D25" i="3" s="1"/>
  <c r="D43" i="4" l="1"/>
  <c r="D44" i="4" s="1"/>
  <c r="D24" i="1" s="1"/>
  <c r="D13" i="4"/>
  <c r="D42" i="4"/>
  <c r="D181" i="5"/>
  <c r="D132" i="5"/>
  <c r="D79" i="5"/>
  <c r="D87" i="5" l="1"/>
  <c r="D89" i="5"/>
  <c r="D14" i="4"/>
  <c r="D16" i="4" s="1"/>
  <c r="D11" i="5" s="1"/>
  <c r="D15" i="4"/>
  <c r="D10" i="5" s="1"/>
  <c r="D86" i="5" l="1"/>
  <c r="D186" i="5"/>
  <c r="D57" i="5"/>
  <c r="D180" i="5"/>
  <c r="D182" i="5" s="1"/>
  <c r="D183" i="5" s="1"/>
  <c r="D184" i="5" s="1"/>
  <c r="D185" i="5" s="1"/>
  <c r="D74" i="5"/>
  <c r="D65" i="5"/>
  <c r="D134" i="5" l="1"/>
  <c r="D90" i="1"/>
  <c r="D131" i="5"/>
  <c r="D88" i="5"/>
  <c r="D112" i="5"/>
  <c r="D39" i="1" s="1"/>
  <c r="D94" i="5" l="1"/>
  <c r="D91" i="5"/>
  <c r="D122" i="5" l="1"/>
  <c r="D92" i="5"/>
  <c r="D15" i="1"/>
  <c r="D16" i="1" s="1"/>
  <c r="D93" i="5"/>
  <c r="D164" i="5" l="1"/>
  <c r="D152" i="5"/>
  <c r="D124" i="5"/>
  <c r="D95" i="5"/>
  <c r="D28" i="1" s="1"/>
  <c r="D105" i="5"/>
  <c r="D127" i="5"/>
  <c r="D129" i="5" s="1"/>
  <c r="D53" i="5" l="1"/>
  <c r="D77" i="5"/>
  <c r="D55" i="5"/>
  <c r="D154" i="5"/>
  <c r="D155" i="5"/>
  <c r="D197" i="5"/>
  <c r="D198" i="5" s="1"/>
  <c r="D199" i="5" s="1"/>
  <c r="D200" i="5" s="1"/>
  <c r="D162" i="5" s="1"/>
  <c r="D5" i="7" s="1"/>
  <c r="D125" i="5"/>
  <c r="D100" i="5"/>
  <c r="B91" i="7" l="1"/>
  <c r="B83" i="7"/>
  <c r="B72" i="7"/>
  <c r="B77" i="7"/>
  <c r="B65" i="7"/>
  <c r="C65" i="7" s="1"/>
  <c r="B50" i="7"/>
  <c r="B58" i="7"/>
  <c r="C58" i="7" s="1"/>
  <c r="B87" i="7"/>
  <c r="B66" i="7"/>
  <c r="B53" i="7"/>
  <c r="B98" i="7"/>
  <c r="B63" i="7"/>
  <c r="C63" i="7" s="1"/>
  <c r="B97" i="7"/>
  <c r="C97" i="7" s="1"/>
  <c r="B71" i="7"/>
  <c r="C71" i="7" s="1"/>
  <c r="B99" i="7"/>
  <c r="C99" i="7" s="1"/>
  <c r="B92" i="7"/>
  <c r="B61" i="7"/>
  <c r="B59" i="7"/>
  <c r="B60" i="7"/>
  <c r="C60" i="7" s="1"/>
  <c r="B62" i="7"/>
  <c r="C62" i="7" s="1"/>
  <c r="B80" i="7"/>
  <c r="B69" i="7"/>
  <c r="B57" i="7"/>
  <c r="B82" i="7"/>
  <c r="C82" i="7" s="1"/>
  <c r="B95" i="7"/>
  <c r="B55" i="7"/>
  <c r="B52" i="7"/>
  <c r="C52" i="7" s="1"/>
  <c r="B67" i="7"/>
  <c r="C67" i="7" s="1"/>
  <c r="B86" i="7"/>
  <c r="B89" i="7"/>
  <c r="B84" i="7"/>
  <c r="C84" i="7" s="1"/>
  <c r="B90" i="7"/>
  <c r="C90" i="7" s="1"/>
  <c r="B75" i="7"/>
  <c r="B100" i="7"/>
  <c r="B64" i="7"/>
  <c r="B93" i="7"/>
  <c r="B56" i="7"/>
  <c r="C56" i="7" s="1"/>
  <c r="B73" i="7"/>
  <c r="B81" i="7"/>
  <c r="B74" i="7"/>
  <c r="C74" i="7" s="1"/>
  <c r="B79" i="7"/>
  <c r="B51" i="7"/>
  <c r="C51" i="7" s="1"/>
  <c r="B70" i="7"/>
  <c r="B54" i="7"/>
  <c r="C54" i="7" s="1"/>
  <c r="B96" i="7"/>
  <c r="C96" i="7" s="1"/>
  <c r="B88" i="7"/>
  <c r="C88" i="7" s="1"/>
  <c r="B94" i="7"/>
  <c r="C94" i="7" s="1"/>
  <c r="B78" i="7"/>
  <c r="C78" i="7" s="1"/>
  <c r="B76" i="7"/>
  <c r="B68" i="7"/>
  <c r="B85" i="7"/>
  <c r="D157" i="5"/>
  <c r="D80" i="5"/>
  <c r="D56" i="5"/>
  <c r="D66" i="5"/>
  <c r="D78" i="5"/>
  <c r="D187" i="5"/>
  <c r="D188" i="5" s="1"/>
  <c r="D75" i="5"/>
  <c r="D76" i="5" s="1"/>
  <c r="D126" i="5"/>
  <c r="D26" i="1" s="1"/>
  <c r="C92" i="7" l="1"/>
  <c r="C87" i="7"/>
  <c r="C70" i="7"/>
  <c r="C68" i="7"/>
  <c r="C57" i="7"/>
  <c r="C81" i="7"/>
  <c r="C73" i="7"/>
  <c r="C89" i="7"/>
  <c r="C69" i="7"/>
  <c r="C50" i="7"/>
  <c r="D105" i="7"/>
  <c r="D103" i="7" s="1"/>
  <c r="D220" i="7" s="1"/>
  <c r="C77" i="7"/>
  <c r="C80" i="7"/>
  <c r="C64" i="7"/>
  <c r="C98" i="7"/>
  <c r="C72" i="7"/>
  <c r="C86" i="7"/>
  <c r="C93" i="7"/>
  <c r="C55" i="7"/>
  <c r="C59" i="7"/>
  <c r="C53" i="7"/>
  <c r="C83" i="7"/>
  <c r="D158" i="5"/>
  <c r="D160" i="5" s="1"/>
  <c r="D159" i="5"/>
  <c r="C85" i="7"/>
  <c r="D135" i="5"/>
  <c r="D108" i="5"/>
  <c r="D133" i="5"/>
  <c r="C76" i="7"/>
  <c r="C79" i="7"/>
  <c r="C75" i="7"/>
  <c r="C95" i="7"/>
  <c r="C61" i="7"/>
  <c r="C66" i="7"/>
  <c r="C91" i="7"/>
  <c r="D113" i="5" l="1"/>
  <c r="D23" i="1" s="1"/>
  <c r="D38" i="1"/>
  <c r="D161" i="5"/>
  <c r="D89" i="1"/>
  <c r="D110" i="7"/>
  <c r="D104" i="7"/>
  <c r="D125" i="7" s="1"/>
  <c r="D35" i="1"/>
  <c r="D216" i="7"/>
  <c r="D218" i="7" s="1"/>
  <c r="D219" i="7" s="1"/>
  <c r="D86" i="1" s="1"/>
  <c r="D210" i="7"/>
  <c r="D206" i="7"/>
  <c r="D207" i="7"/>
  <c r="D138" i="7"/>
  <c r="D139" i="7" s="1"/>
  <c r="D140" i="7" s="1"/>
  <c r="D145" i="7" l="1"/>
  <c r="D156" i="7"/>
  <c r="D157" i="7"/>
  <c r="D211" i="7"/>
  <c r="D88" i="1" s="1"/>
  <c r="D209" i="7"/>
  <c r="D87" i="1" s="1"/>
  <c r="D109" i="7" l="1"/>
  <c r="D226" i="7"/>
  <c r="D36" i="1" s="1"/>
</calcChain>
</file>

<file path=xl/sharedStrings.xml><?xml version="1.0" encoding="utf-8"?>
<sst xmlns="http://schemas.openxmlformats.org/spreadsheetml/2006/main" count="2678" uniqueCount="1931">
  <si>
    <t>CO₂ DOSING FLOWRATES</t>
  </si>
  <si>
    <t>Reactor</t>
  </si>
  <si>
    <t>date</t>
  </si>
  <si>
    <t>cylinder size</t>
  </si>
  <si>
    <t>observed volume*</t>
  </si>
  <si>
    <t>volume</t>
  </si>
  <si>
    <t>time</t>
  </si>
  <si>
    <t>flowrate</t>
  </si>
  <si>
    <t>average flowrate</t>
  </si>
  <si>
    <t>minimum sparge</t>
  </si>
  <si>
    <t>nominal flowrate</t>
  </si>
  <si>
    <t>KEY</t>
  </si>
  <si>
    <t>ml</t>
  </si>
  <si>
    <t>s</t>
  </si>
  <si>
    <t>ml/s</t>
  </si>
  <si>
    <t>Flowrate set by inspection, as maximum to not give bubbles rising into vial neck</t>
  </si>
  <si>
    <t>ed04</t>
  </si>
  <si>
    <t>First or last data point removed as suspect outlier</t>
  </si>
  <si>
    <t>Point</t>
  </si>
  <si>
    <t>Note</t>
  </si>
  <si>
    <t>*</t>
  </si>
  <si>
    <t>CO2 collected in measuring cyclinder over CO2-saturated water</t>
  </si>
  <si>
    <t>Collected using inlet CO2 tube rather than outlet as MEP vialcap leaking</t>
  </si>
  <si>
    <t>Collected over saturated NaHCO3 soln, as Martin  innovated without thinking</t>
  </si>
  <si>
    <t>Parameter</t>
  </si>
  <si>
    <t>Name</t>
  </si>
  <si>
    <t>Unit</t>
  </si>
  <si>
    <t>Value</t>
  </si>
  <si>
    <t>Source</t>
  </si>
  <si>
    <t>Comment</t>
  </si>
  <si>
    <t>Reactor_sel</t>
  </si>
  <si>
    <t>select</t>
  </si>
  <si>
    <t>Active build. Choose from the values below. Dropdown.</t>
  </si>
  <si>
    <t>Electrode</t>
  </si>
  <si>
    <t>electrode_sel</t>
  </si>
  <si>
    <t>MMO tube</t>
  </si>
  <si>
    <t>CO₂ delivery route. Choose from the values below. Dropdown.</t>
  </si>
  <si>
    <t>HOB organism</t>
  </si>
  <si>
    <t>organism_sel</t>
  </si>
  <si>
    <t>Cupriavidus necator</t>
  </si>
  <si>
    <t>The HOB strain; sets the DO band the schedule targets.</t>
  </si>
  <si>
    <t>Media</t>
  </si>
  <si>
    <t>media_sel</t>
  </si>
  <si>
    <t>Growth medium.</t>
  </si>
  <si>
    <t>led_intensity</t>
  </si>
  <si>
    <t>%</t>
  </si>
  <si>
    <t>input</t>
  </si>
  <si>
    <t>Stirrer rate</t>
  </si>
  <si>
    <t>stir_rpm_set</t>
  </si>
  <si>
    <t>rpm</t>
  </si>
  <si>
    <t>Stir rate; sets tip speed and surface O2 transfer.</t>
  </si>
  <si>
    <t>Temperature setpoint</t>
  </si>
  <si>
    <t>temp_C</t>
  </si>
  <si>
    <t>°C</t>
  </si>
  <si>
    <t>Temperature setpoint; sets Henry solubilities and rates.</t>
  </si>
  <si>
    <t>Media volume</t>
  </si>
  <si>
    <t>media_volume</t>
  </si>
  <si>
    <t>mL</t>
  </si>
  <si>
    <t>input/blank</t>
  </si>
  <si>
    <t>Liquid charged; leave blank to use the reactor's recommended max working volume.</t>
  </si>
  <si>
    <t>Ambient pressure</t>
  </si>
  <si>
    <t>P_atm_set</t>
  </si>
  <si>
    <t>Pa</t>
  </si>
  <si>
    <t>blank = default 101325 Pa</t>
  </si>
  <si>
    <t>Results</t>
  </si>
  <si>
    <t>How long to open the CO2 solenoid each dose.</t>
  </si>
  <si>
    <t>CO₂ sparge interval</t>
  </si>
  <si>
    <t>min</t>
  </si>
  <si>
    <t>Time between doses. Now credits surface O2 stripping (kL_surf proxy); when surface handles the O2 this is carbon-limited. Refine via the kL_surf measurement.</t>
  </si>
  <si>
    <t>Checks</t>
  </si>
  <si>
    <t>Vial geometry consistent?</t>
  </si>
  <si>
    <t>Red until the vial headspace is measured (vial-geometry.md). While red, the pulse above is provisional (~4x uncertain).</t>
  </si>
  <si>
    <t>Reactor calibrated?</t>
  </si>
  <si>
    <t>Red = no CO2-flow calibration for this reactor; results read 'calibrate first' (flow-calibration.md).</t>
  </si>
  <si>
    <t>O₂ at/under organism optimum?</t>
  </si>
  <si>
    <t>Green = dissolved O2 sits at/under the organism optimum; red = surface stripping insufficient, O2 may breach impairment.</t>
  </si>
  <si>
    <t>O₂ above organism minimum?</t>
  </si>
  <si>
    <t>Minimum DO is a data gap for most organisms (dissolved-oxygen.md).</t>
  </si>
  <si>
    <t>Interval can be relaxed (carbon-limited)?</t>
  </si>
  <si>
    <t>If surface stripping handles O2 you may dose far less often (the carbon-limited interval, in Supporting figures). The interval above is the safe fallback until kL_surf is measured.</t>
  </si>
  <si>
    <t>H₂ headspace safe?</t>
  </si>
  <si>
    <t>EXPLOSIVE = H2 evolves faster than it dissolves; ensure headspace venting and no ignition source.</t>
  </si>
  <si>
    <t>Bubble model valid?</t>
  </si>
  <si>
    <t>'Sinter OOR' = sinter pore size out of the validated bubble range; sparge mass-transfer is approximate (expected for the porosity-0 disc).</t>
  </si>
  <si>
    <t>CO₂ supply meets demand?</t>
  </si>
  <si>
    <t>Ratio of CO2 supplied to carbon demand; should be &gt;= 1.</t>
  </si>
  <si>
    <t>Pulse ≥ solenoid floor?</t>
  </si>
  <si>
    <t>The optimal pulse must exceed the shortest reliable sparge.</t>
  </si>
  <si>
    <t>Dosing window OK?</t>
  </si>
  <si>
    <t>Enough gap between doses to read OD without sparging.</t>
  </si>
  <si>
    <t>Carryover risk?</t>
  </si>
  <si>
    <t>Gas velocity below the entrainment limit (no liquid carried out).</t>
  </si>
  <si>
    <t>Tip-speed shear OK?</t>
  </si>
  <si>
    <t>Stirrer tip speed under the conservative 1.5 m/s shear limit.</t>
  </si>
  <si>
    <t>Media volume fits vial?</t>
  </si>
  <si>
    <t>Media volume not exceeding the max working volume.</t>
  </si>
  <si>
    <t>Liquid level OK?</t>
  </si>
  <si>
    <t>Liquid not above the usable vial depth.</t>
  </si>
  <si>
    <t>LED current-law in range?</t>
  </si>
  <si>
    <t>LED intensity within Gerrit's-Law validated band 3-25% (gerrit-current.md).</t>
  </si>
  <si>
    <t>SUPPORTING FIGURES</t>
  </si>
  <si>
    <t>Steady-state DO (surface)</t>
  </si>
  <si>
    <t>mg/L</t>
  </si>
  <si>
    <t>Predicted dissolved O2 the surface stripping settles at; compare to the organism band.</t>
  </si>
  <si>
    <t>Sparge interval if O₂ handled</t>
  </si>
  <si>
    <t>The longer (carbon-limited) interval usable if the 'relaxed' check is green.</t>
  </si>
  <si>
    <t>Stir-bar tip speed</t>
  </si>
  <si>
    <t>m/s</t>
  </si>
  <si>
    <t>Checked against 1.5 m/s above.</t>
  </si>
  <si>
    <t>Carbon margin</t>
  </si>
  <si>
    <t>×</t>
  </si>
  <si>
    <t>Dissolved CO2 vs RuBisCO Km at in-sparge peak; large = ample carbon.</t>
  </si>
  <si>
    <t>Key</t>
  </si>
  <si>
    <t>Verified / handbook / defined / standard</t>
  </si>
  <si>
    <t>Literature-supported (~90%)</t>
  </si>
  <si>
    <t>Design assumption (~70%)</t>
  </si>
  <si>
    <t>Weak / coarse estimate (~50%)</t>
  </si>
  <si>
    <t>Guess - replace when known</t>
  </si>
  <si>
    <t>DATA GAP - measure, do not invent</t>
  </si>
  <si>
    <t>Value font: blue = input you set/measure</t>
  </si>
  <si>
    <t>black = formula / derived</t>
  </si>
  <si>
    <t>purple = fixed data / constant</t>
  </si>
  <si>
    <t>OK</t>
  </si>
  <si>
    <t>Caution</t>
  </si>
  <si>
    <t>Problem</t>
  </si>
  <si>
    <t>Improvements</t>
  </si>
  <si>
    <t>Impact</t>
  </si>
  <si>
    <t>Effort</t>
  </si>
  <si>
    <t>Protocol</t>
  </si>
  <si>
    <t>Why it matters</t>
  </si>
  <si>
    <t>GEOMETRY</t>
  </si>
  <si>
    <t>Source / assumption</t>
  </si>
  <si>
    <t>IMPORTS (from other tabs)</t>
  </si>
  <si>
    <t>(import) Reactor selection</t>
  </si>
  <si>
    <t>reactor_sel</t>
  </si>
  <si>
    <t>-</t>
  </si>
  <si>
    <t>(import) Media volume (set)</t>
  </si>
  <si>
    <t xml:space="preserve">  valid version 1</t>
  </si>
  <si>
    <t>ver_name_1</t>
  </si>
  <si>
    <t>AEP0.1.1</t>
  </si>
  <si>
    <t>Superseded by the reactor-type lookup below; not read by any formula</t>
  </si>
  <si>
    <t xml:space="preserve">  valid version 2</t>
  </si>
  <si>
    <t>ver_name_2</t>
  </si>
  <si>
    <t>AEP0.2</t>
  </si>
  <si>
    <t>Vial outer diameter - AEP0.1.1</t>
  </si>
  <si>
    <t>vial_OD_1</t>
  </si>
  <si>
    <t>mm</t>
  </si>
  <si>
    <t>Vial outer diameter - AEP0.2</t>
  </si>
  <si>
    <t>vial_OD_2</t>
  </si>
  <si>
    <t>Internal usable depth - AEP0.1.1</t>
  </si>
  <si>
    <t>D_int_1</t>
  </si>
  <si>
    <t>Internal usable depth - AEP0.2</t>
  </si>
  <si>
    <t>D_int_2</t>
  </si>
  <si>
    <t>Recommended max working volume - AEP0.1.1</t>
  </si>
  <si>
    <t>Vmax_1</t>
  </si>
  <si>
    <t>Recommended max working volume - AEP0.2</t>
  </si>
  <si>
    <t>Vmax_2</t>
  </si>
  <si>
    <t>Total internal vial volume - AEP0.1.1</t>
  </si>
  <si>
    <t>Vtot_1</t>
  </si>
  <si>
    <t>Total internal vial volume - AEP0.2</t>
  </si>
  <si>
    <t>Vtot_2</t>
  </si>
  <si>
    <t>Vial outer diameter</t>
  </si>
  <si>
    <t>vial_OD</t>
  </si>
  <si>
    <t>Selected by rx_ver; invalid version returns an error.</t>
  </si>
  <si>
    <t>Vial wall thickness</t>
  </si>
  <si>
    <t>vial_wall</t>
  </si>
  <si>
    <t>Borosilicate vial; Pioreactor publish neither wall nor internal diameter, so wall estimated ~1.1 mm (typical for this glass-vial class).</t>
  </si>
  <si>
    <t>Vial internal diameter</t>
  </si>
  <si>
    <t>vial_ID</t>
  </si>
  <si>
    <t>OD minus two wall thicknesses.</t>
  </si>
  <si>
    <t>Internal cross-sectional area</t>
  </si>
  <si>
    <t>A_x</t>
  </si>
  <si>
    <t>mm²</t>
  </si>
  <si>
    <t>Uniform-cylinder body approximation (neck excluded - see headspace).</t>
  </si>
  <si>
    <t>Internal usable depth</t>
  </si>
  <si>
    <t>D_int</t>
  </si>
  <si>
    <t>Selected by rx_ver.</t>
  </si>
  <si>
    <t>Recommended max working volume (datum)</t>
  </si>
  <si>
    <t>V_max</t>
  </si>
  <si>
    <t>Total internal vial volume</t>
  </si>
  <si>
    <t>V_vial_total</t>
  </si>
  <si>
    <t>Bare liquid level (datum height)</t>
  </si>
  <si>
    <t>h_datum</t>
  </si>
  <si>
    <t>Height the bare max volume reaches with no inserts.</t>
  </si>
  <si>
    <t>Electrode rod diameter</t>
  </si>
  <si>
    <t>rod_d</t>
  </si>
  <si>
    <t>6 mm rod electrodes.</t>
  </si>
  <si>
    <t>Number of electrodes</t>
  </si>
  <si>
    <t>rod_n</t>
  </si>
  <si>
    <t>Anode + cathode.</t>
  </si>
  <si>
    <t>Electrode tip clearance above base</t>
  </si>
  <si>
    <t>elec_clear</t>
  </si>
  <si>
    <t>Held constant across builds (OD clear zone). 22 mm ↔ 33 mm insertion in AEP0.1.1. Input.</t>
  </si>
  <si>
    <t>Electrode insertion depth (derived)</t>
  </si>
  <si>
    <t>elec_ins</t>
  </si>
  <si>
    <t>Cap underside -&gt; tip. Increases for the taller AEP0.2 to keep clearance constant.</t>
  </si>
  <si>
    <t>Sparge tube OD</t>
  </si>
  <si>
    <t>spg_OD</t>
  </si>
  <si>
    <t>1/8" OD Flexelene 135C.</t>
  </si>
  <si>
    <t>Sparge tube ID</t>
  </si>
  <si>
    <t>spg_ID</t>
  </si>
  <si>
    <t>1/16" ID.</t>
  </si>
  <si>
    <t>Sparge release height (= anode tip)</t>
  </si>
  <si>
    <t>spg_tip_h</t>
  </si>
  <si>
    <t>CO₂ released near anode tip.</t>
  </si>
  <si>
    <t>Efflux tube OD</t>
  </si>
  <si>
    <t>eff_OD</t>
  </si>
  <si>
    <t>Efflux tube ID</t>
  </si>
  <si>
    <t>eff_ID</t>
  </si>
  <si>
    <t>Electrode submerged length (@datum)</t>
  </si>
  <si>
    <t>elec_sub_L</t>
  </si>
  <si>
    <t>For displacement bookkeeping.</t>
  </si>
  <si>
    <t>Electrode displaced volume</t>
  </si>
  <si>
    <t>elec_disp</t>
  </si>
  <si>
    <t>Submerged rod volume.</t>
  </si>
  <si>
    <t>Sparge tube displaced volume</t>
  </si>
  <si>
    <t>spg_disp</t>
  </si>
  <si>
    <t>Submerged sparge-tube volume.</t>
  </si>
  <si>
    <t>Efflux tube submerged length</t>
  </si>
  <si>
    <t>eff_sub_L</t>
  </si>
  <si>
    <t>45 deg cut; level held at top of the ID opening, so wall is wetted from tip up to (OD+ID)/2.</t>
  </si>
  <si>
    <t>Efflux tube displaced volume</t>
  </si>
  <si>
    <t>eff_disp</t>
  </si>
  <si>
    <t>Annular wall only (bore is open to withdrawal). 45 deg approximation.</t>
  </si>
  <si>
    <t>Total displaced volume</t>
  </si>
  <si>
    <t>disp_tot</t>
  </si>
  <si>
    <t>Sum of submerged inserts.</t>
  </si>
  <si>
    <t>LIQUID VOLUME TO CHARGE</t>
  </si>
  <si>
    <t>V_charge</t>
  </si>
  <si>
    <t>Integer mL to charge so the level matches the bare datum despite inserts.</t>
  </si>
  <si>
    <t>Resulting liquid level</t>
  </si>
  <si>
    <t>h_actual</t>
  </si>
  <si>
    <t>Level achieved by the integer charge (displacement taken at datum; sub-mm error).</t>
  </si>
  <si>
    <t>Sparge depth / bubble path length</t>
  </si>
  <si>
    <t>sparge_depth</t>
  </si>
  <si>
    <t>Release point to surface.</t>
  </si>
  <si>
    <t>Gas-liquid interfacial area</t>
  </si>
  <si>
    <t>interface_A</t>
  </si>
  <si>
    <t>Free surface = cross-section minus inserts piercing it.</t>
  </si>
  <si>
    <t>Extra headspace tube OD</t>
  </si>
  <si>
    <t>xtube_OD</t>
  </si>
  <si>
    <t>3 further 1/8" tubes (gas-out, etc.) through the cap.</t>
  </si>
  <si>
    <t>Number of extra headspace tubes</t>
  </si>
  <si>
    <t>xtube_n</t>
  </si>
  <si>
    <t>Protrude through the cap into headspace. 1x media in, 2x gas out</t>
  </si>
  <si>
    <t>Extra tube protrusion</t>
  </si>
  <si>
    <t>xtube_pro</t>
  </si>
  <si>
    <t>Each protrudes ~5 mm below cap (45 deg cut). Input.</t>
  </si>
  <si>
    <t>Total in-vial insert volume</t>
  </si>
  <si>
    <t>V_inserts</t>
  </si>
  <si>
    <t>In-vial inserts: electrodes &amp; sparge solid; efflux annular (open bore); extra tubes solid.</t>
  </si>
  <si>
    <t>Headspace gas volume</t>
  </si>
  <si>
    <t>headspace_V</t>
  </si>
  <si>
    <t>Total vial volume - liquid charged - inserts (captures neck narrowing).</t>
  </si>
  <si>
    <t>Sparge tube in-vial length</t>
  </si>
  <si>
    <t>spg_len</t>
  </si>
  <si>
    <t>Cap underside to release point; tracks spg_tip_h.</t>
  </si>
  <si>
    <t>Reactor type (resolved from reactor)</t>
  </si>
  <si>
    <t>rx_ver</t>
  </si>
  <si>
    <t>Stir-bar length (from reactor type)</t>
  </si>
  <si>
    <t>stir_bar_L</t>
  </si>
  <si>
    <t>40 mL OD = 20 mL diameter (Pioreactor source); depths/volumes confirm by measurement.</t>
  </si>
  <si>
    <t>Media vs max working volume</t>
  </si>
  <si>
    <t>media_vol_warn</t>
  </si>
  <si>
    <t>Liquid level vs usable depth</t>
  </si>
  <si>
    <t>depth_warn</t>
  </si>
  <si>
    <t>REACTOR LOOKUP  (reactor ID → type)</t>
  </si>
  <si>
    <t>Type</t>
  </si>
  <si>
    <t>imp01</t>
  </si>
  <si>
    <t>imp02</t>
  </si>
  <si>
    <t>imp03</t>
  </si>
  <si>
    <t>imp04</t>
  </si>
  <si>
    <t>imp05</t>
  </si>
  <si>
    <t>imp06</t>
  </si>
  <si>
    <t>ed01</t>
  </si>
  <si>
    <t>ed02</t>
  </si>
  <si>
    <t>ed03</t>
  </si>
  <si>
    <t>MEP0.3</t>
  </si>
  <si>
    <t>ed05</t>
  </si>
  <si>
    <t>ed06</t>
  </si>
  <si>
    <t>ed07</t>
  </si>
  <si>
    <t>ed08</t>
  </si>
  <si>
    <t>imp07</t>
  </si>
  <si>
    <t>imp08</t>
  </si>
  <si>
    <t>imp09</t>
  </si>
  <si>
    <t>imp10</t>
  </si>
  <si>
    <t>imp11</t>
  </si>
  <si>
    <t>imp12</t>
  </si>
  <si>
    <t>nm01</t>
  </si>
  <si>
    <t>AEP0.2a</t>
  </si>
  <si>
    <t>nm02</t>
  </si>
  <si>
    <t>REACTOR-TYPE LOOKUP  (geometry &amp; stir bar; pulled by type)</t>
  </si>
  <si>
    <t>Pioreactor</t>
  </si>
  <si>
    <t>vial (mL)</t>
  </si>
  <si>
    <t>usable depth (mm)</t>
  </si>
  <si>
    <t>max working (mL)</t>
  </si>
  <si>
    <t>total vial (mL)</t>
  </si>
  <si>
    <t>vial OD (mm)</t>
  </si>
  <si>
    <t>stir bar L (mm)</t>
  </si>
  <si>
    <t>stir bar dia (mm)</t>
  </si>
  <si>
    <t>1.1</t>
  </si>
  <si>
    <t>1.5</t>
  </si>
  <si>
    <t>VIAL GEOMETRY CONSISTENCY CHECK</t>
  </si>
  <si>
    <t>Vial geometry consistency check</t>
  </si>
  <si>
    <t>geom_check</t>
  </si>
  <si>
    <t>Fires INCONSISTENT for the 20 mL vial because the bare cylinder (A_x x usable depth ~28 mL) overestimates the true 20 mL vial (it tapers/necks, not a full cylinder to 55 mm). Expected tolerance artifact, not a data error - resolved by measuring true bore depth (protocols/vial-geometry.md).</t>
  </si>
  <si>
    <t>ELECTROCHEMISTRY</t>
  </si>
  <si>
    <t>(import) Temperature (absolute)</t>
  </si>
  <si>
    <t>T_K</t>
  </si>
  <si>
    <t>K</t>
  </si>
  <si>
    <t>(import) Surface pressure</t>
  </si>
  <si>
    <t>P_atm</t>
  </si>
  <si>
    <t>(import) Ideal gas constant</t>
  </si>
  <si>
    <t>R_gas</t>
  </si>
  <si>
    <t>J/mol/K</t>
  </si>
  <si>
    <t>(import) Electrode selection</t>
  </si>
  <si>
    <t>LED intensity setpoint (Pioreactor LED_D)</t>
  </si>
  <si>
    <t>intensity</t>
  </si>
  <si>
    <t>Electrode drive via LED_D channel. Input.</t>
  </si>
  <si>
    <t>Gerrit's Law - slope</t>
  </si>
  <si>
    <t>gerrit_slope</t>
  </si>
  <si>
    <t>mA/%</t>
  </si>
  <si>
    <t>Gerrit's Law fit (slope) - from LED-current calibration; see protocol gerrit-current.md</t>
  </si>
  <si>
    <t>Gerrit's Law - intercept</t>
  </si>
  <si>
    <t>gerrit_int</t>
  </si>
  <si>
    <t>mA</t>
  </si>
  <si>
    <t>Gerrit's Law fit (intercept); calibration-derived constant</t>
  </si>
  <si>
    <t>Gerrit's Law - min valid intensity</t>
  </si>
  <si>
    <t>gerrit_min</t>
  </si>
  <si>
    <t>Fit validated from 3%.</t>
  </si>
  <si>
    <t>Gerrit's Law - max valid intensity</t>
  </si>
  <si>
    <t>gerrit_max</t>
  </si>
  <si>
    <t>Fit validated to 25%; above this constant-current may fail as cell V nears the 5 V rail.</t>
  </si>
  <si>
    <t>Faraday constant</t>
  </si>
  <si>
    <t>F_const</t>
  </si>
  <si>
    <t>C/mol</t>
  </si>
  <si>
    <t>NIST CODATA (exact, SI 2019).</t>
  </si>
  <si>
    <t>Electrons per H₂</t>
  </si>
  <si>
    <t>z_e_H2</t>
  </si>
  <si>
    <t>2H⁺ + 2e⁻ -&gt; H₂.</t>
  </si>
  <si>
    <t>Electrons per O₂</t>
  </si>
  <si>
    <t>z_e_O2</t>
  </si>
  <si>
    <t>2H₂O -&gt; O₂ + 4H⁺ + 4e⁻.</t>
  </si>
  <si>
    <t>Faradaic efficiency – H₂ at cathode (HER share)</t>
  </si>
  <si>
    <t>etaF</t>
  </si>
  <si>
    <t>Electrolysis current (Gerrit's Law)</t>
  </si>
  <si>
    <t>I_app</t>
  </si>
  <si>
    <t>A</t>
  </si>
  <si>
    <t>I(mA) = slope x intensity + intercept; /1000 -&gt; A.</t>
  </si>
  <si>
    <t>Gerrit's Law validity flag</t>
  </si>
  <si>
    <t>I_valid</t>
  </si>
  <si>
    <t>Linear fit only validated over the stated range.</t>
  </si>
  <si>
    <t>H₂ generation rate</t>
  </si>
  <si>
    <t>rH2_gen</t>
  </si>
  <si>
    <t>mol/h</t>
  </si>
  <si>
    <t>Faraday: I x etaF /(z F).</t>
  </si>
  <si>
    <t>O₂ generation rate (anodic, gross)</t>
  </si>
  <si>
    <t>rO2_gen</t>
  </si>
  <si>
    <t>Anodic OER, gross. Uses etaF_OER (anodic), not the cathodic etaF. H₂:O₂(anodic) = 2:1.</t>
  </si>
  <si>
    <t>H₂ generation rate (volumetric)</t>
  </si>
  <si>
    <t>V_H2_gen</t>
  </si>
  <si>
    <t>mL/min</t>
  </si>
  <si>
    <t>Ideal gas at surface T,P. Collect gas over water to check against this.</t>
  </si>
  <si>
    <t>O₂ generation rate (volumetric)</t>
  </si>
  <si>
    <t>V_O2_gen</t>
  </si>
  <si>
    <t>Anodic gross O₂.</t>
  </si>
  <si>
    <t>Total gas generation rate</t>
  </si>
  <si>
    <t>V_gas_total</t>
  </si>
  <si>
    <t>Total electrolytic gas (H₂+O₂) — abiotic check: collect over water, no cells, to verify Gerrit/etaF. Less if etaF&lt;1.</t>
  </si>
  <si>
    <t>Anodic O₂ faradaic efficiency</t>
  </si>
  <si>
    <t>etaF_OER</t>
  </si>
  <si>
    <t>Electrons per O₂ reduced (cathode)</t>
  </si>
  <si>
    <t>z_e_ORR</t>
  </si>
  <si>
    <t>Electrode lookup fixes ORR at 2 e- (peroxide pathway, SS cathode, neutral pH) for every current electrode; a 4 e- (to-water) electrode would need its own table row.</t>
  </si>
  <si>
    <t>O₂ consumed at cathode (ORR)</t>
  </si>
  <si>
    <t>O2_cathode_ORR</t>
  </si>
  <si>
    <t>Cathodic current not making H₂ (1−etaF) reduces dissolved O₂. 0 at etaF=1.</t>
  </si>
  <si>
    <t>Net O₂ to dissolved pool</t>
  </si>
  <si>
    <t>O2_net_gen</t>
  </si>
  <si>
    <t>Anodic O₂ minus cathodic consumption — the O₂ the dissolved pool receives.</t>
  </si>
  <si>
    <t>z_e_ORR=2 assumed (peroxide, non-Pt SS cathode, neutral pH); etaF unmeasured - both live here per electrode.</t>
  </si>
  <si>
    <t>Sparger (from electrode)</t>
  </si>
  <si>
    <t>sparger_e</t>
  </si>
  <si>
    <t>Sinter porosity grade (from electrode)</t>
  </si>
  <si>
    <t>por_grade_e</t>
  </si>
  <si>
    <t>Porosity 0 = Gerrit's sourced sintered disc (SD8/0/P 8mm, fallback SD10/0/P 10mm; Scientific Glass Labs, 2026-05)</t>
  </si>
  <si>
    <t>ELECTRODE LOOKUP  (selecting the electrode sets sparger, porosity, cathode)</t>
  </si>
  <si>
    <t>anode material</t>
  </si>
  <si>
    <t>anode dia (mm)</t>
  </si>
  <si>
    <t>sparger</t>
  </si>
  <si>
    <t>sinter porosity</t>
  </si>
  <si>
    <t>cathode</t>
  </si>
  <si>
    <t>cathode dia (mm)</t>
  </si>
  <si>
    <t>Pt/Ti rod</t>
  </si>
  <si>
    <t>Pt/Ti</t>
  </si>
  <si>
    <t>Tube</t>
  </si>
  <si>
    <t>n/a</t>
  </si>
  <si>
    <t>SS rod</t>
  </si>
  <si>
    <t>?</t>
  </si>
  <si>
    <t>MMO rod</t>
  </si>
  <si>
    <t>MMO</t>
  </si>
  <si>
    <t>Sintered</t>
  </si>
  <si>
    <t>BIOLOGY</t>
  </si>
  <si>
    <t>(import) H₂ generation rate</t>
  </si>
  <si>
    <t>(import) Net O₂ to dissolved pool</t>
  </si>
  <si>
    <t>(import) LIQUID VOLUME TO CHARGE</t>
  </si>
  <si>
    <t>(import) HOB organism</t>
  </si>
  <si>
    <t>Gas requirement ratio - H₂</t>
  </si>
  <si>
    <t>bio_H2</t>
  </si>
  <si>
    <t>H₂:O₂:CO₂ UPTAKE ratio (not feed; phase-dependent, Lu &amp; Yu 2019). Knallgas caps O₂:H₂≤0.5; growth gives O₂:H₂≈0.29–0.35, CO₂:H₂≈0.15–0.19. 6:2:1 = mid-range central. Feed optimum 7:2:1 (Ishizaki 2001). Can't measure pre-growth.</t>
  </si>
  <si>
    <t>Gas requirement ratio - O₂</t>
  </si>
  <si>
    <t>bio_O2</t>
  </si>
  <si>
    <t>O₂:H₂ uptake, range 0.29–0.35 (×6 → 1.75–2.1). 2 = central; 1.8 (lean) is growth-protective.</t>
  </si>
  <si>
    <t>Gas requirement ratio - CO₂</t>
  </si>
  <si>
    <t>bio_CO2</t>
  </si>
  <si>
    <t>CO₂:H₂ uptake, range 0.15–0.19 (×6 → 0.9–1.15). 1 = central. Supply ≫ demand → non-limiting.</t>
  </si>
  <si>
    <t>H₂ consumed</t>
  </si>
  <si>
    <t>H2_cons</t>
  </si>
  <si>
    <t>Assumes 100% of evolved H₂ consumed — steady growth only; ~0 during lag (see §13).</t>
  </si>
  <si>
    <t>O₂ consumed</t>
  </si>
  <si>
    <t>O2_cons</t>
  </si>
  <si>
    <t>Assumes 100% H₂ uptake (upper bound); true limit is gas-liquid H₂ transfer — see H2_turnover</t>
  </si>
  <si>
    <t>CO₂ consumed (carbon fixation)</t>
  </si>
  <si>
    <t>CO2_cons</t>
  </si>
  <si>
    <t>H₂ consumed x (CO₂/H₂ ratio).</t>
  </si>
  <si>
    <t>EXCESS O₂ to remove</t>
  </si>
  <si>
    <t>O2_excess</t>
  </si>
  <si>
    <t>Temperature</t>
  </si>
  <si>
    <t>T_C</t>
  </si>
  <si>
    <t>C. necator optimum ~30 °C. Input.</t>
  </si>
  <si>
    <t>Temperature (absolute)</t>
  </si>
  <si>
    <t>°C + 273.15.</t>
  </si>
  <si>
    <t>Surface pressure</t>
  </si>
  <si>
    <t>Atmospheric at the liquid surface (assumed).</t>
  </si>
  <si>
    <t>Standard atmosphere (atm-&gt;Pa)</t>
  </si>
  <si>
    <t>Pa_per_atm</t>
  </si>
  <si>
    <t>Pa/atm</t>
  </si>
  <si>
    <t>Defined: 1 atm = 101 325 Pa exactly.</t>
  </si>
  <si>
    <t>Henry solubility O₂ (ref, 298.15 K)</t>
  </si>
  <si>
    <t>H_O2ref</t>
  </si>
  <si>
    <t>mol/m³/Pa</t>
  </si>
  <si>
    <t>Sander (2023) recommended H^cp O2; reproduces ~7.5 mg/L air-saturation at 30 degC</t>
  </si>
  <si>
    <t>Henry T-dependence O₂</t>
  </si>
  <si>
    <t>H_O2T</t>
  </si>
  <si>
    <t>Sander (2023): d ln(Hcp)/d(1/T).</t>
  </si>
  <si>
    <t>Reference temperature</t>
  </si>
  <si>
    <t>T_ref</t>
  </si>
  <si>
    <t>Standard reference for Henry constants.</t>
  </si>
  <si>
    <t>Henry solubility O₂ at T</t>
  </si>
  <si>
    <t>H_O2_T</t>
  </si>
  <si>
    <t>van 't Hoff correction to reactor T.</t>
  </si>
  <si>
    <t>O₂ growth-inhibition ceiling (gas)</t>
  </si>
  <si>
    <t>O2_ceil_atm</t>
  </si>
  <si>
    <t>atm</t>
  </si>
  <si>
    <t>Whole-cell growth inhibited above ~0.30 atm O₂ (Amer &amp; Kim 2023); the [NiFe] hydrogenase itself is O₂-tolerant.</t>
  </si>
  <si>
    <t>O₂ ceiling (partial pressure)</t>
  </si>
  <si>
    <t>O2_ceil_Pa</t>
  </si>
  <si>
    <t>Ceiling in Pa.</t>
  </si>
  <si>
    <t>Dissolved-O₂ ceiling</t>
  </si>
  <si>
    <t>O2_ceil_C</t>
  </si>
  <si>
    <t>mol/m³</t>
  </si>
  <si>
    <t>Henry's law at the gas ceiling.</t>
  </si>
  <si>
    <t>O2_ceil_uM</t>
  </si>
  <si>
    <t>µM</t>
  </si>
  <si>
    <t>mol/m³ = mM; ×1000 = µM. Aim: minimise dissolved O₂; floor set by O₂-removal capacity (§11).</t>
  </si>
  <si>
    <t>Henry solubility CO₂ (ref, 298.15 K)</t>
  </si>
  <si>
    <t>H_CO2ref</t>
  </si>
  <si>
    <t>Henry T-dependence CO₂</t>
  </si>
  <si>
    <t>H_CO2T</t>
  </si>
  <si>
    <t>Sander (2023): d ln(Hcp)/d(1/T) for CO₂.</t>
  </si>
  <si>
    <t>Henry solubility CO₂ at T</t>
  </si>
  <si>
    <t>H_CO2_T</t>
  </si>
  <si>
    <t>van 't Hoff to reactor T.</t>
  </si>
  <si>
    <t>CO₂ partial pressure at sparge</t>
  </si>
  <si>
    <t>p_CO2_sparge</t>
  </si>
  <si>
    <t>Pure-CO₂ sparge: p_CO₂ ≈ surface pressure during a pulse. Assumption.</t>
  </si>
  <si>
    <t>Dissolved CO₂ (during sparge)</t>
  </si>
  <si>
    <t>CO2_diss</t>
  </si>
  <si>
    <t>Equilibrium dissolved CO₂ while sparging (mol/m³ = mM).</t>
  </si>
  <si>
    <t>RuBisCO Km for CO₂</t>
  </si>
  <si>
    <t>Km_CO2</t>
  </si>
  <si>
    <t>RuBisCO Km(CO₂) ~ order 50 µM. Coarse — confirm.</t>
  </si>
  <si>
    <t>Carbon margin (dissolved CO₂ : Km)</t>
  </si>
  <si>
    <t>CO2_carbon_margin</t>
  </si>
  <si>
    <t>Dissolved CO₂ : RuBisCO Km. ≫1 = saturating (duty-averaged lower).</t>
  </si>
  <si>
    <t>Carbonic-acid Ka1 (apparent)</t>
  </si>
  <si>
    <t>Ka1_carb</t>
  </si>
  <si>
    <t>mol/L</t>
  </si>
  <si>
    <t>CO₂(aq)+H₂O ⇌ H⁺+HCO₃⁻, pKa1 6.35 (25 °C).</t>
  </si>
  <si>
    <t>pH — UNBUFFERED worst case</t>
  </si>
  <si>
    <t>pH_CO2_unbuf</t>
  </si>
  <si>
    <t>Unbuffered worst case (pure water + CO₂) — lower bound only; the Sydow phosphate medium holds pH near setpoint.</t>
  </si>
  <si>
    <t>Henry solubility H₂ (ref, 298.15 K)</t>
  </si>
  <si>
    <t>H_H2ref</t>
  </si>
  <si>
    <t>Henry T-dependence H₂</t>
  </si>
  <si>
    <t>H_H2T</t>
  </si>
  <si>
    <t>Sander (2023): d ln(Hcp)/d(1/T) for H₂ (weak T-dependence).</t>
  </si>
  <si>
    <t>Henry solubility H₂ at T</t>
  </si>
  <si>
    <t>H_H2_T</t>
  </si>
  <si>
    <t>Dissolved-H₂ saturation (1 atm)</t>
  </si>
  <si>
    <t>C_H2_sat</t>
  </si>
  <si>
    <t>Max dissolved H₂ at 1 atm — the cells' H₂ ceiling.</t>
  </si>
  <si>
    <t>Time to saturate dissolved H₂ (LAG)</t>
  </si>
  <si>
    <t>t_H2_sat</t>
  </si>
  <si>
    <t>Lag: dissolved H₂ saturates this fast unconsumed, then bubbles off (lost + explosive headspace). Mirrors the O₂ lag timescale.</t>
  </si>
  <si>
    <t>H₂ pool turnovers per hour</t>
  </si>
  <si>
    <t>H2_turnover</t>
  </si>
  <si>
    <t>1/h</t>
  </si>
  <si>
    <t>H₂ evolved ÷ saturable pool. ≫1 → cells must consume in near-real-time or it escapes.</t>
  </si>
  <si>
    <t>H₂ headspace safety flag</t>
  </si>
  <si>
    <t>H2_safety</t>
  </si>
  <si>
    <t>On when H₂ escapes faster than it dissolves (H2_turnover&gt;1) → explosive H₂+O₂ headspace (4–94% in O₂). On at any useful current — headspace venting is mandatory.</t>
  </si>
  <si>
    <t>Pink no longer used here - red fill = hazard (H2 evolving faster than it dissolves), not a data gap.</t>
  </si>
  <si>
    <t>Minimum DO (organism)</t>
  </si>
  <si>
    <t>DO_min</t>
  </si>
  <si>
    <t>Optimum DO (organism)</t>
  </si>
  <si>
    <t>DO_opt</t>
  </si>
  <si>
    <t>Impairment DO (organism)</t>
  </si>
  <si>
    <t>DO_impair</t>
  </si>
  <si>
    <t>Toxic/inhibition DO (organism)</t>
  </si>
  <si>
    <t>DO_toxic</t>
  </si>
  <si>
    <t>HOB LOOKUP  (dissolved O₂ thresholds, mg/L)</t>
  </si>
  <si>
    <t>Organism</t>
  </si>
  <si>
    <t>minimum DO</t>
  </si>
  <si>
    <t>optimum DO</t>
  </si>
  <si>
    <t>impairment DO</t>
  </si>
  <si>
    <t>toxic DO</t>
  </si>
  <si>
    <t>source</t>
  </si>
  <si>
    <t>11.5 = Wilde &amp; Schlegel 1982 literature datum; model's operative O2 ceiling is computed via Henry (~10.7 mg/L at 30C) - the two differ slightly</t>
  </si>
  <si>
    <t>Xanthobacter autotrophicus</t>
  </si>
  <si>
    <t>Wilde &amp; Schlegel 1982 (~0.30 atm)</t>
  </si>
  <si>
    <t>Xanthobacter flavus</t>
  </si>
  <si>
    <t>no species data — assume genus ~11.5</t>
  </si>
  <si>
    <t>Xanthobacter tagetidis</t>
  </si>
  <si>
    <t>Cupriavidus metallidurans</t>
  </si>
  <si>
    <t>UdG (mixed)</t>
  </si>
  <si>
    <t>Rovira-Alsina 2025; Pous 2022/23</t>
  </si>
  <si>
    <t>MASS TRANSFER</t>
  </si>
  <si>
    <t>(import) Stir-bar length (from reactor type)</t>
  </si>
  <si>
    <t>stir_len</t>
  </si>
  <si>
    <t>Magnetic stir bar. Pioreactor max 20 mm; confirm the supplied bar's length. Input.</t>
  </si>
  <si>
    <t>(import) Dissolved-O₂ ceiling</t>
  </si>
  <si>
    <t>(import) O₂ ceiling (partial pressure)</t>
  </si>
  <si>
    <t>(import) CO₂ consumed (carbon fixation)</t>
  </si>
  <si>
    <t>(import) EXCESS O₂ to remove</t>
  </si>
  <si>
    <t>(import) Henry solubility O₂ at T</t>
  </si>
  <si>
    <t>(import) Gas-liquid interfacial area</t>
  </si>
  <si>
    <t>(import) Vial internal diameter</t>
  </si>
  <si>
    <t>(import) Internal cross-sectional area</t>
  </si>
  <si>
    <t>(import) Sparge tube ID</t>
  </si>
  <si>
    <t>(import) Headspace gas volume</t>
  </si>
  <si>
    <t>(import) Sinter porosity grade (from electrode)</t>
  </si>
  <si>
    <t>por_grade</t>
  </si>
  <si>
    <t>0-5</t>
  </si>
  <si>
    <t>(import) Sparger type (from electrode)</t>
  </si>
  <si>
    <t>(import) Optimum DO (organism)</t>
  </si>
  <si>
    <t>(import) Impairment DO (organism)</t>
  </si>
  <si>
    <t>(import) Toxic/inhibition DO (organism)</t>
  </si>
  <si>
    <t>(import) Minimum DO (organism)</t>
  </si>
  <si>
    <t xml:space="preserve">  valid sparger 1</t>
  </si>
  <si>
    <t>spg_name_1</t>
  </si>
  <si>
    <t>Bare 1/8" OD x 1/16" ID Flexelene 135C tube orifice.</t>
  </si>
  <si>
    <t xml:space="preserve">  valid sparger 2</t>
  </si>
  <si>
    <t>spg_name_2</t>
  </si>
  <si>
    <t>10 mm sintered-glass disc annulus on a tubular anode.</t>
  </si>
  <si>
    <t>Surface tension (water, T)</t>
  </si>
  <si>
    <t>sigma</t>
  </si>
  <si>
    <t>N/m</t>
  </si>
  <si>
    <t>Liquid density (water, T)</t>
  </si>
  <si>
    <t>rho_L</t>
  </si>
  <si>
    <t>kg/m³</t>
  </si>
  <si>
    <t>Gravitational acceleration</t>
  </si>
  <si>
    <t>g_const</t>
  </si>
  <si>
    <t>m/s²</t>
  </si>
  <si>
    <t>Standard gravity (defined).</t>
  </si>
  <si>
    <t>O₂ diffusivity in water (T)</t>
  </si>
  <si>
    <t>D_O2</t>
  </si>
  <si>
    <t>m²/s</t>
  </si>
  <si>
    <t>Pore size - grade 0</t>
  </si>
  <si>
    <t>por0_um</t>
  </si>
  <si>
    <t>µm</t>
  </si>
  <si>
    <t>DURAN P0 160-250 µm, midpoint. ISO 4793 (paywalled) underlies; DURAN table is free.</t>
  </si>
  <si>
    <t>Pore size - grade 1</t>
  </si>
  <si>
    <t>por1_um</t>
  </si>
  <si>
    <t>DURAN P1 100-160 µm, midpoint.</t>
  </si>
  <si>
    <t>Pore size - grade 2</t>
  </si>
  <si>
    <t>por2_um</t>
  </si>
  <si>
    <t>DURAN P2 40-100 µm, midpoint.</t>
  </si>
  <si>
    <t>Pore size - grade 3</t>
  </si>
  <si>
    <t>por3_um</t>
  </si>
  <si>
    <t>DURAN P3 16-40 µm, midpoint.</t>
  </si>
  <si>
    <t>Pore size - grade 4</t>
  </si>
  <si>
    <t>por4_um</t>
  </si>
  <si>
    <t>DURAN P4 10-16 µm, midpoint.</t>
  </si>
  <si>
    <t>Pore size - grade 5</t>
  </si>
  <si>
    <t>por5_um</t>
  </si>
  <si>
    <t>DURAN P5 1.0-1.6 µm, midpoint.</t>
  </si>
  <si>
    <t>Selected sinter pore diameter</t>
  </si>
  <si>
    <t>por_pore</t>
  </si>
  <si>
    <t>m</t>
  </si>
  <si>
    <t>Picked by por_grade.</t>
  </si>
  <si>
    <t>Tube orifice diameter</t>
  </si>
  <si>
    <t>tube_d_m</t>
  </si>
  <si>
    <t>Tube ID in metres.</t>
  </si>
  <si>
    <t>Effective orifice/pore diameter</t>
  </si>
  <si>
    <t>d_orifice</t>
  </si>
  <si>
    <t>Tube ID or sinter pore; invalid sparger returns an error.</t>
  </si>
  <si>
    <t>Bubble detachment diameter</t>
  </si>
  <si>
    <t>d_bubble</t>
  </si>
  <si>
    <t>Static low-flow force balance (buoyancy vs surface tension); valid in the quasi-static regime — see bubble_regime (§10).</t>
  </si>
  <si>
    <t>Bubble diameter (display)</t>
  </si>
  <si>
    <t>d_bubble_mm</t>
  </si>
  <si>
    <t>Mendelson coefficient a</t>
  </si>
  <si>
    <t>mend_a</t>
  </si>
  <si>
    <t>Mendelson (1967) wave-theory bubble rise correlation (AIChE J, paywalled).</t>
  </si>
  <si>
    <t>Mendelson coefficient b</t>
  </si>
  <si>
    <t>mend_b</t>
  </si>
  <si>
    <t>Mendelson (1967), as above.</t>
  </si>
  <si>
    <t>Bubble rise velocity</t>
  </si>
  <si>
    <t>u_rise</t>
  </si>
  <si>
    <t>Mendelson rise velocity, valid ~1–10 mm. Sub-mm bubbles (fine sinters) are out of range → bubble strip excluded and flagged (bubble_regime); §11 surface path and §14 optimiser unaffected. Tube = 4.1 mm.</t>
  </si>
  <si>
    <t>Superficial gas velocity (sparge on)</t>
  </si>
  <si>
    <t>u_sg</t>
  </si>
  <si>
    <t>Gas flow / liquid cross-section.</t>
  </si>
  <si>
    <t>Gas holdup (sparge on)</t>
  </si>
  <si>
    <t>holdup</t>
  </si>
  <si>
    <t>ε ≈ superficial gas velocity / rise velocity.</t>
  </si>
  <si>
    <t>Interfacial area for transfer</t>
  </si>
  <si>
    <t>a_int</t>
  </si>
  <si>
    <t>1/m</t>
  </si>
  <si>
    <t>a = 6ε/d_b (spheres).</t>
  </si>
  <si>
    <t>Bubble-liquid contact time</t>
  </si>
  <si>
    <t>t_contact</t>
  </si>
  <si>
    <t>d_b / rise velocity.</t>
  </si>
  <si>
    <t>Liquid-film coefficient kL</t>
  </si>
  <si>
    <t>kL</t>
  </si>
  <si>
    <t>Higbie penetration theory.</t>
  </si>
  <si>
    <t>kLa during sparge</t>
  </si>
  <si>
    <t>kLa_sparge</t>
  </si>
  <si>
    <t>1/s</t>
  </si>
  <si>
    <t>kL x a.</t>
  </si>
  <si>
    <t>kLa time-averaged</t>
  </si>
  <si>
    <t>kLa_avg</t>
  </si>
  <si>
    <t>Sparge-on regime only; not meaningful in the surface-strip-dominated default</t>
  </si>
  <si>
    <t>O₂ strip rate at ceiling (sparge on)</t>
  </si>
  <si>
    <t>strip_sparge</t>
  </si>
  <si>
    <t>Bubble O₂ strip at the ceiling driving force (best case). 0 for sub-mm bubbles (fine sinter, bubble model out of range — see bubble_regime).</t>
  </si>
  <si>
    <t>O₂ strip rate time-averaged</t>
  </si>
  <si>
    <t>strip_avg</t>
  </si>
  <si>
    <t>x duty cycle.</t>
  </si>
  <si>
    <t>Strip capacity : excess-O₂</t>
  </si>
  <si>
    <t>strip_ratio</t>
  </si>
  <si>
    <t>Bubble strip : surplus. ≪1 — the §11 surface path is the real route.</t>
  </si>
  <si>
    <t>Required time-avg kLa</t>
  </si>
  <si>
    <t>kLa_req</t>
  </si>
  <si>
    <t>kLa that would exactly strip the excess at the ceiling.</t>
  </si>
  <si>
    <t>Entrainment velocity ceiling (rule of thumb)</t>
  </si>
  <si>
    <t>u_g_max</t>
  </si>
  <si>
    <t>Provisional superficial-velocity ceiling above which droplet carryover to the hydrophilic vent filters becomes likely. Replace with measured value.</t>
  </si>
  <si>
    <t>Carryover flag</t>
  </si>
  <si>
    <t>carry_flag</t>
  </si>
  <si>
    <t>Operating gas velocity vs ceiling.</t>
  </si>
  <si>
    <t>CO₂ gas density (T,P)</t>
  </si>
  <si>
    <t>rho_CO2</t>
  </si>
  <si>
    <t>Ideal gas at surface conditions; for the orifice Weber number.</t>
  </si>
  <si>
    <t>Active sparge orifices</t>
  </si>
  <si>
    <t>n_pores_active</t>
  </si>
  <si>
    <t>Tube = 1. Sinter pore count unknown; 1 = worst case. DATA GAP.</t>
  </si>
  <si>
    <t>Gas velocity at orifice</t>
  </si>
  <si>
    <t>v_orifice</t>
  </si>
  <si>
    <t>Orifice Weber number</t>
  </si>
  <si>
    <t>We_orifice</t>
  </si>
  <si>
    <t>Bubble-formation regime</t>
  </si>
  <si>
    <t>bubble_regime</t>
  </si>
  <si>
    <t>Tate's law assumes quasi-static detachment (We&lt;~2). 'Sinter OOR' = sub-mm bubble; the fine-sinter model isn't built yet.</t>
  </si>
  <si>
    <t>O₂ time-to-ceiling (no removal)</t>
  </si>
  <si>
    <t>t_O2_ceiling</t>
  </si>
  <si>
    <t>Minutes to reach the O₂ ceiling from ~0 with no removal (steady, etaF=1) — the O₂ timescale.</t>
  </si>
  <si>
    <t>O₂ time-to-ceiling (with time-avg strip)</t>
  </si>
  <si>
    <t>t_O2_ceiling_strip</t>
  </si>
  <si>
    <t>As above, crediting time-averaged bubble strip (≈unchanged → bubbles aren't the mechanism). 9999 = cleared.</t>
  </si>
  <si>
    <t>Stir-bar speed</t>
  </si>
  <si>
    <t>stir_rpm</t>
  </si>
  <si>
    <t>1/min</t>
  </si>
  <si>
    <t>Pioreactor stir setpoint. RPM floor ~125 (stalls below). Input/confirm.</t>
  </si>
  <si>
    <t>tip_speed</t>
  </si>
  <si>
    <t>π·d·rpm/60.</t>
  </si>
  <si>
    <t>Surface renewal frequency</t>
  </si>
  <si>
    <t>s_renew</t>
  </si>
  <si>
    <t>Surface renewal ≈ tip speed / vial ID. Coarse proxy.</t>
  </si>
  <si>
    <t>Surface liquid-film coeff kL</t>
  </si>
  <si>
    <t>kL_surf</t>
  </si>
  <si>
    <t>Surface area per volume</t>
  </si>
  <si>
    <t>a_surf</t>
  </si>
  <si>
    <t>Free-surface area / liquid volume (mm²/mL = 1/m); uses interface_A (§1B).</t>
  </si>
  <si>
    <t>Surface O₂ transfer kLa</t>
  </si>
  <si>
    <t>kLa_surf</t>
  </si>
  <si>
    <t>kL_surf × a_surf.</t>
  </si>
  <si>
    <t>O₂ strip via surface (ceiling)</t>
  </si>
  <si>
    <t>surf_strip</t>
  </si>
  <si>
    <t>Surface strip : excess-O₂</t>
  </si>
  <si>
    <t>surf_ratio</t>
  </si>
  <si>
    <t>Surface strip : surplus. Coarse (kL_surf). ≫ bubble path — the dominant O₂ route.</t>
  </si>
  <si>
    <t>Headspace O₂ frac. to vent excess</t>
  </si>
  <si>
    <t>y_O2_vent</t>
  </si>
  <si>
    <t>Headspace O₂ fraction at which the vented CO₂ carries the surplus out. kL-independent.</t>
  </si>
  <si>
    <t>DO in equilib. with that headspace</t>
  </si>
  <si>
    <t>DO_vent_eq</t>
  </si>
  <si>
    <t>Headspace flush time</t>
  </si>
  <si>
    <t>hs_flush_time</t>
  </si>
  <si>
    <t>Avg CO₂ flow to displace one headspace volume.</t>
  </si>
  <si>
    <t>Combined O₂ removal : excess</t>
  </si>
  <si>
    <t>O2_removal_ratio</t>
  </si>
  <si>
    <t>Upper bound: surface + sparge O2 sinks are in series (liquid-&gt;headspace-&gt;vent), not strictly additive</t>
  </si>
  <si>
    <t>O₂ time-to-ceiling (LAG, no uptake)</t>
  </si>
  <si>
    <t>t_O2_ceiling_lag</t>
  </si>
  <si>
    <t>Lag/establishment: no biological O₂ uptake yet, so the full net O₂ accumulates. Worst case.</t>
  </si>
  <si>
    <t>O₂ time-to-ceiling (with all removal)</t>
  </si>
  <si>
    <t>t_O2_ceiling_rem</t>
  </si>
  <si>
    <t>Schedule mode</t>
  </si>
  <si>
    <t>sched_mode</t>
  </si>
  <si>
    <t>Optimal</t>
  </si>
  <si>
    <t>Manual pulse duration</t>
  </si>
  <si>
    <t>spg_dur_man</t>
  </si>
  <si>
    <t>Manual sparge interval</t>
  </si>
  <si>
    <t>spg_int_man</t>
  </si>
  <si>
    <t>Target DO fraction (organism optimum / inhibition)</t>
  </si>
  <si>
    <t>target_DO_frac</t>
  </si>
  <si>
    <t>Min carbon supply margin</t>
  </si>
  <si>
    <t>carbon_margin_min</t>
  </si>
  <si>
    <t>Required CO₂ supply : fixation demand. Input.</t>
  </si>
  <si>
    <t>Duty floor — carbon</t>
  </si>
  <si>
    <t>duty_carbon</t>
  </si>
  <si>
    <t>Duty needed so CO₂ supply ≥ margin × fixation demand.</t>
  </si>
  <si>
    <t>Duty floor — O₂ venting (lag)</t>
  </si>
  <si>
    <t>duty_O2vent</t>
  </si>
  <si>
    <t>Optimal duty cycle</t>
  </si>
  <si>
    <t>duty_opt</t>
  </si>
  <si>
    <t>Max interval — O₂ flush frequency</t>
  </si>
  <si>
    <t>spg_int_max</t>
  </si>
  <si>
    <t>OPTIMAL pulse duration</t>
  </si>
  <si>
    <t>spg_dur_opt</t>
  </si>
  <si>
    <t>ANSWER. Shortest reliable pulse → most frequent, smoothest DO, best OD-read windows.</t>
  </si>
  <si>
    <t>OPTIMAL sparge interval</t>
  </si>
  <si>
    <t>spg_int_opt</t>
  </si>
  <si>
    <t xml:space="preserve">  optimal interval (seconds)</t>
  </si>
  <si>
    <t>spg_int_opt_s</t>
  </si>
  <si>
    <t>Convenience: interval in seconds.</t>
  </si>
  <si>
    <t xml:space="preserve">  resulting duty / binding constraint</t>
  </si>
  <si>
    <t>duty_actual</t>
  </si>
  <si>
    <t>Achieved duty at the optimum (= duty_opt unless the flush-frequency cap binds, raising it).</t>
  </si>
  <si>
    <t xml:space="preserve">  binding constraint</t>
  </si>
  <si>
    <t>opt_binding</t>
  </si>
  <si>
    <t xml:space="preserve">  OD-window check</t>
  </si>
  <si>
    <t>od_ok</t>
  </si>
  <si>
    <t>ACCURACY LIMIT — no validated kinetics</t>
  </si>
  <si>
    <t>kinetic_caveat</t>
  </si>
  <si>
    <t>Constraint-proxy optimiser, not a fitted growth model — no validated μ(O₂,pH,CO₂) or lag kinetics exist for this system. Gives the lag-minimising direction, not an exact optimum; bounded by etaF, surface kL and the unbuffered-pH simplification. Validate empirically.</t>
  </si>
  <si>
    <t>Measured surface kLa</t>
  </si>
  <si>
    <t>kLa_meas</t>
  </si>
  <si>
    <t>Measured surface kLa (gassing-out). 0 = use the §11 estimate. kLa = slope of −LN(1−DO/DO_sat) vs time.</t>
  </si>
  <si>
    <t>Surface kLa used downstream</t>
  </si>
  <si>
    <t>kLa_surf_used</t>
  </si>
  <si>
    <t>Min reliable pulse (solenoid floor)</t>
  </si>
  <si>
    <t>pulse_floor</t>
  </si>
  <si>
    <t>From Dosing.</t>
  </si>
  <si>
    <t>Average CO₂ supply rate</t>
  </si>
  <si>
    <t>CO2_supply</t>
  </si>
  <si>
    <t>Ideal gas constant</t>
  </si>
  <si>
    <t>CO₂ volumetric flow rate</t>
  </si>
  <si>
    <t>Q_CO2</t>
  </si>
  <si>
    <t>Molar mass CO₂</t>
  </si>
  <si>
    <t>M_CO2</t>
  </si>
  <si>
    <t>g/mol</t>
  </si>
  <si>
    <t>CO₂ molar flow during sparge</t>
  </si>
  <si>
    <t>nCO2_rate</t>
  </si>
  <si>
    <t>mol/s</t>
  </si>
  <si>
    <t>Sparge duty cycle</t>
  </si>
  <si>
    <t>duty</t>
  </si>
  <si>
    <t>CO2 per pulse (headspace volumes)</t>
  </si>
  <si>
    <t>flush_factor</t>
  </si>
  <si>
    <t>STEADY-STATE DO CHECK (surface stripping vs organism band)</t>
  </si>
  <si>
    <t>Steady-state DO under surface stripping</t>
  </si>
  <si>
    <t>DO_ss</t>
  </si>
  <si>
    <t xml:space="preserve">  DO_ss vs optimum (organism)</t>
  </si>
  <si>
    <t>DO_ss_vs_opt</t>
  </si>
  <si>
    <t xml:space="preserve">  DO_ss vs minimum (organism)</t>
  </si>
  <si>
    <t>DO_ss_vs_min</t>
  </si>
  <si>
    <t>Tip-speed shear flag (&lt;1.5 m/s)</t>
  </si>
  <si>
    <t>tip_warn</t>
  </si>
  <si>
    <t>Conservative shear limit: &lt;1.5 m/s impeller-tip velocity recommended to avoid adverse cell-growth effects (BioProcess International, cell-culture norm); precautionary for robust HOB.</t>
  </si>
  <si>
    <t>Interval if surface stripping handles O2 (carbon-limited)</t>
  </si>
  <si>
    <t>spg_int_carbon</t>
  </si>
  <si>
    <t>Schedule regime (which interval applies)</t>
  </si>
  <si>
    <t>sched_regime</t>
  </si>
  <si>
    <t>Resolved by measuring kL_surf (improvement #1).</t>
  </si>
  <si>
    <t>CO₂ DOSING &amp; SCHEDULE (folded from Dosing)</t>
  </si>
  <si>
    <t>Reactor (calibration key)</t>
  </si>
  <si>
    <t>latest calibration date</t>
  </si>
  <si>
    <t>latest_date</t>
  </si>
  <si>
    <t>flowrate (calibrated)</t>
  </si>
  <si>
    <t>flowrate_cal</t>
  </si>
  <si>
    <t>min sparge (calibrated)</t>
  </si>
  <si>
    <t>min_sparge_cal</t>
  </si>
  <si>
    <t>reactor has a calibration row?</t>
  </si>
  <si>
    <t>has_cal</t>
  </si>
  <si>
    <t>count</t>
  </si>
  <si>
    <t>calibration source</t>
  </si>
  <si>
    <t>cal_warning</t>
  </si>
  <si>
    <t>Sparge duration per pulse</t>
  </si>
  <si>
    <t>spg_dur</t>
  </si>
  <si>
    <t>Sparge interval</t>
  </si>
  <si>
    <t>spg_int</t>
  </si>
  <si>
    <t>CO₂ per pulse</t>
  </si>
  <si>
    <t>CO2_pulse</t>
  </si>
  <si>
    <t>mol</t>
  </si>
  <si>
    <t>Pulses per hour</t>
  </si>
  <si>
    <t>pulses_h</t>
  </si>
  <si>
    <t>/h</t>
  </si>
  <si>
    <t>Pulses per day</t>
  </si>
  <si>
    <t>pulses_d</t>
  </si>
  <si>
    <t>/d</t>
  </si>
  <si>
    <t>CO₂ supply : carbon demand</t>
  </si>
  <si>
    <t>CO2_sd_ratio</t>
  </si>
  <si>
    <t>O₂ accumulated per interval</t>
  </si>
  <si>
    <t>O2_accum</t>
  </si>
  <si>
    <t>O₂ removable per pulse</t>
  </si>
  <si>
    <t>O2_strip_pulse</t>
  </si>
  <si>
    <t>Per-pulse balance</t>
  </si>
  <si>
    <t>sched_bal</t>
  </si>
  <si>
    <t>Duration floor check</t>
  </si>
  <si>
    <t>dur_ok</t>
  </si>
  <si>
    <t>Critical surface kL_surf (DO_ss = impairment DO)</t>
  </si>
  <si>
    <t>kL_surf_crit</t>
  </si>
  <si>
    <t>CHEMISTRY — buffered pH &amp; anodic bleaching (open-system carbonate+phosphate charge balance, van't Hoff to reactor T)</t>
  </si>
  <si>
    <t>Parameter</t>
  </si>
  <si>
    <t>Name</t>
  </si>
  <si>
    <t>Unit</t>
  </si>
  <si>
    <t>Value</t>
  </si>
  <si>
    <t>Source / assumption</t>
  </si>
  <si>
    <t>IMPORTS (from other tabs)</t>
  </si>
  <si>
    <t>(import) Reactor temperature</t>
  </si>
  <si>
    <t>TKc</t>
  </si>
  <si>
    <t>K</t>
  </si>
  <si>
    <t>→ Biology</t>
  </si>
  <si>
    <t>(import) Dissolved CO₂ (worst case, full sparge)</t>
  </si>
  <si>
    <t>CO2aqc</t>
  </si>
  <si>
    <t>mol/L</t>
  </si>
  <si>
    <t>(import) Electrolysis current (Gerrit's Law)</t>
  </si>
  <si>
    <t>Iappc</t>
  </si>
  <si>
    <t>A</t>
  </si>
  <si>
    <t>→ Electrochemistry (I_app)</t>
  </si>
  <si>
    <t>(import) Faraday constant</t>
  </si>
  <si>
    <t>Fcc</t>
  </si>
  <si>
    <t>C/mol</t>
  </si>
  <si>
    <t>→ Electrochemistry (F_const)</t>
  </si>
  <si>
    <t>(import) Reactor liquid volume</t>
  </si>
  <si>
    <t>VLc</t>
  </si>
  <si>
    <t>L</t>
  </si>
  <si>
    <t>→ Biology (V_charge / 1000)</t>
  </si>
  <si>
    <t>Molar gas constant</t>
  </si>
  <si>
    <t>R_gas</t>
  </si>
  <si>
    <t>J/mol/K</t>
  </si>
  <si>
    <t>EQUILIBRIUM CONSTANTS (van't Hoff to reactor T)</t>
  </si>
  <si>
    <t>K(T)=K₂₅·exp(−ΔH/R·(1/T−1/298.15)). ΔH = standard enthalpy of dissociation; well documented. Same van't Hoff treatment your sheet already uses for the Henry constants.</t>
  </si>
  <si>
    <t>constant</t>
  </si>
  <si>
    <t>K₂₅</t>
  </si>
  <si>
    <t>ΔH kJ/mol</t>
  </si>
  <si>
    <t>K at reactor T</t>
  </si>
  <si>
    <t>source</t>
  </si>
  <si>
    <t>Handbook: K₂₅ (CRC/IUPAC); ΔH dissociation (CRC)</t>
  </si>
  <si>
    <t>Carbonate Ka1 (pKa 6.35)</t>
  </si>
  <si>
    <t>Carbonate Ka2 (pKa 10.33)</t>
  </si>
  <si>
    <t>Phosphate Ka1 (pKa 2.15)</t>
  </si>
  <si>
    <t>Phosphate Ka2 (pKa 7.20)</t>
  </si>
  <si>
    <t>Ammonium Ka (pKa 9.25)</t>
  </si>
  <si>
    <t>Water Kw</t>
  </si>
  <si>
    <t>Hypochlorous Ka (pKa 7.54)</t>
  </si>
  <si>
    <t>HOCl pKa at reactor T</t>
  </si>
  <si>
    <t>pKa_HOCl</t>
  </si>
  <si>
    <t>-</t>
  </si>
  <si>
    <t>= −log₁₀(Ka_HOCl at T)</t>
  </si>
  <si>
    <t>MEDIA IONIC COMPOSITION (per litre, as published; Excel derives the charge balance)</t>
  </si>
  <si>
    <t>Trace-metal salts omitted from SID (&lt;0.2 mM charge, negligible vs ~50–60 mM); their chloride is carried in the chloride row.</t>
  </si>
  <si>
    <t>Pous 2022 (BiTE 101010) / Pous 2023 (JECE 111550), UdG recipe</t>
  </si>
  <si>
    <t>Media/README.md (MC02); per Sydow 2017 SI Table S1</t>
  </si>
  <si>
    <t>salt</t>
  </si>
  <si>
    <t>MW g/mol</t>
  </si>
  <si>
    <t>MC02 g/L</t>
  </si>
  <si>
    <t>UdG g/L</t>
  </si>
  <si>
    <t>source</t>
  </si>
  <si>
    <t>KH₂PO₄</t>
  </si>
  <si>
    <t>Na₂HPO₄</t>
  </si>
  <si>
    <t>NaH₂PO₄·2H₂O</t>
  </si>
  <si>
    <t>NaHCO₃</t>
  </si>
  <si>
    <t>K₂SO₄</t>
  </si>
  <si>
    <t>CaSO₄·2H₂O</t>
  </si>
  <si>
    <t>MgSO₄·7H₂O</t>
  </si>
  <si>
    <t>(NH₄)₂SO₄</t>
  </si>
  <si>
    <t>CaCl₂</t>
  </si>
  <si>
    <t>MC02 — total phosphate</t>
  </si>
  <si>
    <t>PT_mc02</t>
  </si>
  <si>
    <t>mol/L</t>
  </si>
  <si>
    <t>Σ phosphate salts</t>
  </si>
  <si>
    <t>MC02 — strong-ion difference</t>
  </si>
  <si>
    <t>SID_mc02</t>
  </si>
  <si>
    <t>mol/L</t>
  </si>
  <si>
    <t>Σ strong cations − strong anions</t>
  </si>
  <si>
    <t>MC02 — total ammonium</t>
  </si>
  <si>
    <t>NT_mc02</t>
  </si>
  <si>
    <t>mol/L</t>
  </si>
  <si>
    <t/>
  </si>
  <si>
    <t>MC02 — chloride</t>
  </si>
  <si>
    <t>Cl_mc02</t>
  </si>
  <si>
    <t>mol/L</t>
  </si>
  <si>
    <t>no chloride salts</t>
  </si>
  <si>
    <t>UdG — total phosphate</t>
  </si>
  <si>
    <t>PT_udg</t>
  </si>
  <si>
    <t>mol/L</t>
  </si>
  <si>
    <t>Σ phosphate salts</t>
  </si>
  <si>
    <t>UdG — strong-ion difference</t>
  </si>
  <si>
    <t>SID_udg</t>
  </si>
  <si>
    <t>mol/L</t>
  </si>
  <si>
    <t>Σ strong cations − strong anions</t>
  </si>
  <si>
    <t>UdG — total ammonium</t>
  </si>
  <si>
    <t>NT_udg</t>
  </si>
  <si>
    <t>mol/L</t>
  </si>
  <si>
    <t/>
  </si>
  <si>
    <t>UdG — chloride</t>
  </si>
  <si>
    <t>Cl_udg</t>
  </si>
  <si>
    <t>mol/L</t>
  </si>
  <si>
    <t>trace-metal Cl excluded (negligible)</t>
  </si>
  <si>
    <t>(sel) strong-ion difference</t>
  </si>
  <si>
    <t>pH_SID</t>
  </si>
  <si>
    <t>mol/L</t>
  </si>
  <si>
    <t>by media_sel</t>
  </si>
  <si>
    <t>(sel) total phosphate</t>
  </si>
  <si>
    <t>pH_PT</t>
  </si>
  <si>
    <t>mol/L</t>
  </si>
  <si>
    <t>by media_sel</t>
  </si>
  <si>
    <t>(sel) total ammonium</t>
  </si>
  <si>
    <t>pH_NT</t>
  </si>
  <si>
    <t>mol/L</t>
  </si>
  <si>
    <t>by media_sel</t>
  </si>
  <si>
    <t>(sel) chloride</t>
  </si>
  <si>
    <t>pH_Cl</t>
  </si>
  <si>
    <t>mol/L</t>
  </si>
  <si>
    <t>by media_sel</t>
  </si>
  <si>
    <t>residual mol/L</t>
  </si>
  <si>
    <t>interp pH at root</t>
  </si>
  <si>
    <t>OPERATING pH (buffered, worst case)</t>
  </si>
  <si>
    <t>pH_op</t>
  </si>
  <si>
    <t>-</t>
  </si>
  <si>
    <t>WORST CASE: pH at full-sparge dissolved CO₂ (the trough during/after a CO₂ pulse). A real probe with response lag may read higher between pulses — a measurement that misses this trough is not the model being wrong.</t>
  </si>
  <si>
    <t>HOCl fraction at operating pH</t>
  </si>
  <si>
    <t>pH_fHOCl</t>
  </si>
  <si>
    <t>-</t>
  </si>
  <si>
    <t>ANODIC BLEACHING (free-chlorine evolution; conservative FE=1)</t>
  </si>
  <si>
    <t>bleach_rate</t>
  </si>
  <si>
    <t>mg/L/h</t>
  </si>
  <si>
    <t>Time to ~1 ppm HOCl (FE=1)</t>
  </si>
  <si>
    <t>bleach_t1ppm</t>
  </si>
  <si>
    <t>min</t>
  </si>
  <si>
    <t>~1 mg/L HOCl ≈ bactericidal threshold</t>
  </si>
  <si>
    <t>Bleaching / hypochlorite flag</t>
  </si>
  <si>
    <t>bleach_flag</t>
  </si>
  <si>
    <t>-</t>
  </si>
  <si>
    <t>pH band flag (HOB optimum 6.5–7.5)</t>
  </si>
  <si>
    <t>pH_band_flag</t>
  </si>
  <si>
    <t>-</t>
  </si>
  <si>
    <t>MEDIA LOOKUP (selector source)</t>
  </si>
  <si>
    <t>Media</t>
  </si>
  <si>
    <t>buffer</t>
  </si>
  <si>
    <t>buffer conc mM</t>
  </si>
  <si>
    <t>notes</t>
  </si>
  <si>
    <t>source</t>
  </si>
  <si>
    <t>MC02</t>
  </si>
  <si>
    <t>phosphate</t>
  </si>
  <si>
    <t>low-chloride, organic-free</t>
  </si>
  <si>
    <t>Media/README.md (MC02); per Sydow 2017 SI</t>
  </si>
  <si>
    <t>UdG phosphate</t>
  </si>
  <si>
    <t>phosphate</t>
  </si>
  <si>
    <t>low-chloride (trace Cl⁻); N varies urea/(NH₄)₂SO₄/NH₄Cl</t>
  </si>
  <si>
    <t>Pous 2022 &amp; 2023; Rovira-Alsina 2025</t>
  </si>
  <si>
    <t>HOCl_max</t>
  </si>
  <si>
    <t>mg/L</t>
  </si>
  <si>
    <t>Organism DO data present?</t>
  </si>
  <si>
    <t>Red = the selected organism has no measured DO thresholds, so every DO/sparge verdict above is running on missing data.</t>
  </si>
  <si>
    <t>Endpoint pH (worst-case, full sparge)</t>
  </si>
  <si>
    <t>O₂ guard source (surface-uncredited)</t>
  </si>
  <si>
    <t>O2_src_guard</t>
  </si>
  <si>
    <t>mol/h</t>
  </si>
  <si>
    <t>Worst-case O₂ source the safety guards size on: net O₂ generation with the surface-strip credit withheld (kL_surf is a ~375%-uncertain best-case proxy and must not gate a safety guard). = O2_net_gen.</t>
  </si>
  <si>
    <t>Sawtooth steady DO (surface-credited, STEADY src)</t>
  </si>
  <si>
    <t>DO_ss_sawtooth</t>
  </si>
  <si>
    <t>mol/m³</t>
  </si>
  <si>
    <t>Sparge regime (surface-held vs sparge-needed)</t>
  </si>
  <si>
    <t>spg_int_regime</t>
  </si>
  <si>
    <t>-</t>
  </si>
  <si>
    <t>Sawtooth steady DO (LAG src — what the guard banks on)</t>
  </si>
  <si>
    <t>DO_ss_sawtooth_lag</t>
  </si>
  <si>
    <t>mol/m³</t>
  </si>
  <si>
    <t>O₂ removable across the stirred surface at ceiling driving force — a FEASIBILITY CEILING for surf_ratio / O2_removal_ratio only. NEVER subtracted inside a safety guard (kL_surf is a ~375%-uncertain best-case proxy); the guards size on O2_src_guard (D132) with this credit withheld.</t>
  </si>
  <si>
    <t>pH-grid crossings (must be exactly 1)</t>
  </si>
  <si>
    <t>n_cross</t>
  </si>
  <si>
    <t>-</t>
  </si>
  <si>
    <t>Count of +→− sign crossings of the charge residual on the pH grid. Exactly 1 = a single bracketed root inside [4,9]. 0 (root outside the grid) or &gt;1 (non-monotone) must NOT be read as pH 0.</t>
  </si>
  <si>
    <t>Phosphate Ka3 (pKa 12.38)</t>
  </si>
  <si>
    <t>HOCl-tolerance evidence (Comments)</t>
  </si>
  <si>
    <t>Threshold seed 0.2 mg/L free chlorine = conservative FIRST-IMPAIRMENT floor for suspended gram-negative environmental bacteria; deliberately below water-industry disinfection doses. Tiers: 0.02-0.1 no inhibition; 0.2 first-impairment (pick); 0.3-0.6 measurable die-off; 0.75-1.75 complete regrowth inhibition.</t>
  </si>
  <si>
    <t>C. necator: no direct HOCl MIC; genus-mate C. metallidurans is documented chlorine/chloramine-TOLERANT (Gomez-Alvarez/Wang 2018, STOTEN). 0.2 mg/L is a safety UNDERestimate, not its breaking point — do not assume necator is chlorine-fragile.</t>
  </si>
  <si>
    <t>Hydrogenophaga: dominant chlorine/chloramine-RESISTANT genus in chloraminated distribution systems; survives &gt;0.5 mg/L. Treat as resistant; 0.2 mg/L is a floor, not an observed inhibition point.</t>
  </si>
  <si>
    <t>Xanthobacter: no species value found in literature (genuine gap — not invented); use the 0.2 mg/L gram-negative fallback. CONSERVATIVE-FLOOR CAVEAT: the 0.2 seed is a safety floor; real impairment for these resistant genera is likely higher (mid-tenths to &gt;1 mg/L). necator/Xanthobacter rows are inferred, not measured.</t>
  </si>
  <si>
    <t>Measure surface kLa (kL_surf)</t>
  </si>
  <si>
    <t>HIGH</t>
  </si>
  <si>
    <t>med</t>
  </si>
  <si>
    <t>Measure / confirm vial total volume</t>
  </si>
  <si>
    <t>HIGH</t>
  </si>
  <si>
    <t>low</t>
  </si>
  <si>
    <t>~106% on the schedule — sets the liquid charge, headspace and flush sizing; water-fill</t>
  </si>
  <si>
    <t>Measure cathodic Faradaic efficiency (etaF)</t>
  </si>
  <si>
    <t>HIGH</t>
  </si>
  <si>
    <t>med</t>
  </si>
  <si>
    <t>Confirm knallgas uptake ratio (H2:O2:CO2)</t>
  </si>
  <si>
    <t>MED</t>
  </si>
  <si>
    <t>high</t>
  </si>
  <si>
    <t>~95% on the O2 surplus + carbon demand; needs a growing culture</t>
  </si>
  <si>
    <t>Measure anodic Faradaic efficiency (etaF_OER)</t>
  </si>
  <si>
    <t>MED</t>
  </si>
  <si>
    <t>med</t>
  </si>
  <si>
    <t>Measure vial wall thickness</t>
  </si>
  <si>
    <t>MED</t>
  </si>
  <si>
    <t>low</t>
  </si>
  <si>
    <t>high-leverage caliper measurement — drives the headspace/displacement budget</t>
  </si>
  <si>
    <t>Bench-characterise the solenoid pulse floor</t>
  </si>
  <si>
    <t>LOW</t>
  </si>
  <si>
    <t>low</t>
  </si>
  <si>
    <t>~27% — the recommended pulse IS pulse_floor; trivial to characterise on the bench</t>
  </si>
  <si>
    <t>Determine organism minimum DO</t>
  </si>
  <si>
    <t>MED</t>
  </si>
  <si>
    <t>low</t>
  </si>
  <si>
    <t>lower DO guardrail; a gap for every organism</t>
  </si>
  <si>
    <t>Calibrate flow for each reactor</t>
  </si>
  <si>
    <t>MED</t>
  </si>
  <si>
    <t>low</t>
  </si>
  <si>
    <t>each experiment; only ed04 done</t>
  </si>
  <si>
    <t>Measure / confirm sinter porosity</t>
  </si>
  <si>
    <t>LOW</t>
  </si>
  <si>
    <t>low</t>
  </si>
  <si>
    <t>bubble size; currently grade 0 from Gerrit's disc</t>
  </si>
  <si>
    <t>Record lab ambient pressure</t>
  </si>
  <si>
    <t>LOW</t>
  </si>
  <si>
    <t>low</t>
  </si>
  <si>
    <t>~33% via the O2 ceiling; also Henry solubilities + gas volumes</t>
  </si>
  <si>
    <t>Sander (2023) compilation; CO₂ ~28× more soluble than O₂ (vs the 1.2e-5 O₂ Hcp).</t>
  </si>
  <si>
    <t>Sander (2023). H₂ ~1.5× less soluble than O₂ (vs the 1.2e-5 O₂ Hcp).</t>
  </si>
  <si>
    <t>Penetration-theory / surface-renewal proxy (Higbie form, t=1/s_renew) — coarse; measure by gassing-out (§15).</t>
  </si>
  <si>
    <t>CO₂ sparge interval (rounded)</t>
  </si>
  <si>
    <t>CO₂ sparge duration</t>
  </si>
  <si>
    <t>CO₂ sparge duration (rounded)</t>
  </si>
  <si>
    <t>Naïve FE=1 production ceiling (NOT operative)</t>
  </si>
  <si>
    <t>Naïve FE=1 ceiling: all chloride → free chlorine (NOT operative)</t>
  </si>
  <si>
    <t>Pous 2022 (BiTE 101010) / Pous 2023 (JECE 111550), UdG recipe = 0.01 g/L.</t>
  </si>
  <si>
    <t>Conservative O₂-vent duty: net O₂ with the surface-strip credit withheld (O2_src_guard). Sizes the O₂-limited fallback; the recommended schedule credits the surface estimate when DO is held.</t>
  </si>
  <si>
    <t>FREE-CHLORINE PENALTY MODEL (graded, kinetic — operative; supersedes the naïve FE=1 ceiling above)</t>
  </si>
  <si>
    <t>Max active-Cl evolution efficiency (high-Cl plateau)</t>
  </si>
  <si>
    <t>FE_CER</t>
  </si>
  <si>
    <t>-</t>
  </si>
  <si>
    <t>Cl⁻ mass-transfer coefficient</t>
  </si>
  <si>
    <t>km_Cl</t>
  </si>
  <si>
    <t>cm/s</t>
  </si>
  <si>
    <t>Anode wetted area</t>
  </si>
  <si>
    <t>A_anode</t>
  </si>
  <si>
    <t>cm²</t>
  </si>
  <si>
    <t>Cl₂ current — efficiency-limited</t>
  </si>
  <si>
    <t>I_Cl_FE</t>
  </si>
  <si>
    <t>A</t>
  </si>
  <si>
    <t>Applied anode current × plateau efficiency.</t>
  </si>
  <si>
    <t>Cl₂ current — chloride mass-transport limit</t>
  </si>
  <si>
    <t>I_Cl_mt</t>
  </si>
  <si>
    <t>Realistic chlorine current (binding limit)</t>
  </si>
  <si>
    <t>I_Cl</t>
  </si>
  <si>
    <t>Smaller of efficiency- and mass-transport-limited.</t>
  </si>
  <si>
    <t>Volumetric free-chlorine production</t>
  </si>
  <si>
    <t>P_HOCl</t>
  </si>
  <si>
    <t>mol/L/s</t>
  </si>
  <si>
    <t>Medium ammonium (as N)</t>
  </si>
  <si>
    <t>NH3_N</t>
  </si>
  <si>
    <t>mg/L</t>
  </si>
  <si>
    <t>Active-medium total ammonium × 14.007 g/mol N.</t>
  </si>
  <si>
    <t>Monochloramine formation rate constant</t>
  </si>
  <si>
    <t>k1_NH2Cl</t>
  </si>
  <si>
    <t>M⁻¹s⁻¹</t>
  </si>
  <si>
    <t>HOCl + NH₃ → NH₂Cl, k₁ = 4.2e6 M⁻¹s⁻¹ (Morris &amp; Isaac 1983; Jafvert &amp; Valentine 1992, ES&amp;T 26:577, DOI 10.1021/es00027a022). Fast but NOT instantaneous.</t>
  </si>
  <si>
    <t>Ammonium pKa (NH₄⁺/NH₃)</t>
  </si>
  <si>
    <t>pKa_NH4</t>
  </si>
  <si>
    <t>Free ammonia</t>
  </si>
  <si>
    <t>NH3_free</t>
  </si>
  <si>
    <t>mol/L</t>
  </si>
  <si>
    <t>NH₃ = NH₄_tot/(1+10^(pKa_NH4−pH)). The reactive fraction that scavenges HOCl.</t>
  </si>
  <si>
    <t>Steady bulk free HOCl</t>
  </si>
  <si>
    <t>HOCl_ss</t>
  </si>
  <si>
    <t>[HOCl]_ss = production/(k₁·NH₃_free). Non-zero by construction; rises with current, falls with ammonium/pH.</t>
  </si>
  <si>
    <t>Steady bulk free HOCl (mass)</t>
  </si>
  <si>
    <t>HOCl_ss_mgL</t>
  </si>
  <si>
    <t>Bulk free chlorine, mg/L. Small for UdG — below the impairment onset, so no bulk sterilisation (UdG runs for days).</t>
  </si>
  <si>
    <t>Anode boundary-layer enrichment</t>
  </si>
  <si>
    <t>f_local</t>
  </si>
  <si>
    <t>Local HOCl at the anode is higher than bulk before it diffuses out and meets ammonia (boundary-layer time ~0.1–10 s ≫ ms bulk scavenging). f_local ≥ 1; sub-mM value unmeasured — SENSITIVITY parameter.</t>
  </si>
  <si>
    <t>Monochloramine effective residence</t>
  </si>
  <si>
    <t>tau_NH2Cl</t>
  </si>
  <si>
    <t>h</t>
  </si>
  <si>
    <t>Time combined chlorine persists before consumption (growth N-uptake, cathodic reduction, dilution). Lit: minutes–hours; system-specific value unknown — SENSITIVITY parameter.</t>
  </si>
  <si>
    <t>Steady combined chlorine (monochloramine)</t>
  </si>
  <si>
    <t>NH2Cl_mgL</t>
  </si>
  <si>
    <t>Production held as monochloramine over its residence, capped at the ammonium capacity (5.06 mg Cl₂/mg N). Longer-lived and still biocidal — not harmless.</t>
  </si>
  <si>
    <t>Monochloramine potency divisor</t>
  </si>
  <si>
    <t>R_chloramine</t>
  </si>
  <si>
    <t>Monochloramine is ~18–70× less biocidal than free chlorine (EPA SWTR ~18×, Giardia; IWA 2008 ~70×, E. coli). 25 = conservative (kinder-to-chloramine).</t>
  </si>
  <si>
    <t>EFFECTIVE biocidal chlorine load</t>
  </si>
  <si>
    <t>C_eff</t>
  </si>
  <si>
    <t>Free-chlorine impairment onset (sub-lethal)</t>
  </si>
  <si>
    <t>Cl_onset</t>
  </si>
  <si>
    <t>Growth measurably slowed above ~0.1 mg/L free-Cl-equiv (graded, gram-negative proxy; Murray 2017 Ecotox 26:1115; HOCl oxidative-stress onset). Distinct from kill.</t>
  </si>
  <si>
    <t>Free-chlorine kill threshold</t>
  </si>
  <si>
    <t>Cl_kill</t>
  </si>
  <si>
    <t>~1–5 mg/L for tolerant gram-negatives; 2 used. Above C_eff this → biofilm/electrode damage (Baek 2021, CEJ 405:126742).</t>
  </si>
  <si>
    <t>Operative flag: effective biocidal chlorine (C_eff, D145) vs the sub-lethal onset (D146) and kill (D147). Graded — MILD for trace-chloride UdG, SEVERE only at high chloride/current.</t>
  </si>
  <si>
    <t>Effective biocidal chlorine</t>
  </si>
  <si>
    <t>Set by the Summary 'Your setting' override (G13/G15) when filled; otherwise this Manual/Optimal selector + the manual cells below apply. Optimal = recommended schedule.</t>
  </si>
  <si>
    <t>Your pulse length when sched_mode=Manual. Easiest: type into the Summary 'Your setting' column (G13) instead — it overrides everything.</t>
  </si>
  <si>
    <t>Your interval when sched_mode=Manual. Easiest: type into the Summary 'Your setting' column (G15) instead — it overrides everything.</t>
  </si>
  <si>
    <t>≥5 s gap between pulses for an OD read (uses the schedule IN USE, so it responds to your override). Can't measure OD while sparging.</t>
  </si>
  <si>
    <t>Override</t>
  </si>
  <si>
    <t>Schedule → dissolved-CO₂ sawtooth model</t>
  </si>
  <si>
    <t>Limit-cycle dissolved CO₂ from the sparge pulse/gap schedule; feeds Chemistry CO2aqc (D5).</t>
  </si>
  <si>
    <t>CO₂ molecular diffusivity</t>
  </si>
  <si>
    <t>D_CO2</t>
  </si>
  <si>
    <t>pCO2_air</t>
  </si>
  <si>
    <t>CO₂ saturation (pure sparge)</t>
  </si>
  <si>
    <t>C_sat_CO2</t>
  </si>
  <si>
    <t>CO₂ air-equilibrium</t>
  </si>
  <si>
    <t>C_air_CO2</t>
  </si>
  <si>
    <t>sqrtD_CO2</t>
  </si>
  <si>
    <t>kLa_CO2_off</t>
  </si>
  <si>
    <t>Pulse duration</t>
  </si>
  <si>
    <t>t_on_CO2</t>
  </si>
  <si>
    <t>Gap duration</t>
  </si>
  <si>
    <t>t_off_CO2</t>
  </si>
  <si>
    <t>CO2_int_on</t>
  </si>
  <si>
    <t>mol.s/m³</t>
  </si>
  <si>
    <t>CO2_int_off</t>
  </si>
  <si>
    <t>Cycle-average CO₂</t>
  </si>
  <si>
    <t>CO2_cyc_avg</t>
  </si>
  <si>
    <t>Steady dissolved CO₂</t>
  </si>
  <si>
    <t>CO2aqc_ss</t>
  </si>
  <si>
    <t>Schedule validity</t>
  </si>
  <si>
    <t>sched_valid</t>
  </si>
  <si>
    <t>Schedule-dependent steady-state dissolved CO₂ (sawtooth limit cycle, bounded air-eq..saturation) - was the fixed full-sparge worst case</t>
  </si>
  <si>
    <t>Atmospheric CO₂ partial pressure</t>
  </si>
  <si>
    <t>Atmospheric pCO₂ (~400 ppm).</t>
  </si>
  <si>
    <t>Headspace volume (SI)</t>
  </si>
  <si>
    <t>headspace_V_m3</t>
  </si>
  <si>
    <t>m³</t>
  </si>
  <si>
    <t>Geometry headspace volume converted mL→m³.</t>
  </si>
  <si>
    <t>Liquid volume (SI)</t>
  </si>
  <si>
    <t>V_L_m3</t>
  </si>
  <si>
    <t>Charged liquid volume converted mL→m³.</t>
  </si>
  <si>
    <t>Headspace vent bleed</t>
  </si>
  <si>
    <t>Q_vent</t>
  </si>
  <si>
    <t>Slow restricted vent bleed - dead-volume + tube + near-closed solenoid leak. KEY NEW UNCERTAIN PARAMETER - measure. NOT free membrane diffusion, which would clear in seconds and could not reproduce the run-2 acidification.</t>
  </si>
  <si>
    <t>Headspace vent rate</t>
  </si>
  <si>
    <t>k_vent</t>
  </si>
  <si>
    <t>First-order headspace clearance from the vent volumetric bleed.</t>
  </si>
  <si>
    <t>Headspace residence time</t>
  </si>
  <si>
    <t>tau_hs</t>
  </si>
  <si>
    <t>Time constant for the headspace to clear through the vent.</t>
  </si>
  <si>
    <t>Henry-law dissolved CO₂ at pure-CO₂ saturation.</t>
  </si>
  <si>
    <t>Henry-law dissolved CO₂ in equilibrium with room air.</t>
  </si>
  <si>
    <t>Diffusivity scaling (CO₂/O₂)</t>
  </si>
  <si>
    <t>Penetration-theory √(D_CO₂/D_O₂) scaling of the O₂ transfer coefficient.</t>
  </si>
  <si>
    <t>CO₂ surface transfer coefficient</t>
  </si>
  <si>
    <t>Surface kLa for CO₂ between pulses (surface path).</t>
  </si>
  <si>
    <t>Surface-relaxation time</t>
  </si>
  <si>
    <t>tau_surf_floor</t>
  </si>
  <si>
    <t>Time constant for the liquid to relax to the headspace via the surface.</t>
  </si>
  <si>
    <t>Headspace gas inventory</t>
  </si>
  <si>
    <t>n_hs_gas</t>
  </si>
  <si>
    <t>Moles of gas in the headspace at P_atm, T_K (ideal-gas).</t>
  </si>
  <si>
    <t>Sparge pulse on-time from the schedule.</t>
  </si>
  <si>
    <t>Time between pulses, guard-floored at 0.</t>
  </si>
  <si>
    <t>On-phase surface decay</t>
  </si>
  <si>
    <t>eon_CO2</t>
  </si>
  <si>
    <t>Off-phase surface decay</t>
  </si>
  <si>
    <t>e1_CO2</t>
  </si>
  <si>
    <t>Surface-path liquid decay factor over the gap.</t>
  </si>
  <si>
    <t>Off-phase vent decay</t>
  </si>
  <si>
    <t>e2_CO2</t>
  </si>
  <si>
    <t>Headspace vent decay factor over the gap.</t>
  </si>
  <si>
    <t>Two-compartment coupling coef</t>
  </si>
  <si>
    <t>coef_CO2</t>
  </si>
  <si>
    <t>Cycle-start liquid CO₂</t>
  </si>
  <si>
    <t>Ca_CO2</t>
  </si>
  <si>
    <t>End-of-pulse liquid CO₂</t>
  </si>
  <si>
    <t>Cb_CO2</t>
  </si>
  <si>
    <t>On-phase CO₂ integral</t>
  </si>
  <si>
    <t>Time-integral of dissolved CO₂ over the pulse.</t>
  </si>
  <si>
    <t>Off-phase CO₂ integral</t>
  </si>
  <si>
    <t>Time-integral of dissolved CO₂ over the gap, including the venting-headspace term.</t>
  </si>
  <si>
    <t>Vent-path sanity check</t>
  </si>
  <si>
    <t>vent_floor_chk</t>
  </si>
  <si>
    <t>Confirms the vent is the rate-limiting path; if the surface cleared faster, run 2 could not stay acidic.</t>
  </si>
  <si>
    <t>Surfaces an interval&lt;pulse misconfiguration.</t>
  </si>
  <si>
    <t>electrons per produced HOCl</t>
  </si>
  <si>
    <t>n_e_Cl</t>
  </si>
  <si>
    <t>e-/HOCl</t>
  </si>
  <si>
    <t>chloride-pool ceiling on chlorine</t>
  </si>
  <si>
    <t>Cl_pool_mgL</t>
  </si>
  <si>
    <t>mg/L</t>
  </si>
  <si>
    <t>Total chloride pool as HOCl-equivalent; chlorine (free+combined) cannot exceed this. UdG CaCl2-derived (closed batch also depletes it)</t>
  </si>
  <si>
    <t>monochloramine residence (low)</t>
  </si>
  <si>
    <t>tau_NH2Cl_lo</t>
  </si>
  <si>
    <t>h</t>
  </si>
  <si>
    <t>Low bound of monochloramine residence (~1 min); weak estimate, swept for the C_eff band</t>
  </si>
  <si>
    <t>monochloramine residence (high)</t>
  </si>
  <si>
    <t>tau_NH2Cl_hi</t>
  </si>
  <si>
    <t>h</t>
  </si>
  <si>
    <t>High bound of monochloramine residence (5 h); weak estimate, swept for the C_eff band</t>
  </si>
  <si>
    <t>chloramine potency divisor (low)</t>
  </si>
  <si>
    <t>R_chloramine_lo</t>
  </si>
  <si>
    <t>x</t>
  </si>
  <si>
    <t>Most-potent end of the monochloramine potency-divisor band (defensible)</t>
  </si>
  <si>
    <t>chloramine potency divisor (high)</t>
  </si>
  <si>
    <t>R_chloramine_hi</t>
  </si>
  <si>
    <t>x</t>
  </si>
  <si>
    <t>Least-potent end of the monochloramine potency-divisor band</t>
  </si>
  <si>
    <t>combined chlorine (low-tau)</t>
  </si>
  <si>
    <t>NH2Cl_lo</t>
  </si>
  <si>
    <t>mg/L</t>
  </si>
  <si>
    <t>Combined chlorine at the low-tau bound, chloride-pool-capped</t>
  </si>
  <si>
    <t>combined chlorine (high-tau)</t>
  </si>
  <si>
    <t>NH2Cl_hi</t>
  </si>
  <si>
    <t>mg/L</t>
  </si>
  <si>
    <t>Combined chlorine at the high-tau bound, chloride-pool-capped</t>
  </si>
  <si>
    <t>effective biocidal chlorine (low)</t>
  </si>
  <si>
    <t>C_eff_lo</t>
  </si>
  <si>
    <t>mg/L</t>
  </si>
  <si>
    <t>Low bound of effective biocidal chlorine (least chlorine, least potent)</t>
  </si>
  <si>
    <t>effective biocidal chlorine (high)</t>
  </si>
  <si>
    <t>C_eff_hi</t>
  </si>
  <si>
    <t>mg/L</t>
  </si>
  <si>
    <t>High bound (most chlorine, most potent); the chloride-pool cap keeps it below the kill threshold in UdG</t>
  </si>
  <si>
    <t>anodic charge to metal dissolution</t>
  </si>
  <si>
    <t>corr_I_frac</t>
  </si>
  <si>
    <t>-</t>
  </si>
  <si>
    <t>DATA GAP - fraction of anodic charge going to electrode metal dissolution; measure (the green anode points to Cu/Ni ammine)</t>
  </si>
  <si>
    <t>leached-metal molar mass</t>
  </si>
  <si>
    <t>metal_MW</t>
  </si>
  <si>
    <t>g/mol</t>
  </si>
  <si>
    <t>Cu molar mass, representative leached transition metal</t>
  </si>
  <si>
    <t>electrons per metal ion</t>
  </si>
  <si>
    <t>metal_z</t>
  </si>
  <si>
    <t>e-/ion</t>
  </si>
  <si>
    <t>Electrons per dissolved divalent metal ion</t>
  </si>
  <si>
    <t>dissolved-metal leach rate</t>
  </si>
  <si>
    <t>metal_leach_rate</t>
  </si>
  <si>
    <t>mg/L/h</t>
  </si>
  <si>
    <t>Dissolved-metal accumulation rate; #N/A until corr_I_frac is measured</t>
  </si>
  <si>
    <t>metal toxicity threshold</t>
  </si>
  <si>
    <t>metal_tox_thresh</t>
  </si>
  <si>
    <t>mg/L</t>
  </si>
  <si>
    <t>Order-of-magnitude bactericidal Cu/Ni concentration for gram-negatives (literature)</t>
  </si>
  <si>
    <t>electrode-corrosion verdict</t>
  </si>
  <si>
    <t>metal_flag</t>
  </si>
  <si>
    <t>-</t>
  </si>
  <si>
    <t>Verdict pointer: the unmodelled prime suspect for the Exp-2 death</t>
  </si>
  <si>
    <t>Electrolysis power</t>
  </si>
  <si>
    <t>LED channel D %, the AEP-Plugin 'electrolysis_power' setting (runtime-clamped 0–10 %); drives the electrolysis current via Gerrit's Law.</t>
  </si>
  <si>
    <t>ELECTROLYSIS &amp; CURRENT DENSITY</t>
  </si>
  <si>
    <t>Electrolysis current</t>
  </si>
  <si>
    <t>Cell current at the set Electrolysis power (Gerrit's Law).</t>
  </si>
  <si>
    <t>Anode current density</t>
  </si>
  <si>
    <t>mA/cm²</t>
  </si>
  <si>
    <t>Current per unit submerged anode area (shape-aware).</t>
  </si>
  <si>
    <t>Current density status (now)</t>
  </si>
  <si>
    <t>Green = at/below the strain optimum; amber = above optimum; red = over the strain ceiling or the electrode's rating.</t>
  </si>
  <si>
    <t>Max Electrolysis power</t>
  </si>
  <si>
    <t>AEP-Plugin runtime clamp: electrolysis_power ≤ 10 %.</t>
  </si>
  <si>
    <t>Max electrolysis current</t>
  </si>
  <si>
    <t>Highest cell current you can set (at max power).</t>
  </si>
  <si>
    <t>Max anode current density</t>
  </si>
  <si>
    <t>Anode current density at max power.</t>
  </si>
  <si>
    <t>Current density status (at max power)</t>
  </si>
  <si>
    <t>Whether the highest current you can set stays within the strain and electrode limits.</t>
  </si>
  <si>
    <t>anode shape</t>
  </si>
  <si>
    <t>anode j cont (mA/cm²)</t>
  </si>
  <si>
    <t>anode j max (mA/cm²)</t>
  </si>
  <si>
    <t>cathode shape</t>
  </si>
  <si>
    <t>material note</t>
  </si>
  <si>
    <t>rod</t>
  </si>
  <si>
    <t>Pt/Ti O₂-evolution; cells bind before the coating.</t>
  </si>
  <si>
    <t>IrO₂-Ta₂O₅ O₂-selective; derates vs chloride.</t>
  </si>
  <si>
    <t>tube</t>
  </si>
  <si>
    <t>Tubular MMO CP rating ~100 A/m²; binds near the cell limit.</t>
  </si>
  <si>
    <t>Graphite rod</t>
  </si>
  <si>
    <t>Graphite</t>
  </si>
  <si>
    <t>Consumable; ~35 mA/cm² erosion, unsuitable for sustained neutral O₂; testing only.</t>
  </si>
  <si>
    <t>CURRENT DENSITY, WETTED AREA &amp; LIMITS</t>
  </si>
  <si>
    <t>Anode shape (from electrode)</t>
  </si>
  <si>
    <t>anode_shape</t>
  </si>
  <si>
    <t>Rod counts its end face; a tube does not.</t>
  </si>
  <si>
    <t>Anode diameter (from electrode)</t>
  </si>
  <si>
    <t>anode_dia</t>
  </si>
  <si>
    <t>Electrode table.</t>
  </si>
  <si>
    <t>Cathode shape (from electrode)</t>
  </si>
  <si>
    <t>cathode_shape</t>
  </si>
  <si>
    <t>Rod/tube; sets the end-face term.</t>
  </si>
  <si>
    <t>Cathode diameter (from electrode)</t>
  </si>
  <si>
    <t>cathode_dia</t>
  </si>
  <si>
    <t>(import) Submerged electrode length</t>
  </si>
  <si>
    <t>L_sub</t>
  </si>
  <si>
    <t>A_anode_wet</t>
  </si>
  <si>
    <t>Lateral π·d·L (+ end face for a rod). mm²→cm².</t>
  </si>
  <si>
    <t>Cathode wetted area</t>
  </si>
  <si>
    <t>A_cath_wet</t>
  </si>
  <si>
    <t>Same, cathode.</t>
  </si>
  <si>
    <t>j_anode</t>
  </si>
  <si>
    <t>I / anode wetted area.</t>
  </si>
  <si>
    <t>Cathode current density</t>
  </si>
  <si>
    <t>j_cathode</t>
  </si>
  <si>
    <t>I / cathode wetted area.</t>
  </si>
  <si>
    <t>Anode plating limit — continuous</t>
  </si>
  <si>
    <t>anode_j_cont</t>
  </si>
  <si>
    <t>Coating continuous rating (electrode table).</t>
  </si>
  <si>
    <t>Anode plating limit — maximum</t>
  </si>
  <si>
    <t>anode_j_max</t>
  </si>
  <si>
    <t>Coating maximum (electrode table).</t>
  </si>
  <si>
    <t>Cathode (SS) HER limit — continuous</t>
  </si>
  <si>
    <t>cath_j_cont</t>
  </si>
  <si>
    <t>Stainless-steel HER ~25–80 mA/cm² continuous.</t>
  </si>
  <si>
    <t>Cathode (SS) HER limit — maximum</t>
  </si>
  <si>
    <t>cath_j_max</t>
  </si>
  <si>
    <t>Stainless-steel HER ~250 mA/cm² lab max.</t>
  </si>
  <si>
    <t>Fallback optimum j (unlisted strain)</t>
  </si>
  <si>
    <t>j_opt_default</t>
  </si>
  <si>
    <t>Conservative fallback for an unlisted organism.</t>
  </si>
  <si>
    <t>Fallback ceiling j (unlisted strain)</t>
  </si>
  <si>
    <t>j_ceiling_default</t>
  </si>
  <si>
    <t>Conservative fallback ceiling.</t>
  </si>
  <si>
    <t>Strain optimum current density</t>
  </si>
  <si>
    <t>j_opt_strain</t>
  </si>
  <si>
    <t>Strain table below; fallback if unlisted.</t>
  </si>
  <si>
    <t>Strain tolerated ceiling</t>
  </si>
  <si>
    <t>j_ceiling_strain</t>
  </si>
  <si>
    <t>Inhibition above this.</t>
  </si>
  <si>
    <t>Strain data confidence</t>
  </si>
  <si>
    <t>j_strain_conf</t>
  </si>
  <si>
    <t>low/unknown → provisional; run the screen.</t>
  </si>
  <si>
    <t>Current density vs strain</t>
  </si>
  <si>
    <t>j_bio_flag</t>
  </si>
  <si>
    <t>Green ≤ optimum, amber ≤ ceiling, red above.</t>
  </si>
  <si>
    <t>Current density vs anode plating</t>
  </si>
  <si>
    <t>j_mat_flag</t>
  </si>
  <si>
    <t>Anode coating limit; graphite always ≥ amber.</t>
  </si>
  <si>
    <t>Cathode current density vs SS norm</t>
  </si>
  <si>
    <t>j_cath_flag</t>
  </si>
  <si>
    <t>SS cathode HER check.</t>
  </si>
  <si>
    <t>CURRENT DENSITY STATUS (worst of above)</t>
  </si>
  <si>
    <t>j_flag</t>
  </si>
  <si>
    <t>Worst of strain, plating and cathode.</t>
  </si>
  <si>
    <t>Anode material (from electrode)</t>
  </si>
  <si>
    <t>anode_material</t>
  </si>
  <si>
    <t>Electrode table; drives the graphite warning.</t>
  </si>
  <si>
    <t>STRAIN CURRENT-DENSITY TOLERANCE (mA/cm²) — keyed on organism; see current-density-screen.md</t>
  </si>
  <si>
    <t>Strain / organism</t>
  </si>
  <si>
    <t>j_opt</t>
  </si>
  <si>
    <t>j_ceiling</t>
  </si>
  <si>
    <t>confidence</t>
  </si>
  <si>
    <t>Inferred analogue (Zhang 2020; Bause 2018 biofilm 0.5). Run screen.</t>
  </si>
  <si>
    <t>No strain-specific j; mixed-HOB analogue. Run screen.</t>
  </si>
  <si>
    <t>No strain-specific j; genus-mate of necator. Run screen.</t>
  </si>
  <si>
    <t>Zhang 2020 (JCP 263:121596) + Pous 2022 (BiTE 18:101010); undivided cell.</t>
  </si>
  <si>
    <t>MAXIMUM-POWER CURRENT (AEP-Plugin clamp)</t>
  </si>
  <si>
    <t>Max electrolysis power</t>
  </si>
  <si>
    <t>power_max</t>
  </si>
  <si>
    <t>AEP-Plugin runtime clamp: electrolysis_power ≤ 10 % (MAX_ELECTROLYSIS_POWER).</t>
  </si>
  <si>
    <t>I_max</t>
  </si>
  <si>
    <t>Gerrit's Law at the power clamp.</t>
  </si>
  <si>
    <t>j_anode_max</t>
  </si>
  <si>
    <t>Status at max power</t>
  </si>
  <si>
    <t>j_flag_max</t>
  </si>
  <si>
    <t>Worst of strain ceiling and plating at max power.</t>
  </si>
  <si>
    <t>Computed from the shape-aware wetted area (Electrochemistry A_anode_wet); tracks reactor &amp; electrode.</t>
  </si>
  <si>
    <t>CALIBRATIONS</t>
  </si>
  <si>
    <t>Fill the white cells only: Researcher, Date, the key (Reactor or Organism) and the raw measurements. Grey cells are computed automatically. Set Include to y for rows the model should use.</t>
  </si>
  <si>
    <t>The value in use for each calibration follows the rule stated under its heading. If no rows are included yet, the model falls back to its built-in default.</t>
  </si>
  <si>
    <t>Value in use: least-squares fit of current vs intensity, averaged across all included runs for the active reactor.</t>
  </si>
  <si>
    <t>Researcher</t>
  </si>
  <si>
    <t>Date</t>
  </si>
  <si>
    <t>Intensity</t>
  </si>
  <si>
    <t>Current</t>
  </si>
  <si>
    <t>Type (auto)</t>
  </si>
  <si>
    <t>Include?</t>
  </si>
  <si>
    <t>Notes</t>
  </si>
  <si>
    <t>Value in use - slope</t>
  </si>
  <si>
    <t>Value in use - intercept</t>
  </si>
  <si>
    <t>Charge Q</t>
  </si>
  <si>
    <t>Gas volume</t>
  </si>
  <si>
    <t>Temp</t>
  </si>
  <si>
    <t>Pressure</t>
  </si>
  <si>
    <t>etaF (computed)</t>
  </si>
  <si>
    <t>Value in use - cathode (H2)</t>
  </si>
  <si>
    <t>Value in use - anode (O2)</t>
  </si>
  <si>
    <t>Value in use: average of the included kLa runs for the active reactor.</t>
  </si>
  <si>
    <t>kLa</t>
  </si>
  <si>
    <t>Value in use - kLa</t>
  </si>
  <si>
    <t>Value in use: the most recent included measurement for the active reactor (a flow rate is a valve/hardware setting, so the latest reading replaces older ones).</t>
  </si>
  <si>
    <t>CO2 volume</t>
  </si>
  <si>
    <t>Time</t>
  </si>
  <si>
    <t>Flow (computed)</t>
  </si>
  <si>
    <t>Value in use - flow rate</t>
  </si>
  <si>
    <t>mL/s</t>
  </si>
  <si>
    <t>Value in use: average across included vials of the active reactor type (all vials of a type are nominally identical, so averaging improves the estimate).</t>
  </si>
  <si>
    <t>Headspace mass</t>
  </si>
  <si>
    <t>Body mass</t>
  </si>
  <si>
    <t>V total (computed)</t>
  </si>
  <si>
    <t>Bore depth (computed)</t>
  </si>
  <si>
    <t>Value in use - total vial volume</t>
  </si>
  <si>
    <t>Value in use - usable depth</t>
  </si>
  <si>
    <t>Value in use: the most recent included measurement for the active reactor (the fitted frit is hardware, so the latest reading replaces older ones).</t>
  </si>
  <si>
    <t>Bubble-point</t>
  </si>
  <si>
    <t>Grade (computed)</t>
  </si>
  <si>
    <t>Value in use - porosity grade</t>
  </si>
  <si>
    <t>Value in use: average of the included values for the active organism.</t>
  </si>
  <si>
    <t>Min DO</t>
  </si>
  <si>
    <t>Optimum DO</t>
  </si>
  <si>
    <t>Impairment DO</t>
  </si>
  <si>
    <t>Toxic DO</t>
  </si>
  <si>
    <t>Value in use - minimum DO</t>
  </si>
  <si>
    <t>Value in use - optimum DO</t>
  </si>
  <si>
    <t>Value in use - impairment DO</t>
  </si>
  <si>
    <t>Value in use - toxic DO</t>
  </si>
  <si>
    <t>Value in use: average of the included ratios for the active organism.</t>
  </si>
  <si>
    <t>H2</t>
  </si>
  <si>
    <t>O2</t>
  </si>
  <si>
    <t>CO2</t>
  </si>
  <si>
    <t>Value in use - H2</t>
  </si>
  <si>
    <t>parts</t>
  </si>
  <si>
    <t>Value in use - O2</t>
  </si>
  <si>
    <t>Value in use - CO2</t>
  </si>
  <si>
    <t>Value in use: average of the included screen results for the active organism.</t>
  </si>
  <si>
    <t>j optimum</t>
  </si>
  <si>
    <t>j ceiling</t>
  </si>
  <si>
    <t>Value in use - optimum j</t>
  </si>
  <si>
    <t>Value in use - ceiling j</t>
  </si>
  <si>
    <t>Dissolved O₂ in equilibrium with that vent headspace fraction. At the current operating point it is ~405 µM against the ~365 µM inhibition ceiling (Biology D28) — the kL-independent vent leg does NOT on its own hold DO under the ceiling. Diagnostic, not a backstop.</t>
  </si>
  <si>
    <t>Least feasible CO₂ duty (binding of the two floors). The recommended schedule follows this duty only in the SPARGE-NEEDED regime; under SURFACE-HELD, D91 follows the carbon-limited interval and the achieved duty (D93) is correspondingly lower.</t>
  </si>
  <si>
    <t>O₂-limited FALLBACK interval: zero-surface worst case (no surface credit; sizes on O2_src_guard D132). This is what D91 recommends until the surface path is demonstrated — i.e. until a surface kLa is measured (Calibrations) and the lag-source regime test (D134) passes.</t>
  </si>
  <si>
    <t>Companion to t_O2_ceiling_lag crediting BOTH removal paths at their best-case ceiling driving force. Best-case diagnostic only: surf_strip is the ~375%-uncertain surface proxy, so this cell must never gate a schedule or a guard. 9999 = removal exceeds the source at that best case.</t>
  </si>
  <si>
    <t>Naïve FE=1 upper bound (all anode current → Cl₂). Superseded by the mass-transport-limited chlorine current I_Cl (D133) and the production rate P_HOCl (D134). Kept only to show the overstatement (~50× as the model now stands).</t>
  </si>
  <si>
    <t>Naïve FE=1 ceiling: the whole chloride inventory converted to free chlorine, times the HOCl fraction at the operating pH. Superseded by the steady free chlorine HOCl_ss (D139); it ignores both the chloride mass-transport cap and the ammonium demand.</t>
  </si>
  <si>
    <t>Active-chlorine current efficiency on the high-chloride plateau (approaches ~1 above ~50 mM Cl⁻; Vos &amp; Koper, JACS 140:10270 / JEAC 819:260). 0.5 is a mid-plateau value and is NOT the operative limit here — at trace Cl⁻ the chloride mass-transport limit (D132) binds.</t>
  </si>
  <si>
    <t>i_lim = n·F·k_m·[Cl⁻]·A, n = 1 per ARRIVING chloride; [Cl⁻] in mol/cm³ = pH_Cl/1000. Caps chlorine at the chloride flux — binds at trace Cl⁻ (0.112 mA for UdG at the current anode wetted area), so production scales with chloride.</t>
  </si>
  <si>
    <t>P_HOCl = I_Cl/(n_e_Cl·F·V), n_e_Cl = 2 on every route (D148).</t>
  </si>
  <si>
    <t>OPERATIVE bleaching value: local-weighted free HOCl + combined chlorine ÷ potency. At trace chloride it is bounded by the chloride pool (D149) rather than by current, so it scales with the medium's chloride; it only becomes current-sensitive once the pool cap stops binding.</t>
  </si>
  <si>
    <t>ELECTRODE GEOMETRY FOR THE OHMIC DROP (wave-4)</t>
  </si>
  <si>
    <t>Electrode centre-to-centre gap</t>
  </si>
  <si>
    <t>elec_gap</t>
  </si>
  <si>
    <t>DATA GAP — measure across the cap ports with calipers. 14 mm is the mid-range for two 6 mm rods in a 25.3 mm bore. The solution resistance goes as acosh(gap/rod_d), so this sets the ohmic term in the cell-voltage budget (Electrochemistry).</t>
  </si>
  <si>
    <t>Electrode submerged length (at the achieved level)</t>
  </si>
  <si>
    <t>elec_sub_L_act</t>
  </si>
  <si>
    <t>Submerged length at the ACHIEVED liquid level (D42), not the bare datum (D35, which exists for displacement bookkeeping). This is what sets the wetted area and hence current density.</t>
  </si>
  <si>
    <t>Submerged length at the achieved liquid level (Geometry D93). Was taken from the bare datum (Geometry D35), which overstated the wetted area by 6.5% and understated every current density by the same factor.</t>
  </si>
  <si>
    <t>TARGET DISSOLVED-OXYGEN FRACTION (wave-4: one definition, used by every guard)</t>
  </si>
  <si>
    <t>Target DO fraction (optimum ÷ inhibition ceiling)</t>
  </si>
  <si>
    <t>DO_frac_target</t>
  </si>
  <si>
    <t>Hold dissolved O₂ at or below this fraction of the inhibition ceiling. Taken from the selected organism's own measured band when there is one; otherwise the fallback below.</t>
  </si>
  <si>
    <t xml:space="preserve">  fallback when the organism band is unmeasured</t>
  </si>
  <si>
    <t>DO_frac_fallback</t>
  </si>
  <si>
    <t>Imported from Biology D60 — one definition of the target DO fraction, computed from the selected organism's measured band where there is one and from C. necator's 3/11.5 otherwise. Sizes the O₂ guards below.</t>
  </si>
  <si>
    <t>Electrons per HOCl formed — 2 on every route. 2Cl⁻ → Cl₂ + 2e⁻ then Cl₂ + H₂O → HOCl + H⁺ + Cl⁻ is 2 e⁻ per HOCl (and 1 net chloride consumed); the direct route Cl⁻ + H₂O → HOCl + H⁺ + 2e⁻ is also 2. Distinct from the n = 1 per ARRIVING chloride in the mass-transport limit (D132) — that is a flux count, not a stoichiometry.</t>
  </si>
  <si>
    <t>From the van ʼt Hoff-corrected Ka_NH4 (D18) so the sheet cannot hold two different ammonium pKa values at once. Only free NH₃ reacts with HOCl; at pH 7 about 0.6% of the ammonium pool is free NH₃, so the sink is finite and a steady residual coexists.</t>
  </si>
  <si>
    <t>SOLUTION CONDUCTIVITY (Kohlrausch sum from the recipe — feeds the ohmic drop)</t>
  </si>
  <si>
    <t>Limiting molar conductivity — Na⁺</t>
  </si>
  <si>
    <t>lam_Na</t>
  </si>
  <si>
    <t>S·cm²/mol</t>
  </si>
  <si>
    <t>CRC Handbook, Vanýsek "Ionic conductivity and diffusion at infinite dilution" (25 °C). Consistent with the tabulated diffusion coefficient through λ° = z²F²D/RT.</t>
  </si>
  <si>
    <t>Limiting molar conductivity — K⁺</t>
  </si>
  <si>
    <t>lam_K</t>
  </si>
  <si>
    <t>Limiting molar conductivity — NH₄⁺</t>
  </si>
  <si>
    <t>lam_NH4</t>
  </si>
  <si>
    <t>Limiting molar conductivity — Mg²⁺ (per mol)</t>
  </si>
  <si>
    <t>lam_Mg</t>
  </si>
  <si>
    <t>Limiting molar conductivity — Ca²⁺ (per mol)</t>
  </si>
  <si>
    <t>lam_Ca</t>
  </si>
  <si>
    <t>Limiting molar conductivity — H₂PO₄⁻</t>
  </si>
  <si>
    <t>lam_H2PO4</t>
  </si>
  <si>
    <t>Limiting molar conductivity — HPO₄²⁻ (per mol)</t>
  </si>
  <si>
    <t>lam_HPO4</t>
  </si>
  <si>
    <t>Limiting molar conductivity — SO₄²⁻ (per mol)</t>
  </si>
  <si>
    <t>lam_SO4</t>
  </si>
  <si>
    <t>Limiting molar conductivity — HCO₃⁻</t>
  </si>
  <si>
    <t>lam_HCO3</t>
  </si>
  <si>
    <t>Limiting molar conductivity — Cl⁻</t>
  </si>
  <si>
    <t>lam_Cl</t>
  </si>
  <si>
    <t>Kohlrausch sum — MC02</t>
  </si>
  <si>
    <t>kappa0_mc02</t>
  </si>
  <si>
    <t>S/m</t>
  </si>
  <si>
    <t>Σ cᵢλᵢ over the as-weighed salts (mol/L × S·cm²/mol ÷ 10 → S/m). Phosphate is taken at its as-weighed protonation state, which is what the recipe fixes.</t>
  </si>
  <si>
    <t>Kohlrausch sum — UdG</t>
  </si>
  <si>
    <t>kappa0_udg</t>
  </si>
  <si>
    <t>As for MC02, over the UdG recipe.</t>
  </si>
  <si>
    <t>Finite-ionic-strength factor</t>
  </si>
  <si>
    <t>kappa_fI</t>
  </si>
  <si>
    <t>Λ/Λ° at I ≈ 0.1 M. Anchored on the 0.1 M KCl standard (12.88 mS/cm measured vs 14.98 predicted → 0.86 for a 1:1 salt); 2:1 and 1:2 salts run 0.70–0.75, and this medium is dominated by HPO₄²⁻/SO₄²⁻ with Na⁺, giving 0.76–0.80. ±15%. The Debye–Hückel–Onsager √c law is not valid at this strength; PHREEQC would make it citable rather than empirical.</t>
  </si>
  <si>
    <t>Conductivity temperature coefficient</t>
  </si>
  <si>
    <t>kappa_TC</t>
  </si>
  <si>
    <t>1/K</t>
  </si>
  <si>
    <t>+2.0 %/K near 25 °C (bracket 1.9–2.2), the standard value behind ISO 7888 conductivity-meter compensation. Over 25→30 °C this is +10% in κ — larger than any thermodynamic temperature effect in this sheet.</t>
  </si>
  <si>
    <t>Solution conductivity at reactor T</t>
  </si>
  <si>
    <t>kappa_med</t>
  </si>
  <si>
    <t>Kohlrausch sum × finite-strength factor × temperature correction. Feeds the ohmic term of the cell-voltage budget (Electrochemistry).</t>
  </si>
  <si>
    <t>IONIC STRENGTH &amp; ACTIVITY COEFFICIENTS (Davies) — the pH solve runs on these</t>
  </si>
  <si>
    <t>Ionic strength — MC02</t>
  </si>
  <si>
    <t>I_mc02</t>
  </si>
  <si>
    <t>I = ½Σcᵢzᵢ² over the as-weighed salts, phosphate at its recipe protonation state. Varies less than 10% across the pH solve range, so it is evaluated once rather than per grid row.</t>
  </si>
  <si>
    <t>Ionic strength — UdG</t>
  </si>
  <si>
    <t>I_udg</t>
  </si>
  <si>
    <t>(sel) ionic strength</t>
  </si>
  <si>
    <t>I_ionic</t>
  </si>
  <si>
    <t>Debye–Hückel A at reactor T</t>
  </si>
  <si>
    <t>A_DH</t>
  </si>
  <si>
    <t>A = 1.82×10⁶(εT)^-1.5 with the dielectric constant of water scaled as ε(T) = 78.54·(298.15/T)^1.368. Gives 0.509 at 25 °C, the standard value.</t>
  </si>
  <si>
    <t>Activity coefficient γ1 (Davies)</t>
  </si>
  <si>
    <t>gam1</t>
  </si>
  <si>
    <t>Davies extension of Debye–Hückel: log γ = −A z²(√I/(1+√I) − 0.3 I). Usable to about I = 0.5 M; at I ≈ 0.11 it is the standard choice for a buffer calculation.</t>
  </si>
  <si>
    <t>Activity coefficient γ2 (Davies)</t>
  </si>
  <si>
    <t>gam2</t>
  </si>
  <si>
    <t>Activity coefficient γ3 (Davies)</t>
  </si>
  <si>
    <t>gam3</t>
  </si>
  <si>
    <t>Carbonate Ka1 — concentration scale</t>
  </si>
  <si>
    <t>Ka1c_c</t>
  </si>
  <si>
    <t>Thermodynamic constant converted to the concentration scale the charge balance actually solves on. CO₂(aq) → H⁺ + HCO₃⁻: neutral acid, so K_c = K/γ₁².</t>
  </si>
  <si>
    <t>Carbonate Ka2 — concentration scale</t>
  </si>
  <si>
    <t>Ka2c_c</t>
  </si>
  <si>
    <t>Thermodynamic constant converted to the concentration scale the charge balance actually solves on. HCO₃⁻ → H⁺ + CO₃²⁻: K_c = K/γ₂.</t>
  </si>
  <si>
    <t>Phosphate Ka1 — concentration scale</t>
  </si>
  <si>
    <t>Ka1p_c</t>
  </si>
  <si>
    <t>Thermodynamic constant converted to the concentration scale the charge balance actually solves on. H₃PO₄ → H⁺ + H₂PO₄⁻: K_c = K/γ₁².</t>
  </si>
  <si>
    <t>Phosphate Ka2 — concentration scale</t>
  </si>
  <si>
    <t>Ka2p_c</t>
  </si>
  <si>
    <t>Thermodynamic constant converted to the concentration scale the charge balance actually solves on. H₂PO₄⁻ → H⁺ + HPO₄²⁻: K_c = K/γ₂. This is the one that matters — it moves pKa2 from 7.20 to about 6.76, the familiar "phosphate buffer is 6.8 at physiological ionic strength".</t>
  </si>
  <si>
    <t>Phosphate Ka3 — concentration scale</t>
  </si>
  <si>
    <t>Ka3p_c</t>
  </si>
  <si>
    <t>Thermodynamic constant converted to the concentration scale the charge balance actually solves on. HPO₄²⁻ → H⁺ + PO₄³⁻: K_c = K·γ₂/(γ₁γ₃).</t>
  </si>
  <si>
    <t>Water Kw — concentration scale</t>
  </si>
  <si>
    <t>Kw_c</t>
  </si>
  <si>
    <t>Thermodynamic constant converted to the concentration scale the charge balance actually solves on. K_c = Kw/γ₁².</t>
  </si>
  <si>
    <t>Hypochlorous Ka — concentration scale</t>
  </si>
  <si>
    <t>KaHOCl_c</t>
  </si>
  <si>
    <t>Thermodynamic constant converted to the concentration scale the charge balance actually solves on. HOCl → H⁺ + OCl⁻: neutral acid, K_c = K/γ₁².</t>
  </si>
  <si>
    <t>Ammonium Ka — concentration scale</t>
  </si>
  <si>
    <t>KaN_c</t>
  </si>
  <si>
    <t>NH₄⁺ → NH₃ + H⁺ carries the same charge on both sides of the ratio, so the activity coefficients cancel exactly and no correction applies.</t>
  </si>
  <si>
    <t>ELECTRODE POTENTIALS AT THE OPERATING pH (which reactions are accessible)</t>
  </si>
  <si>
    <t>Nernst slope at reactor T</t>
  </si>
  <si>
    <t>nernst_slope</t>
  </si>
  <si>
    <t>V/pH</t>
  </si>
  <si>
    <t>(RT/F)·ln10 — 0.0592 V per pH unit at 25 °C.</t>
  </si>
  <si>
    <t>Standard potential — O₂ + 4H⁺ + 4e⁻ → 2H₂O</t>
  </si>
  <si>
    <t>E0_OER</t>
  </si>
  <si>
    <t>V vs SHE</t>
  </si>
  <si>
    <t>CRC Handbook §5 electrochemical series (Vanýsek), after Bard, Parsons &amp; Jordan 1985. ±0.001 V. dE°/dT = −0.85 mV/K, so ≤4 mV over 25→30 °C — negligible beside the overpotentials.</t>
  </si>
  <si>
    <t>Standard potential — 2H⁺ + 2e⁻ → H₂</t>
  </si>
  <si>
    <t>E0_HER</t>
  </si>
  <si>
    <t>Defined as zero at every temperature (the SHE convention), not a measurement.</t>
  </si>
  <si>
    <t>Standard potential — Cl₂ + 2e⁻ → 2Cl⁻</t>
  </si>
  <si>
    <t>E0_Cl2</t>
  </si>
  <si>
    <t>CRC Handbook §5. ±0.001 V.</t>
  </si>
  <si>
    <t>Standard potential — O₂ + 2H⁺ + 2e⁻ → H₂O₂</t>
  </si>
  <si>
    <t>E0_ORR2</t>
  </si>
  <si>
    <t>CRC Handbook §5. ±0.003 V. The parasitic cathode branch.</t>
  </si>
  <si>
    <t>Standard potential — Cu²⁺ + 2e⁻ → Cu</t>
  </si>
  <si>
    <t>E0_Cu</t>
  </si>
  <si>
    <t>O₂/H₂O potential at operating pH</t>
  </si>
  <si>
    <t>E_OER</t>
  </si>
  <si>
    <t>The potential the anode must at least reach to evolve O₂. Falls 59 mV per pH unit.</t>
  </si>
  <si>
    <t>H⁺/H₂ potential at operating pH</t>
  </si>
  <si>
    <t>E_HER</t>
  </si>
  <si>
    <t>The potential the cathode must at least reach to evolve H₂.</t>
  </si>
  <si>
    <t>Cl₂/Cl⁻ potential at the medium chloride</t>
  </si>
  <si>
    <t>E_Cl2</t>
  </si>
  <si>
    <t>Nernst on the chloride activity: E = E° + (RT/F)·ln10·pCl. pH-independent, so at trace chloride it sits far above the O₂ line.</t>
  </si>
  <si>
    <t>Chlorine headroom above O₂ evolution</t>
  </si>
  <si>
    <t>E_Cl_margin</t>
  </si>
  <si>
    <t>V</t>
  </si>
  <si>
    <t>How much extra anodic potential chlorine evolution needs over oxygen evolution. Large and positive means chlorine is thermodynamically disfavoured at this chloride level, so the mass-transport figure in D133 is a generous upper bound. Chlorine only competes kinetically above roughly 50 mM chloride (Vos &amp; Koper).</t>
  </si>
  <si>
    <t>O₂/H₂O₂ potential at operating pH</t>
  </si>
  <si>
    <t>E_ORR2</t>
  </si>
  <si>
    <t>The 2-electron oxygen-reduction branch available at the cathode. It sits well above the HER potential, which is why the cathode reduces dissolved O₂ in preference to making H₂ — the faradaic loss quantified on the Electrochemistry sheet.</t>
  </si>
  <si>
    <t>Copper dissolution headroom at the anode</t>
  </si>
  <si>
    <t>E_Cu_margin</t>
  </si>
  <si>
    <t>An anode polarised to evolve oxygen sits this far above the Cu²⁺/Cu equilibrium, so copper dissolution is thermodynamically allowed wherever copper is exposed. Supports the electrode-corrosion suspicion in D163; it does not by itself set a rate.</t>
  </si>
  <si>
    <t>BUFFER CAPACITY AT THE ELECTRODE SURFACE (does the local pH hold?)</t>
  </si>
  <si>
    <t>Diffusion coefficient — HPO₄²⁻</t>
  </si>
  <si>
    <t>D_HPO4</t>
  </si>
  <si>
    <t>CRC tabulated ionic diffusion coefficient at 25 °C (0.759×10⁻⁵ cm²/s).</t>
  </si>
  <si>
    <t>Diffusion layer thickness</t>
  </si>
  <si>
    <t>delta_diff</t>
  </si>
  <si>
    <t>k_m = D/δ with the Eisenberg–Tobias–Wilke k_m on the Electrochemistry sheet gives δ ≈ 40 µm at the assumed swirl velocity. Uncertain by about a factor of 2, and that factor is what decides the verdict below — one ferricyanide limiting-current run on the same rod at the same rpm would settle it.</t>
  </si>
  <si>
    <t>Buffer-limited current density</t>
  </si>
  <si>
    <t>j_buffer_lim</t>
  </si>
  <si>
    <t>j_lim = F·D·C/δ for the proton acceptor (HPO₄²⁻) reaching the anode. Above this the anode surface acidifies away from the bulk pH. Katsounaros 2011 give the same answer from the other direction: 10 mM buffer pins the surface to bulk only to about 1 mA/cm².</t>
  </si>
  <si>
    <t>(import) anode current density</t>
  </si>
  <si>
    <t>j_anode_c</t>
  </si>
  <si>
    <t>→ Electrochemistry (j_anode)</t>
  </si>
  <si>
    <t>Operating : buffer-limited current</t>
  </si>
  <si>
    <t>j_buffer_ratio</t>
  </si>
  <si>
    <t>Below 1 the phosphate buffer holds the electrode surface at the bulk pH; at 1 the surface excursion runs away. Shinagawa &amp; Takanabe (2019) note that genuinely suppressing the gradient wants roughly 0.5 M phosphate — this medium has 37 mM.</t>
  </si>
  <si>
    <t>Local-pH verdict</t>
  </si>
  <si>
    <t>buffer_flag</t>
  </si>
  <si>
    <t>Anode acidifies, cathode alkalinises, symmetrically. The excursion also pushes the anode off the phosphate-saturated regime that makes neutral-pH OER kinetically cheap (Surendranath, Kanan &amp; Nocera 2010), so the two effects compound.</t>
  </si>
  <si>
    <t>Measured (activity-scale) pH</t>
  </si>
  <si>
    <t>pH_meas</t>
  </si>
  <si>
    <t>What a glass electrode reads. The charge balance solves on concentrations, so its root is a concentration-scale pH; a probe measures hydrogen-ion ACTIVITY. The two differ by −log γ₁ (about +0.11 at this ionic strength). Every pH comparison in the sheet uses this cell.</t>
  </si>
  <si>
    <t>CALCULATED FARADAIC SPLIT — the cathode competes with dissolved O₂ (wave-4)</t>
  </si>
  <si>
    <t>(import) target DO fraction</t>
  </si>
  <si>
    <t>ec_DO_frac</t>
  </si>
  <si>
    <t>→ Biology (DO_frac_target)</t>
  </si>
  <si>
    <t>(import) dissolved-O₂ ceiling</t>
  </si>
  <si>
    <t>ec_O2_ceil</t>
  </si>
  <si>
    <t>→ Biology (O2_ceil_C)</t>
  </si>
  <si>
    <t>(import) O₂ diffusivity at reactor T</t>
  </si>
  <si>
    <t>ec_D_O2</t>
  </si>
  <si>
    <t>→ Mass Transfer (D_O2)</t>
  </si>
  <si>
    <t>(import) reactor liquid volume</t>
  </si>
  <si>
    <t>ec_V_L</t>
  </si>
  <si>
    <t>Electrode mass-transfer coefficient — O₂</t>
  </si>
  <si>
    <t>km_O2</t>
  </si>
  <si>
    <t>Eisenberg, Tobias &amp; Wilke 1954 (JES 101:306): Sh = 0.0791·Re^0.7·Sc^0.356 for a cylinder in axial swirl. At an assumed 20 cm/s swirl past a 6 mm rod this gives 3.7e-3 cm/s; bracket 2–6e-3 for 10–40 cm/s. The swirl velocity past a STATIONARY rod is the weak link — Sh goes as u^0.7, so a 4× velocity error is a 2.6× error here. One ferricyanide limiting-current run in the same vial at the same rpm would replace this estimate outright.</t>
  </si>
  <si>
    <t>Diffusivity exponent for k_m scaling</t>
  </si>
  <si>
    <t>km_exp</t>
  </si>
  <si>
    <t>k_m ∝ D^(1−0.356) from the Eisenberg correlation. (A rotating disc would give D^(2/3); a stagnant film D^1.)</t>
  </si>
  <si>
    <t>Design DO for the cathodic O₂ flux</t>
  </si>
  <si>
    <t>ec_DO_design</t>
  </si>
  <si>
    <t>The dissolved O₂ the schedule is designed to hold. The cathodic O₂ reduction below is evaluated here rather than at the modelled steady DO, which would make the sheet circular (DO depends on the net O₂, which depends on this loss).</t>
  </si>
  <si>
    <t>Cathodic O₂ current at the design DO</t>
  </si>
  <si>
    <t>i_ORR_design</t>
  </si>
  <si>
    <t>i = n·F·k_m·C·A, the O₂ mass-transport limit at the cathode. This is current that does NOT make hydrogen, and it consumes dissolved O₂. Le Bozec 2001 (Corros Sci 43:765) show ORR on 316L in neutral solution running mixed 2e⁻/4e⁻ and limited by the passive film as much as by transport, so this is an upper bound on the loss.</t>
  </si>
  <si>
    <t>Cathodic O₂ current at the ceiling DO</t>
  </si>
  <si>
    <t>i_ORR_ceiling</t>
  </si>
  <si>
    <t>The same flux if dissolved O₂ ever reached the inhibition ceiling — the worst case for the faradaic split.</t>
  </si>
  <si>
    <t>Cathodic faradaic efficiency (calculated)</t>
  </si>
  <si>
    <t>etaF_calc</t>
  </si>
  <si>
    <t>1 − (cathodic O₂ current)/(applied current). Replaces the previous assumption that every cathode electron makes H₂. Neutral-pH HER on stainless also has its own kinetic losses; this accounts only for the O₂ that competes for the current.</t>
  </si>
  <si>
    <t xml:space="preserve">  same, at the ceiling DO (worst case)</t>
  </si>
  <si>
    <t>etaF_calc_min</t>
  </si>
  <si>
    <t>Lower bound on the cathodic efficiency if DO ran up to the inhibition ceiling.</t>
  </si>
  <si>
    <t>HYDROGEN PEROXIDE — the 2-electron branch of that O₂ reduction</t>
  </si>
  <si>
    <t>Peroxide selectivity of the O₂ reduction</t>
  </si>
  <si>
    <t>f_HOOH</t>
  </si>
  <si>
    <t>10–20% of the O₂ reduced on stainless in neutral solution leaves as H₂O₂ rather than water (Le Bozec et al. 2001, RRDE on 316L/904L; prereduced surfaces favour the 4e⁻ route, polished ones run mixed). 0.15 is the midpoint. Nobody has published a defensible j₀/Tafel pair for ORR on steel — the surface is a potential-history-dependent Cr/Fe oxide — so this is bounded by transport above and by selectivity here.</t>
  </si>
  <si>
    <t>Peroxide molar mass</t>
  </si>
  <si>
    <t>M_H2O2</t>
  </si>
  <si>
    <t>H₂O₂, IUPAC atomic weights.</t>
  </si>
  <si>
    <t>Peroxide production rate</t>
  </si>
  <si>
    <t>r_H2O2</t>
  </si>
  <si>
    <t>2 electrons per H₂O₂. This is a source term the model previously did not have at all, and it runs whenever there is current and dissolved O₂.</t>
  </si>
  <si>
    <t>Catalase clearance rate (growing culture)</t>
  </si>
  <si>
    <t>k_cat_cells</t>
  </si>
  <si>
    <t>First-order whole-culture peroxide clearance at ~1e8 cells/mL, from the measured half-lives (21 s at OD 1.0, 3.5 min at OD 0.1; Uhl &amp; Dukan 2016, PLoS ONE 11:e0159706) — t½ ≈ 3 min here. Catalase is far below saturation at µM peroxide (Km is tens of mM), so first order is the right form. Scales with cell density: at inoculation it is effectively zero.</t>
  </si>
  <si>
    <t>Steady peroxide, growing culture</t>
  </si>
  <si>
    <t>H2O2_ss</t>
  </si>
  <si>
    <t>Production ÷ catalase clearance. The bulk Fenton route is not modelled: the medium's 0.18 mM Fe(II) would consume peroxide within a second, but it is a one-shot 6 mg/L capacity that is itself oxidised away in 5–20 min, and bulk hydroxyl radicals are scavenged by bicarbonate within ~0.2 µm, far short of a cell. The damage route that matters is intracellular.</t>
  </si>
  <si>
    <t>Peroxide after 1 h with no biomass (lag)</t>
  </si>
  <si>
    <t>H2O2_lag_1h</t>
  </si>
  <si>
    <t>At inoculation there is no catalase pool, so peroxide simply accumulates. This is the exposed window.</t>
  </si>
  <si>
    <t>Peroxide growth-inhibition threshold</t>
  </si>
  <si>
    <t>H2O2_thresh</t>
  </si>
  <si>
    <t>5 µM sustained extracellular H₂O₂ measurably slows growth (doubling time 63 → 94 min); E. coli K-12 in glucose minimal medium, chemostatted rather than bolus exposure — the same shape as an electrode source. Li &amp; Imlay 2018, Free Radic Biol Med 120:217. Killing is a different regime entirely, 1–2 mM. No H₂O₂ dose-response exists for C. necator, Hydrogenophaga or Xanthobacter; this is the E. coli number, used as the closest available.</t>
  </si>
  <si>
    <t>Time to that threshold during lag</t>
  </si>
  <si>
    <t>t_H2O2_thresh</t>
  </si>
  <si>
    <t>How long an un-inoculated or just-inoculated vessel takes to pass the growth-inhibition threshold at the current electrolysis rate.</t>
  </si>
  <si>
    <t>Peroxide verdict</t>
  </si>
  <si>
    <t>H2O2_flag</t>
  </si>
  <si>
    <t>Two regimes: a growing culture clears peroxide in minutes, an inoculating one does not. Precedent for the failure mode: Torella 2015 (PNAS 112:2337) and Liu 2016 (Science 352:1210) ran this exact architecture and had to change cathode material because reactive oxygen and metal leaching poisoned the culture.</t>
  </si>
  <si>
    <t>ANODIC CHARGE BUDGET</t>
  </si>
  <si>
    <t>(import) chlorine current</t>
  </si>
  <si>
    <t>ec_I_Cl</t>
  </si>
  <si>
    <t>→ Chemistry (I_Cl, chloride-mass-transport limited)</t>
  </si>
  <si>
    <t>(import) metal-dissolution charge fraction</t>
  </si>
  <si>
    <t>ec_corr_I</t>
  </si>
  <si>
    <t>→ Chemistry (corr_I_frac; a DATA GAP until measured)</t>
  </si>
  <si>
    <t>Chlorine share of the anodic current</t>
  </si>
  <si>
    <t>f_Cl_anode</t>
  </si>
  <si>
    <t>Chlorine evolution as a fraction of the applied current, at the chloride mass-transport limit. Small at trace chloride, and thermodynamically disfavoured besides — see the chlorine headroom on the Chemistry sheet.</t>
  </si>
  <si>
    <t>Anodic faradaic efficiency (calculated)</t>
  </si>
  <si>
    <t>etaF_OER_calc</t>
  </si>
  <si>
    <t>1 − chlorine share − metal-dissolution share. Replaces the previous assertion of 1 with its unsupported "chloride-free medium" note. It remains an UPPER BOUND while the metal-dissolution charge is unmeasured: a corroding anode takes current that this cell still credits to oxygen.</t>
  </si>
  <si>
    <t>CELL VOLTAGE BUDGET — is the drive capable, and what is the anode doing?</t>
  </si>
  <si>
    <t>(import) reversible water-splitting voltage</t>
  </si>
  <si>
    <t>ec_E_rev</t>
  </si>
  <si>
    <t>E_OER − E_HER = E°(O₂/H₂O), pH-independent because both half-reactions shift by the same 59 mV per pH unit. → Chemistry (E0_OER)</t>
  </si>
  <si>
    <t>Tafel slope — anode (OER on Pt/Ti)</t>
  </si>
  <si>
    <t>b_anode</t>
  </si>
  <si>
    <t>V/decade</t>
  </si>
  <si>
    <t>110–120 mV/dec for OER on platinum (Damjanovic, Dey &amp; Bockris 1966). In a phosphate buffer the slope collapses toward 60 mV/dec because phosphate acts as the proton acceptor (Surendranath, Kanan &amp; Nocera 2010, JACS 132:16501) — that effect is carried separately as the buffer credit below, because the clean Pt-in-phosphate electrokinetics have never been published.</t>
  </si>
  <si>
    <t>Exchange current density — anode</t>
  </si>
  <si>
    <t>j0_anode</t>
  </si>
  <si>
    <t>A/cm²</t>
  </si>
  <si>
    <t>OER on Pt: published j₀ spans 1e-9 to 1e-11 A/cm², because Pt at OER potentials is a hydrous oxide and j₀ is an extrapolation across five decades through a potential-dependent film. That spread alone is ±0.12 V on the voltage below — one of the two dominant uncertainties in this block. Fit it from your own polarisation curve rather than trusting this.</t>
  </si>
  <si>
    <t>Tafel slope — cathode (HER on stainless)</t>
  </si>
  <si>
    <t>b_cath</t>
  </si>
  <si>
    <t>130–150 mV/dec for HER on 304/316 stainless at pH 7.5 (van Ede &amp; Angst 2024, Corros Eng Sci Technol). At neutral pH the proton flux is negligible, so HER runs by direct water reduction with H₂PO₄⁻ as the supplementary donor.</t>
  </si>
  <si>
    <t>Exchange current density — cathode</t>
  </si>
  <si>
    <t>j0_cath</t>
  </si>
  <si>
    <t>1–2e-6 A/cm² for HER on stainless in buffered pH 7.5 (van Ede &amp; Angst 2024). Acidic-media values run a decade higher, so the neutral figure is the conservative one.</t>
  </si>
  <si>
    <t>Anodic overpotential</t>
  </si>
  <si>
    <t>eta_anode</t>
  </si>
  <si>
    <t>Tafel: η = b·log₁₀(j/j₀), with j in A/cm².</t>
  </si>
  <si>
    <t>Cathodic overpotential</t>
  </si>
  <si>
    <t>eta_cath</t>
  </si>
  <si>
    <t>As above, at the cathode.</t>
  </si>
  <si>
    <t>Phosphate-buffer credit at the anode</t>
  </si>
  <si>
    <t>pcet_credit</t>
  </si>
  <si>
    <t>Neutral-pH OER in ≥30 mM phosphate proceeds by proton-coupled electron transfer to the buffer base rather than to water, cutting the overpotential by 100–200 mV and the Tafel slope to ~60 mV/dec (Surendranath, Kanan &amp; Nocera 2010; Dau group, Inorganics 2019, 7:20). Established for oxide anodes rather than bare Pt, so this is a stated transfer, not a measurement. Note the medium sits at 37 mM — right on the knee of that saturation, so the credit weakens if the surface depletes (see the buffer verdict on Chemistry).</t>
  </si>
  <si>
    <t>(import) solution conductivity</t>
  </si>
  <si>
    <t>ec_kappa</t>
  </si>
  <si>
    <t>→ Chemistry (kappa_med)</t>
  </si>
  <si>
    <t>(import) electrode gap</t>
  </si>
  <si>
    <t>ec_gap</t>
  </si>
  <si>
    <t>→ Geometry (elec_gap; a DATA GAP until measured)</t>
  </si>
  <si>
    <t>Cell-constant multiplier</t>
  </si>
  <si>
    <t>k_geom</t>
  </si>
  <si>
    <t>The parallel-cylinder formula assumes an unbounded electrolyte, which understates the resistance of two short rods in a 25 mm vial with only ~9 mm submerged. Independent estimates of the cell constant for this geometry land at 1–2 cm⁻¹ against the formula's ~0.54, so 2 is the mid-range correction. Measure it directly with a conductivity standard if the voltage headroom below ever matters.</t>
  </si>
  <si>
    <t>Solution resistance</t>
  </si>
  <si>
    <t>R_cell</t>
  </si>
  <si>
    <t>Ω</t>
  </si>
  <si>
    <t>Two parallel cylinders: R = acosh(d/2r)/(π·κ·L), with d the centre-to-centre gap, r the rod radius and L the submerged length.</t>
  </si>
  <si>
    <t>Ohmic drop</t>
  </si>
  <si>
    <t>V_IR</t>
  </si>
  <si>
    <t>I·R across the electrolyte. Comparable in size to both overpotentials combined, so it cannot be left out of the budget.</t>
  </si>
  <si>
    <t>Estimated cell voltage</t>
  </si>
  <si>
    <t>V_cell_est</t>
  </si>
  <si>
    <t>Thermodynamic minimum + both overpotentials + buffer credit + ohmic drop. TESTABLE: measure the voltage across the electrodes at a known setpoint and compare. A large disagreement localises to whichever term is weakest — most likely j₀ at the anode or the cell constant.</t>
  </si>
  <si>
    <t>Drive rail</t>
  </si>
  <si>
    <t>V_rail</t>
  </si>
  <si>
    <t>The Pioreactor LED channel supply. Above it the constant-current drive cannot hold the setpoint, which is the documented reason Gerrit's Law is only validated to 25%.</t>
  </si>
  <si>
    <t>Voltage headroom</t>
  </si>
  <si>
    <t>V_headroom</t>
  </si>
  <si>
    <t>What is left before the drive saturates.</t>
  </si>
  <si>
    <t>Cell-voltage verdict</t>
  </si>
  <si>
    <t>V_flag</t>
  </si>
  <si>
    <t>Cross-check on Gerrit's Law: the empirical fit is validated to 25% intensity, and this budget should run out of headroom near there. If it does, the two independent routes agree.</t>
  </si>
  <si>
    <t>Cathodic H₂ faradaic efficiency: a measured value from the Calibrations tab if there is one, otherwise CALCULATED (D89) from the cathodic O₂ reduction competing for the current — it is no longer assumed to be 1. Neutral-pH HER on stainless peaks near 97% before that competition is counted, so the calculated value remains an upper bound.</t>
  </si>
  <si>
    <t>Anodic O₂ faradaic efficiency: measured if available, otherwise CALCULATED (etaF_OER_calc) as 1 − the chlorine share − the metal-dissolution share. The old note asserted a chloride-free medium; UdG contains chloride and the sheet now models the chlorine current explicitly.</t>
  </si>
  <si>
    <t>Same Eisenberg–Tobias–Wilke basis as the O₂ coefficient on the Electrochemistry sheet, scaled by D^0.644: k_m(Cl⁻) = k_m(O₂)·(D_Cl/D_O2)^0.644 = 4.0e-3 × 1.01. Bracket 2–6e-3 cm/s, dominated by the unmeasured swirl velocity past the rod.</t>
  </si>
  <si>
    <t>TEMPERATURE-DEPENDENT WATER PROPERTIES (wave-4: these were frozen at 30 °C)</t>
  </si>
  <si>
    <t>Surface tension — intercept</t>
  </si>
  <si>
    <t>sigma_0</t>
  </si>
  <si>
    <t>σ(T) = σ₀ + σ_k·T(°C), a linear fit to IAPWS R1-76(2014) over 15–40 °C (within 0.2% of the full formulation across that span).</t>
  </si>
  <si>
    <t>Surface tension — slope</t>
  </si>
  <si>
    <t>sigma_k</t>
  </si>
  <si>
    <t>N/m/K</t>
  </si>
  <si>
    <t>As above.</t>
  </si>
  <si>
    <t>Liquid density — intercept</t>
  </si>
  <si>
    <t>rho_0</t>
  </si>
  <si>
    <t>ρ(T) = ρ₀ + ρ_k·T(°C), linear fit to IAPWS-95 over 15–40 °C (within 0.15 kg/m³).</t>
  </si>
  <si>
    <t>Liquid density — slope</t>
  </si>
  <si>
    <t>rho_k</t>
  </si>
  <si>
    <t>kg/m³/K</t>
  </si>
  <si>
    <t>O₂ diffusivity fit — a</t>
  </si>
  <si>
    <t>HB_a</t>
  </si>
  <si>
    <t>Han &amp; Bartels (1996): log₁₀(D[cm²/s]) = a + b/T − (c/T)². The correlation this sheet already cited, now evaluated at the reactor temperature instead of being frozen at 30 °C.</t>
  </si>
  <si>
    <t>O₂ diffusivity fit — b</t>
  </si>
  <si>
    <t>HB_b</t>
  </si>
  <si>
    <t>O₂ diffusivity fit — c</t>
  </si>
  <si>
    <t>HB_c</t>
  </si>
  <si>
    <t>CO₂ diffusivity at 25 °C</t>
  </si>
  <si>
    <t>D_CO2_ref</t>
  </si>
  <si>
    <t>Tamimi, Rinker &amp; Sandall 1994 / Cussler, CO₂ in water at 25 °C.</t>
  </si>
  <si>
    <t>CO₂ diffusion activation energy</t>
  </si>
  <si>
    <t>Ea_D_CO2</t>
  </si>
  <si>
    <t>J/mol</t>
  </si>
  <si>
    <t>Arrhenius temperature dependence of CO₂ diffusion in water, ~19 kJ/mol — equivalent to the Stokes–Einstein T/µ scaling over this narrow range.</t>
  </si>
  <si>
    <t>IAPWS R1-76(2014), evaluated at the reactor temperature (T_C) rather than frozen at 30 °C. Feeds the bubble-detachment diameter.</t>
  </si>
  <si>
    <t>IAPWS-95, evaluated at the reactor temperature.</t>
  </si>
  <si>
    <t>Han &amp; Bartels (1996) evaluated at the reactor temperature. At 25 °C this is 2.00e-9 m²/s; the sheet previously carried the 30 °C value 2.249e-9 as a constant, which overstated the surface transfer coefficient by 6%.</t>
  </si>
  <si>
    <t>CO₂ diffusivity at the reactor temperature, Arrhenius-scaled from the 25 °C datum.</t>
  </si>
  <si>
    <t>HEADSPACE O₂ BALANCE AND THE DO-LIMITED INTERVAL (wave-4: replaces the surface-held branch)</t>
  </si>
  <si>
    <t>CO₂ delivery rate at full flow</t>
  </si>
  <si>
    <t>CO2_rate_full</t>
  </si>
  <si>
    <t>The sparge line at 100% duty. Multiplied by the duty cycle it gives the CO₂ actually delivered, which is what dilutes oxygen out of the headspace.</t>
  </si>
  <si>
    <t>Target dissolved O₂</t>
  </si>
  <si>
    <t>DO_target</t>
  </si>
  <si>
    <t>The dissolved O₂ the schedule aims to hold: the target fraction of the inhibition ceiling.</t>
  </si>
  <si>
    <t>DO excess needed to drive the surface flux</t>
  </si>
  <si>
    <t>DO_surf_excess</t>
  </si>
  <si>
    <t>Steady state across the free surface is flux = kLa·V·(C − C*), so the liquid must sit THIS far above the headspace-equilibrium concentration to push the surplus O₂ out. The smaller the surface kLa, the larger this excess — and it is the term that decides whether any sparge schedule can hold the target at all.</t>
  </si>
  <si>
    <t xml:space="preserve">  same, on the lag-phase source</t>
  </si>
  <si>
    <t>DO_surf_excess_lag</t>
  </si>
  <si>
    <t>Before the culture consumes oxygen, the whole net electrolytic O₂ has to cross the surface.</t>
  </si>
  <si>
    <t>Headspace O₂ allowance</t>
  </si>
  <si>
    <t>hs_O2_allow</t>
  </si>
  <si>
    <t>What is left of the DO budget for the headspace to be in equilibrium with. If this goes negative the surface path alone cannot carry the oxygen flux at the target DO, and NO sparge interval fixes it — the remedies are more surface transfer, less current, or a higher target.</t>
  </si>
  <si>
    <t>Headspace O₂ mole fraction allowed</t>
  </si>
  <si>
    <t>y_O2_star</t>
  </si>
  <si>
    <t>Henry's law inverted: the headspace O₂ fraction whose equilibrium dissolved O₂ equals the allowance above.</t>
  </si>
  <si>
    <t>Duty needed to hold that fraction</t>
  </si>
  <si>
    <t>duty_DO</t>
  </si>
  <si>
    <t>At steady state everything entering the headspace leaves through the vent, so the vent-gas composition is the flux composition: y = O₂ flux/(O₂ flux + CO₂ flux). Solving for the CO₂ flux that dilutes oxygen to y* gives this duty. This is the same idea as the old duty_O2vent, but with the surface-transfer excess and the (1−y) term both accounted for.</t>
  </si>
  <si>
    <t>DO-limited sparge interval</t>
  </si>
  <si>
    <t>spg_int_DO</t>
  </si>
  <si>
    <t>The longest interval that still dilutes headspace oxygen enough to hold the target DO. ANSWER-grade: this is normally the binding constraint on the schedule.</t>
  </si>
  <si>
    <t>Surface kLa required at the target DO</t>
  </si>
  <si>
    <t>kLa_surf_req</t>
  </si>
  <si>
    <t>The surface kLa below which the DO target is unreachable at any sparge interval. Compare against kLa_surf_used — the ratio is the whole safety margin of the DO strategy, and it rests on a coefficient nobody has measured yet.</t>
  </si>
  <si>
    <t>Headspace O₂ fraction at the schedule in use</t>
  </si>
  <si>
    <t>y_O2_actual</t>
  </si>
  <si>
    <t>Vent-gas oxygen fraction at the CO₂ flow actually scheduled. Hydrogen is deliberately left out of the denominator: crediting the evolved H₂ as a diluent would lower this number, and the model assumes the culture consumes the hydrogen.</t>
  </si>
  <si>
    <t>Dissolved O₂ floor set by the headspace</t>
  </si>
  <si>
    <t>DO_hs_floor</t>
  </si>
  <si>
    <t>Surface stripping can only move oxygen into the headspace, so the liquid can never fall below equilibrium with it. This floor is set by the CO₂ flush rate, not by the surface kLa — which is why the sparge schedule, not the stirring, is what governs dissolved oxygen here.</t>
  </si>
  <si>
    <t>Same quantity as D108 in mol/m³ (growth-phase source).</t>
  </si>
  <si>
    <t>Lag-phase companion: no biological uptake yet, so the whole net electrolytic O₂ must cross the surface. Expect DO to run above the growth optimum until the culture starts consuming.</t>
  </si>
  <si>
    <t>The surface kL below which the DO target cannot be met at any sparge interval. Measured kL_surf must exceed this. See protocols/surface-kla.md — this is the measurement the whole DO strategy rests on.</t>
  </si>
  <si>
    <t>Whether the dissolved-O₂ target is reachable at all, and whether the surface coefficient behind that verdict has been measured or is still the ~375%-uncertain estimate. Replaces the old SURFACE-HELD / SPARGE-NEEDED switch, which chose between a 3-minute and a 181-minute schedule on the strength of that same unmeasured estimate.</t>
  </si>
  <si>
    <t>ANSWER. The shortest of the two upper bounds on the interval: carbon supply (D112) and headspace-oxygen dilution (spg_int_DO). If the DO target is unreachable at this surface kLa the sheet falls back to the lag-accumulation cap (D89) and D134 says so. No branch here depends on an unmeasured coefficient deciding which formula runs — kL_surf now moves the answer continuously instead of switching it.</t>
  </si>
  <si>
    <t>Which constraint binds: headspace-oxygen dilution or carbon supply. The pH consequence of the winner is carried through the CO₂ limit cycle to the Chemistry sheet — a short oxygen-driven interval delivers far more CO₂ than the carbon demand and pushes pH down.</t>
  </si>
  <si>
    <t>CO₂ LIMIT CYCLE — mass-conserving form (wave-4; supersedes the uncoupled block above)</t>
  </si>
  <si>
    <t>(import) Henry solubility CO₂ at T</t>
  </si>
  <si>
    <t>hs_H_CO2</t>
  </si>
  <si>
    <t>→ Biology (H_CO2_T)</t>
  </si>
  <si>
    <t>Headspace CO₂ capacity as liquid-equivalent volume</t>
  </si>
  <si>
    <t>Vg_CO2</t>
  </si>
  <si>
    <t>The liquid volume that would hold the same CO₂ as the headspace at Henry equilibrium: V_hs/(H·R·T). Puts both compartments on one scale so the inventory can be conserved.</t>
  </si>
  <si>
    <t>Liquid share of the CO₂ pool</t>
  </si>
  <si>
    <t>pool_a</t>
  </si>
  <si>
    <t>Fraction of a pooled CO₂ inventory that ends up dissolved.</t>
  </si>
  <si>
    <t>CO₂ added per pulse, as concentration</t>
  </si>
  <si>
    <t>pool_b</t>
  </si>
  <si>
    <t>Pool decay rate through the vent</t>
  </si>
  <si>
    <t>k_eff_CO2</t>
  </si>
  <si>
    <t>Only the headspace share of the pool is exposed to the vent, so the whole inventory decays at the vent rate scaled by that share.</t>
  </si>
  <si>
    <t>Quasi-equilibrium validity ratio</t>
  </si>
  <si>
    <t>pool_beta_ratio</t>
  </si>
  <si>
    <t>Liquid-uptake rate constant ÷ vent rate. Well above 1 means the two compartments stay in Henry equilibrium on the timescale the vent empties them, which is what licenses treating them as one pool. Below about 3 the pooled form should not be trusted and the two compartments need solving separately.</t>
  </si>
  <si>
    <t>Decay factor over the gap</t>
  </si>
  <si>
    <t>pool_e</t>
  </si>
  <si>
    <t>exp(−k_eff·t_gap).</t>
  </si>
  <si>
    <t>Dissolved CO₂ at the start of a pulse</t>
  </si>
  <si>
    <t>C_cycle_start</t>
  </si>
  <si>
    <t>Fixed point of the limit cycle: decay over the gap, then a pulse, repeated. Closed form, no iteration.</t>
  </si>
  <si>
    <t>Dissolved CO₂ just after a pulse</t>
  </si>
  <si>
    <t>C_cycle_peak</t>
  </si>
  <si>
    <t>After the pulse and the fast headspace-to-liquid equilibration (tens of seconds), before the vent has removed much. Bounded by construction: the liquid cannot take up more CO₂ than the pulse delivered.</t>
  </si>
  <si>
    <t>Cycle-average dissolved CO₂</t>
  </si>
  <si>
    <t>CO2_cyc_avg_new</t>
  </si>
  <si>
    <t>Time-average of the exponential decay over the gap. This is what the pH solve consumes.</t>
  </si>
  <si>
    <t>Bounded steady dissolved CO₂ from the mass-conserving limit cycle above; Chemistry D5 reads this. Bounds are air equilibrium below and pure-CO₂ saturation above.</t>
  </si>
  <si>
    <t>SUPERSEDED by the mass-conserving limit cycle below — kept for contrast. The two-compartment form let the headspace vent independently of what the liquid absorbed.</t>
  </si>
  <si>
    <t>SUPERSEDED (see the mass-conserving limit cycle below). This coupling coefficient also has a removable singularity where the surface and vent rates coincide.</t>
  </si>
  <si>
    <t>SUPERSEDED — see C_cycle_start below.</t>
  </si>
  <si>
    <t>SUPERSEDED — see C_cycle_peak below.</t>
  </si>
  <si>
    <t>SUPERSEDED — see CO2_cyc_avg_new below. At long intervals the two agree to a few per cent by coincidence; at short intervals they diverge, and the old form was never bounded by the CO₂ actually delivered.</t>
  </si>
  <si>
    <t>ELECTROCHEMISTRY — CALCULATED (wave-4; hand these to an electrochemist)</t>
  </si>
  <si>
    <t>Fraction of cathode current making H₂ rather than reducing dissolved O₂. Was assumed to be 1.</t>
  </si>
  <si>
    <t>Reversible voltage + both overpotentials + ohmic drop. Measure across the electrodes to test it.</t>
  </si>
  <si>
    <t>Whether the 5 V drive rail can deliver the set current.</t>
  </si>
  <si>
    <t>H₂O₂ from the 2-electron branch of cathodic O₂ reduction, against the growth-inhibition threshold, in both the growing and the lag phase.</t>
  </si>
  <si>
    <t>Electrode-surface pH verdict</t>
  </si>
  <si>
    <t>Whether the phosphate buffer holds the electrode surfaces at the bulk pH at this current density.</t>
  </si>
  <si>
    <t>How much extra anodic potential chlorine evolution would need. Large = disfavoured.</t>
  </si>
  <si>
    <t>How far an O₂-evolving anode sits above the Cu²⁺/Cu equilibrium.</t>
  </si>
  <si>
    <t>What a probe reads: the charge balance solves on concentrations, a glass electrode reads activity.</t>
  </si>
  <si>
    <t>Surface kLa required for the DO target</t>
  </si>
  <si>
    <t>Below this, no sparge interval holds the target dissolved O₂. Compare with the estimate in use.</t>
  </si>
  <si>
    <t>pH SOLVE GRID  (charge residual vs trial pH; root = operating pH). Constants are on the CONCENTRATION scale (activity-corrected, rows 186-194) because the balance is written in concentrations.</t>
  </si>
  <si>
    <t>Root of the charge-balance grid, on the concentration scale. A pH probe reads hydrogen-ion ACTIVITY, so the comparable number is pH_meas (D220) — about 0.11 higher at this ionic strength. Every downstream pH comparison uses pH_meas.</t>
  </si>
  <si>
    <t>Henderson–Hasselbalch on the activity scale: the tabulated pKa is a thermodynamic constant, so it pairs with the activity-scale pH, not the concentration-scale root.</t>
  </si>
  <si>
    <t>HOB optimum 6.5–7.5 (Pous / Rovira-Alsina), compared against the activity-scale pH a probe would read. A short oxygen-driven sparge interval delivers far more CO₂ than the carbon demand, so this flag is the counterweight to the DO-limited interval on Mass Transfer.</t>
  </si>
  <si>
    <t>Operating pH at the CO₂ trough, on the activity scale a probe reads. Green 6.5–7.5; red outside 6–8.</t>
  </si>
  <si>
    <t>UNIT CONSTANTS (were embedded in formulas)</t>
  </si>
  <si>
    <t>HOCl molar mass</t>
  </si>
  <si>
    <t>M_HOCl</t>
  </si>
  <si>
    <t>mg/mol</t>
  </si>
  <si>
    <t>52.46 g/mol. Free chlorine is reported here as HOCl mass. Water-industry practice reports it as Cl₂ (70.906 g/mol), so a literature threshold quoted "as Cl₂" is 1.35× a number on this basis — see the conversion below.</t>
  </si>
  <si>
    <t>Cl₂ molar mass</t>
  </si>
  <si>
    <t>M_Cl2</t>
  </si>
  <si>
    <t>70.906 g/mol.</t>
  </si>
  <si>
    <t>Breakpoint chlorine demand per N</t>
  </si>
  <si>
    <t>cl_per_N</t>
  </si>
  <si>
    <t>mg Cl₂/mg N</t>
  </si>
  <si>
    <t>Stoichiometric breakpoint demand, 70.906/14.007 = 5.06 mg Cl₂ per mg ammonium-N. Note this ratio is definitionally on a Cl₂ basis while the production terms it is compared against are on an HOCl basis.</t>
  </si>
  <si>
    <t>Nitrogen molar mass</t>
  </si>
  <si>
    <t>MW_N</t>
  </si>
  <si>
    <t>14.007 g/mol.</t>
  </si>
  <si>
    <t>Effective biocidal chlorine, as Cl₂</t>
  </si>
  <si>
    <t>C_eff_Cl2</t>
  </si>
  <si>
    <t>C_eff converted to the mass basis free-chlorine thresholds are conventionally quoted on. The onset and kill thresholds (D146/D147) come from that literature, so this is the like-for-like comparison — it is 1.35× the HOCl-basis number.</t>
  </si>
  <si>
    <t>→ Mass Transfer (R_gas). Was a second, separately typed 8.314 that disagreed with the workbook's own constant in the fifth digit.</t>
  </si>
  <si>
    <t>Sets how far dissolved O₂ must sit above the headspace to shed the surplus, and the feasibility margin behind the whole DO strategy (kLa in use ÷ kLa required). It no longer switches the sheet between two schedules — it moves the answer continuously.</t>
  </si>
  <si>
    <t>Now calculated rather than assumed, from the cathodic O₂ flux — but the calculation rests on an estimated electrode mass-transfer coefficient. Measuring it settles the H₂/O₂ split and the peroxide source at once.</t>
  </si>
  <si>
    <t>Assumed to be 1 minus the chlorine share; any anodic metal dissolution comes straight off it, and the corrosion suspicion on Chemistry D163 needs exactly this number.</t>
  </si>
  <si>
    <t>Measure the electrode mass-transfer coefficient</t>
  </si>
  <si>
    <t>One ferricyanide limiting-current run in the same vial at the same rpm replaces the assumed swirl velocity behind k_m — which sets the cathodic O₂ loss, the peroxide source, the chlorine cap and the electrode-surface pH verdict.</t>
  </si>
  <si>
    <t>Measure the electrode centre-to-centre gap</t>
  </si>
  <si>
    <t>Calipers across the cap ports. Sets the ohmic term in the cell-voltage budget, which is the largest single term after the overpotentials.</t>
  </si>
  <si>
    <t>Measure the cell voltage at a known setpoint</t>
  </si>
  <si>
    <t>The voltage budget is a testable prediction (3.3 V of a 5 V rail at 3 %). A multimeter reading across the electrodes either confirms the whole electrochemical picture or localises which term is wrong.</t>
  </si>
  <si>
    <t>Assay dissolved metals in spent medium</t>
  </si>
  <si>
    <t>Cu/Ni/Fe by ICP or a colorimetric kit. An O₂-evolving anode sits ~0.44 V above the Cu²⁺/Cu equilibrium, so dissolution is thermodynamically allowed; this is the unmodelled prime suspect for the Exp-2 death and it also closes the anodic charge budget.</t>
  </si>
  <si>
    <t>WATER VAPOUR (gas collected over water is saturated)</t>
  </si>
  <si>
    <t>Magnus coefficient A</t>
  </si>
  <si>
    <t>pw_A</t>
  </si>
  <si>
    <t>p_sat = A·exp(B·T/(T+C)) with T in °C — the Magnus–Tetens form (Alduchov &amp; Eskridge 1996), accurate to 0.4% over 0–50 °C.</t>
  </si>
  <si>
    <t>Magnus coefficient B</t>
  </si>
  <si>
    <t>pw_B</t>
  </si>
  <si>
    <t>Magnus coefficient C</t>
  </si>
  <si>
    <t>pw_C</t>
  </si>
  <si>
    <t>Saturated water vapour pressure at reactor T</t>
  </si>
  <si>
    <t>p_sat_w</t>
  </si>
  <si>
    <t>3.17 kPa at 25 °C, 4.25 kPa at 30 °C — 3–4% of atmospheric, which is exactly the bias it removes from a faradaic-efficiency measurement made by collecting gas over water.</t>
  </si>
  <si>
    <t>Value in use: average of the included runs for the active reactor, taken separately for the H2 (cathode) and O2 (anode) electrodes. The gas volume is corrected for saturated water vapour at the temperature you record, per protocols/faradaic-efficiency.md.</t>
  </si>
  <si>
    <t>Prefers the CO₂-flow calibration recorded on the Calibrations tab (cal_flow); falls back to the per-reactor table on the CO2 flows sheet when no calibration run is included. The Calibrations route was previously computed and consumed by nothing, while protocols/flow-calibration.md told the researcher it fed the model.</t>
  </si>
  <si>
    <t>What §11 actually uses: the measured surface kLa if one has been entered on the Calibrations tab (in 1/h), otherwise the penetration-theory estimate. The ISNUMBER test matters — an empty calibration returns a message, and in Excel text sorts above every number, so a bare "&gt;0" test would have accepted it.</t>
  </si>
  <si>
    <t>Net electrolytic O₂ minus biological uptake, floored at zero. The floor matters: at the knallgas cap (O₂:H₂ = 0.5, i.e. bio_O2 = 3) uptake exactly consumes the electrolytic surplus and everything downstream that divides by this would blow up. Upper bound in any case, because it rests on the full-H₂-uptake assumption above.</t>
  </si>
  <si>
    <t>The CO₂ actually delivered per pulse (D123, which follows any manual or Summary override), spread over the pooled liquid+headspace capacity. This is the mass-conservation constraint the previous form lacked. It reads the delivered pulse rather than one nominal headspace flush, so an overridden pulse length charges the cycle correctly.</t>
  </si>
  <si>
    <t>C. necator DO_opt 2.6 ÷ DO_toxic 11.5 mg/L (row 52) — the only organism in the table with a measured band, used as the stand-in for the rest. Same optimum ÷ ceiling ratio the row above computes, so the fallback is consistent with the definition. Replaces an unsourced 0.5, which was 2.2× less protective.</t>
  </si>
  <si>
    <t>Steady dissolved O₂ = the headspace-equilibrium floor (set by the CO₂ flush) plus the excess needed to drive the surplus across the free surface. NOTE: when the DO-dilution bound sets the interval, this is solved to sit AT the target by construction, so it restates the target rather than testing it — the real test is the feasibility margin kLa_surf_used ÷ kLa_surf_req (D186). It becomes an independent prediction again whenever carbon supply or a manual override sets the schedule.</t>
  </si>
  <si>
    <t>Effective biocidal chlorine from the medium’s chloride, on the as-Cl₂ basis the literature thresholds use. Green &lt;0.1, red &gt;1 mg/L. Zero for chloride-free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</si>
</sst>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h:mm:ss"/>
    <numFmt numFmtId="165" formatCode="0.0"/>
    <numFmt numFmtId="166" formatCode="0.000"/>
    <numFmt numFmtId="167" formatCode="0.0000"/>
    <numFmt numFmtId="168" formatCode="0.000000"/>
    <numFmt numFmtId="169" formatCode="0.00000"/>
    <numFmt numFmtId="170" formatCode="0.00000000"/>
    <numFmt numFmtId="171" formatCode="0.0000000"/>
  </numFmts>
  <fonts count="41" x14ac:knownFonts="1">
    <font>
      <sz val="11"/>
      <color theme="1"/>
      <name val="Calibri"/>
      <family val="2"/>
      <charset val="1"/>
    </font>
    <font>
      <sz val="10"/>
      <name val="Arial"/>
      <family val="2"/>
    </font>
    <font>
      <sz val="9"/>
      <color rgb="FF7030A0"/>
      <name val="Consolas"/>
      <family val="2"/>
    </font>
    <font>
      <sz val="9"/>
      <color rgb="FF595959"/>
      <name val="Arial"/>
      <family val="2"/>
    </font>
    <font>
      <sz val="8"/>
      <color rgb="FF404040"/>
      <name val="Arial"/>
      <family val="2"/>
    </font>
    <font>
      <u/>
      <sz val="8"/>
      <color rgb="FF0563C1"/>
      <name val="Arial"/>
      <family val="2"/>
    </font>
    <font>
      <sz val="10"/>
      <color rgb="FF000000"/>
      <name val="Arial"/>
      <family val="2"/>
    </font>
    <font>
      <sz val="10"/>
      <color rgb="FF7030A0"/>
      <name val="Arial"/>
      <family val="2"/>
    </font>
    <font>
      <b/>
      <sz val="12"/>
      <name val="Calibri"/>
      <family val="2"/>
    </font>
    <font>
      <b/>
      <sz val="11"/>
      <color rgb="FFFFFFFF"/>
      <name val="Calibri"/>
      <family val="2"/>
    </font>
    <font>
      <sz val="11"/>
      <color theme="0"/>
      <name val="Calibri"/>
      <family val="2"/>
      <charset val="1"/>
    </font>
    <font>
      <b/>
      <sz val="11"/>
      <name val="Calibri"/>
      <family val="2"/>
    </font>
    <font>
      <sz val="11"/>
      <color rgb="FF000000"/>
      <name val="Calibri"/>
      <family val="2"/>
    </font>
    <font>
      <sz val="11"/>
      <color rgb="FF7030A0"/>
      <name val="Calibri"/>
      <family val="2"/>
    </font>
    <font>
      <sz val="11"/>
      <color rgb="FF000000"/>
      <name val="Calibri"/>
      <family val="2"/>
    </font>
    <font>
      <b/>
      <sz val="11"/>
      <name val="Calibri"/>
      <family val="2"/>
    </font>
    <font>
      <u/>
      <sz val="9"/>
      <color rgb="FF0000FF"/>
      <name val="Calibri"/>
      <family val="2"/>
    </font>
    <font>
      <sz val="11"/>
      <color rgb="FF7030A0"/>
      <name val="Calibri"/>
      <family val="2"/>
    </font>
    <font>
      <sz val="11"/>
      <color theme="1"/>
      <name val="Calibri"/>
      <family val="2"/>
    </font>
    <font>
      <sz val="9"/>
      <name val="Calibri"/>
      <family val="2"/>
    </font>
    <font>
      <b/>
      <sz val="11"/>
      <name val="Calibri"/>
      <family val="2"/>
    </font>
    <font>
      <i/>
      <sz val="9"/>
      <name val="Calibri"/>
      <family val="2"/>
    </font>
    <font>
      <b/>
      <sz val="11"/>
      <name val="Calibri"/>
      <family val="2"/>
    </font>
    <font>
      <sz val="11"/>
      <color rgb="FF000000"/>
      <name val="Calibri"/>
      <family val="2"/>
    </font>
    <font>
      <u/>
      <sz val="9"/>
      <color rgb="FF0000FF"/>
      <name val="Calibri"/>
      <family val="2"/>
    </font>
    <font>
      <sz val="11"/>
      <color rgb="FF000000"/>
      <name val="Calibri"/>
      <family val="2"/>
    </font>
    <font>
      <sz val="10"/>
      <color rgb="FF000000"/>
      <name val="Calibri"/>
      <family val="2"/>
    </font>
    <font>
      <sz val="12"/>
      <color rgb="FF006100"/>
      <name val="Calibri"/>
      <family val="2"/>
      <scheme val="minor"/>
    </font>
    <font>
      <sz val="12"/>
      <color rgb="FF9C0006"/>
      <name val="Calibri"/>
      <family val="2"/>
      <scheme val="minor"/>
    </font>
    <font>
      <sz val="12"/>
      <color rgb="FF9C5700"/>
      <name val="Calibri"/>
      <family val="2"/>
      <scheme val="minor"/>
    </font>
    <font>
      <sz val="11"/>
      <color theme="1"/>
      <name val="Calibri"/>
      <family val="2"/>
      <scheme val="minor"/>
    </font>
    <font>
      <sz val="11"/>
      <color theme="3"/>
      <name val="Calibri"/>
      <family val="2"/>
    </font>
    <font>
      <sz val="11"/>
      <color rgb="FF000000"/>
      <name val="Calibri"/>
      <family val="2"/>
    </font>
    <font>
      <sz val="11"/>
      <color theme="3"/>
      <name val="Calibri"/>
      <family val="2"/>
    </font>
    <font>
      <sz val="11"/>
      <color theme="3"/>
      <name val="Calibri"/>
      <family val="2"/>
    </font>
    <font>
      <sz val="9"/>
      <name val="Calibri"/>
      <family val="2"/>
    </font>
    <font>
      <sz val="11"/>
      <name val="Calibri"/>
      <family val="2"/>
    </font>
    <font>
      <sz val="12"/>
      <name val="Calibri"/>
      <family val="2"/>
    </font>
    <font>
      <sz val="10"/>
      <color theme="3"/>
      <name val="Calibri"/>
      <family val="2"/>
    </font>
    <font>
      <sz val="10"/>
      <name val="Arial"/>
      <family val="2"/>
    </font>
    <font>
      <sz val="10"/>
      <color rgb="FF000000"/>
      <name val="Calibri"/>
      <family val="2"/>
    </font>
  </fonts>
  <fills count="21">
    <fill>
      <patternFill patternType="none"/>
    </fill>
    <fill>
      <patternFill patternType="gray125"/>
    </fill>
    <fill>
      <patternFill patternType="solid">
        <fgColor rgb="FFBDD7EE"/>
        <bgColor rgb="FFD9D9D9"/>
      </patternFill>
    </fill>
    <fill>
      <patternFill patternType="solid">
        <fgColor rgb="FFFFF2CC"/>
        <bgColor rgb="FFFCE4D6"/>
      </patternFill>
    </fill>
    <fill>
      <patternFill patternType="solid">
        <fgColor rgb="FFFFE699"/>
        <bgColor rgb="FFFFF2CC"/>
      </patternFill>
    </fill>
    <fill>
      <patternFill patternType="solid">
        <fgColor rgb="FFFCE4D6"/>
        <bgColor rgb="FFFFF2CC"/>
      </patternFill>
    </fill>
    <fill>
      <patternFill patternType="solid">
        <fgColor rgb="FFFFC7CE"/>
        <bgColor rgb="FFFCE4D6"/>
      </patternFill>
    </fill>
    <fill>
      <patternFill patternType="solid">
        <fgColor rgb="FFBDD7EE"/>
      </patternFill>
    </fill>
    <fill>
      <patternFill patternType="solid">
        <fgColor rgb="FFC6EFCE"/>
      </patternFill>
    </fill>
    <fill>
      <patternFill patternType="solid">
        <fgColor rgb="FFFFF2CC"/>
      </patternFill>
    </fill>
    <fill>
      <patternFill patternType="solid">
        <fgColor rgb="FFFFC7CE"/>
      </patternFill>
    </fill>
    <fill>
      <patternFill patternType="solid">
        <fgColor rgb="FFFFE699"/>
      </patternFill>
    </fill>
    <fill>
      <patternFill patternType="solid">
        <fgColor rgb="FFD9E1F2"/>
      </patternFill>
    </fill>
    <fill>
      <patternFill patternType="solid">
        <fgColor rgb="FF4472C4"/>
      </patternFill>
    </fill>
    <fill>
      <patternFill patternType="solid">
        <fgColor rgb="FFFF0000"/>
        <bgColor indexed="64"/>
      </patternFill>
    </fill>
    <fill>
      <patternFill patternType="solid">
        <fgColor theme="8"/>
        <bgColor indexed="64"/>
      </patternFill>
    </fill>
    <fill>
      <patternFill patternType="solid">
        <fgColor rgb="FFFCE4D6"/>
      </patternFill>
    </fill>
    <fill>
      <patternFill patternType="solid">
        <fgColor rgb="FF4472C4"/>
        <bgColor rgb="FF000000"/>
      </patternFill>
    </fill>
    <fill>
      <patternFill patternType="solid">
        <fgColor rgb="FFFFEB9C"/>
      </patternFill>
    </fill>
    <fill>
      <patternFill patternType="solid">
        <fgColor theme="6" tint="0.59999389629810485"/>
        <bgColor indexed="64"/>
      </patternFill>
    </fill>
    <fill>
      <patternFill patternType="solid">
        <fgColor theme="0" tint="-0.249977111117893"/>
        <bgColor indexed="64"/>
      </patternFill>
    </fill>
  </fills>
  <borders count="16">
    <border>
      <left/>
      <right/>
      <top/>
      <bottom/>
      <diagonal/>
    </border>
    <border>
      <left/>
      <right/>
      <top/>
      <bottom/>
      <diagonal/>
    </border>
    <border>
      <left/>
      <right/>
      <top/>
      <bottom/>
      <diagonal/>
    </border>
    <border>
      <left/>
      <right/>
      <top/>
      <bottom/>
      <diagonal/>
    </border>
    <border>
      <left style="medium">
        <color theme="6"/>
      </left>
      <right style="medium">
        <color theme="6"/>
      </right>
      <top style="medium">
        <color theme="6"/>
      </top>
      <bottom style="medium">
        <color theme="6"/>
      </bottom>
      <diagonal/>
    </border>
    <border>
      <left style="medium">
        <color theme="7"/>
      </left>
      <right style="medium">
        <color theme="7"/>
      </right>
      <top style="medium">
        <color theme="7"/>
      </top>
      <bottom style="medium">
        <color theme="7"/>
      </bottom>
      <diagonal/>
    </border>
    <border>
      <left style="medium">
        <color theme="5"/>
      </left>
      <right style="medium">
        <color theme="5"/>
      </right>
      <top style="medium">
        <color theme="5"/>
      </top>
      <bottom style="medium">
        <color theme="5"/>
      </bottom>
      <diagonal/>
    </border>
    <border>
      <left style="medium">
        <color theme="8"/>
      </left>
      <right style="medium">
        <color theme="8"/>
      </right>
      <top style="medium">
        <color theme="8"/>
      </top>
      <bottom style="medium">
        <color theme="8"/>
      </bottom>
      <diagonal/>
    </border>
    <border>
      <left style="medium">
        <color theme="1"/>
      </left>
      <right style="medium">
        <color theme="1"/>
      </right>
      <top style="medium">
        <color theme="1"/>
      </top>
      <bottom style="medium">
        <color theme="1"/>
      </bottom>
      <diagonal/>
    </border>
    <border>
      <left style="medium">
        <color theme="9"/>
      </left>
      <right style="medium">
        <color theme="9"/>
      </right>
      <top style="medium">
        <color theme="9"/>
      </top>
      <bottom style="medium">
        <color theme="9"/>
      </bottom>
      <diagonal/>
    </border>
    <border>
      <left style="medium">
        <color theme="6"/>
      </left>
      <right style="medium">
        <color theme="6"/>
      </right>
      <top style="medium">
        <color theme="6"/>
      </top>
      <bottom style="medium">
        <color theme="6"/>
      </bottom>
      <diagonal/>
    </border>
    <border>
      <left/>
      <right/>
      <top/>
      <bottom/>
      <diagonal/>
    </border>
    <border>
      <left style="medium">
        <color theme="7"/>
      </left>
      <right style="medium">
        <color theme="7"/>
      </right>
      <top style="medium">
        <color theme="7"/>
      </top>
      <bottom style="medium">
        <color theme="7"/>
      </bottom>
      <diagonal/>
    </border>
    <border>
      <left style="medium">
        <color theme="5"/>
      </left>
      <right style="medium">
        <color theme="5"/>
      </right>
      <top style="medium">
        <color theme="5"/>
      </top>
      <bottom style="medium">
        <color theme="5"/>
      </bottom>
      <diagonal/>
    </border>
    <border>
      <left style="medium">
        <color theme="8"/>
      </left>
      <right style="medium">
        <color theme="8"/>
      </right>
      <top style="medium">
        <color theme="8"/>
      </top>
      <bottom style="medium">
        <color theme="8"/>
      </bottom>
      <diagonal/>
    </border>
    <border>
      <left style="medium">
        <color rgb="FFFFFC00"/>
      </left>
      <right style="medium">
        <color rgb="FFFFFC00"/>
      </right>
      <top style="medium">
        <color rgb="FFFFFC00"/>
      </top>
      <bottom style="medium">
        <color rgb="FFFFFC00"/>
      </bottom>
      <diagonal/>
    </border>
  </borders>
  <cellStyleXfs count="4">
    <xf numFmtId="0" fontId="0" fillId="0" borderId="11"/>
    <xf numFmtId="0" fontId="27" fillId="8" borderId="11"/>
    <xf numFmtId="0" fontId="28" fillId="10" borderId="11"/>
    <xf numFmtId="0" fontId="29" fillId="18" borderId="11"/>
  </cellStyleXfs>
  <cellXfs count="131">
    <xf numFmtId="0" fontId="0" fillId="0" borderId="0" xfId="0" applyBorder="1"/>
    <xf numFmtId="0" fontId="11" fillId="0" borderId="0" xfId="0" applyFont="1" applyBorder="1"/>
    <xf numFmtId="0" fontId="18" fillId="0" borderId="0" xfId="0" applyFont="1" applyBorder="1"/>
    <xf numFmtId="0" fontId="0" fillId="0" borderId="1" xfId="0" applyBorder="1"/>
    <xf numFmtId="0" fontId="8" fillId="0" borderId="1" xfId="0" applyFont="1" applyBorder="1"/>
    <xf numFmtId="0" fontId="9" fillId="13" borderId="1" xfId="0" applyFont="1" applyFill="1" applyBorder="1"/>
    <xf numFmtId="0" fontId="20" fillId="0" borderId="1" xfId="0" applyFont="1" applyBorder="1"/>
    <xf numFmtId="0" fontId="15" fillId="0" borderId="1" xfId="0" applyFont="1" applyBorder="1"/>
    <xf numFmtId="0" fontId="10" fillId="15" borderId="1" xfId="0" applyFont="1" applyFill="1" applyBorder="1"/>
    <xf numFmtId="14" fontId="0" fillId="0" borderId="1" xfId="0" applyNumberFormat="1" applyBorder="1"/>
    <xf numFmtId="0" fontId="10" fillId="14" borderId="1" xfId="0" applyFont="1" applyFill="1" applyBorder="1"/>
    <xf numFmtId="164" fontId="0" fillId="0" borderId="1" xfId="0" applyNumberFormat="1" applyBorder="1"/>
    <xf numFmtId="2" fontId="0" fillId="0" borderId="1" xfId="0" applyNumberFormat="1" applyBorder="1"/>
    <xf numFmtId="0" fontId="21" fillId="0" borderId="1" xfId="0" applyFont="1" applyBorder="1"/>
    <xf numFmtId="0" fontId="22" fillId="0" borderId="1" xfId="0" applyFont="1" applyBorder="1"/>
    <xf numFmtId="0" fontId="0" fillId="0" borderId="2" xfId="0" applyBorder="1"/>
    <xf numFmtId="0" fontId="9" fillId="13" borderId="3" xfId="0" applyFont="1" applyFill="1" applyBorder="1"/>
    <xf numFmtId="0" fontId="1" fillId="0" borderId="3" xfId="0" applyFont="1" applyBorder="1"/>
    <xf numFmtId="0" fontId="2" fillId="0" borderId="3" xfId="0" applyFont="1" applyBorder="1"/>
    <xf numFmtId="0" fontId="3" fillId="0" borderId="3" xfId="0" applyFont="1" applyBorder="1"/>
    <xf numFmtId="0" fontId="0" fillId="0" borderId="3" xfId="0" applyBorder="1"/>
    <xf numFmtId="0" fontId="19" fillId="0" borderId="3" xfId="0" applyFont="1" applyBorder="1"/>
    <xf numFmtId="0" fontId="25" fillId="0" borderId="4" xfId="0" applyFont="1" applyBorder="1"/>
    <xf numFmtId="0" fontId="16" fillId="0" borderId="3" xfId="0" applyFont="1" applyBorder="1"/>
    <xf numFmtId="0" fontId="25" fillId="0" borderId="3" xfId="0" applyFont="1" applyBorder="1"/>
    <xf numFmtId="0" fontId="25" fillId="0" borderId="5" xfId="0" applyFont="1" applyBorder="1"/>
    <xf numFmtId="0" fontId="25" fillId="0" borderId="6" xfId="0" applyFont="1" applyBorder="1"/>
    <xf numFmtId="0" fontId="25" fillId="0" borderId="7" xfId="0" applyFont="1" applyBorder="1"/>
    <xf numFmtId="0" fontId="12" fillId="0" borderId="3" xfId="0" applyFont="1" applyBorder="1"/>
    <xf numFmtId="0" fontId="0" fillId="7" borderId="3" xfId="0" applyFill="1" applyBorder="1"/>
    <xf numFmtId="0" fontId="0" fillId="11" borderId="3" xfId="0" applyFill="1" applyBorder="1"/>
    <xf numFmtId="0" fontId="12" fillId="16" borderId="3" xfId="0" applyFont="1" applyFill="1" applyBorder="1"/>
    <xf numFmtId="0" fontId="12" fillId="10" borderId="3" xfId="0" applyFont="1" applyFill="1" applyBorder="1"/>
    <xf numFmtId="0" fontId="14" fillId="0" borderId="3" xfId="0" applyFont="1" applyBorder="1"/>
    <xf numFmtId="0" fontId="17" fillId="0" borderId="3" xfId="0" applyFont="1" applyBorder="1"/>
    <xf numFmtId="0" fontId="9" fillId="17" borderId="3" xfId="0" applyFont="1" applyFill="1" applyBorder="1"/>
    <xf numFmtId="0" fontId="24" fillId="0" borderId="3" xfId="0" applyFont="1" applyBorder="1"/>
    <xf numFmtId="0" fontId="4" fillId="3" borderId="3" xfId="0" applyFont="1" applyFill="1" applyBorder="1" applyAlignment="1">
      <alignment vertical="top" wrapText="1"/>
    </xf>
    <xf numFmtId="0" fontId="25" fillId="0" borderId="8" xfId="0" applyFont="1" applyBorder="1"/>
    <xf numFmtId="0" fontId="5" fillId="5" borderId="3" xfId="0" applyFont="1" applyFill="1" applyBorder="1" applyAlignment="1">
      <alignment vertical="top" wrapText="1"/>
    </xf>
    <xf numFmtId="2" fontId="25" fillId="0" borderId="3" xfId="0" applyNumberFormat="1" applyFont="1" applyBorder="1"/>
    <xf numFmtId="0" fontId="4" fillId="5" borderId="3" xfId="0" applyFont="1" applyFill="1" applyBorder="1" applyAlignment="1">
      <alignment vertical="top" wrapText="1"/>
    </xf>
    <xf numFmtId="2" fontId="26" fillId="0" borderId="3" xfId="0" applyNumberFormat="1" applyFont="1" applyBorder="1"/>
    <xf numFmtId="165" fontId="26" fillId="0" borderId="3" xfId="0" applyNumberFormat="1" applyFont="1" applyBorder="1"/>
    <xf numFmtId="165" fontId="25" fillId="0" borderId="3" xfId="0" applyNumberFormat="1" applyFont="1" applyBorder="1"/>
    <xf numFmtId="166" fontId="26" fillId="0" borderId="3" xfId="0" applyNumberFormat="1" applyFont="1" applyBorder="1"/>
    <xf numFmtId="167" fontId="26" fillId="0" borderId="3" xfId="0" applyNumberFormat="1" applyFont="1" applyBorder="1"/>
    <xf numFmtId="1" fontId="25" fillId="0" borderId="3" xfId="0" applyNumberFormat="1" applyFont="1" applyBorder="1"/>
    <xf numFmtId="168" fontId="26" fillId="0" borderId="3" xfId="0" applyNumberFormat="1" applyFont="1" applyBorder="1"/>
    <xf numFmtId="1" fontId="12" fillId="0" borderId="3" xfId="0" applyNumberFormat="1" applyFont="1" applyBorder="1"/>
    <xf numFmtId="2" fontId="7" fillId="0" borderId="3" xfId="0" applyNumberFormat="1" applyFont="1" applyBorder="1"/>
    <xf numFmtId="0" fontId="5" fillId="2" borderId="3" xfId="0" applyFont="1" applyFill="1" applyBorder="1" applyAlignment="1">
      <alignment vertical="top" wrapText="1"/>
    </xf>
    <xf numFmtId="0" fontId="7" fillId="0" borderId="3" xfId="0" applyFont="1" applyBorder="1"/>
    <xf numFmtId="1" fontId="25" fillId="0" borderId="8" xfId="0" applyNumberFormat="1" applyFont="1" applyBorder="1"/>
    <xf numFmtId="165" fontId="7" fillId="0" borderId="3" xfId="0" applyNumberFormat="1" applyFont="1" applyBorder="1"/>
    <xf numFmtId="1" fontId="7" fillId="0" borderId="3" xfId="0" applyNumberFormat="1" applyFont="1" applyBorder="1"/>
    <xf numFmtId="169" fontId="7" fillId="0" borderId="3" xfId="0" applyNumberFormat="1" applyFont="1" applyBorder="1"/>
    <xf numFmtId="0" fontId="5" fillId="6" borderId="3" xfId="0" applyFont="1" applyFill="1" applyBorder="1" applyAlignment="1">
      <alignment vertical="top" wrapText="1"/>
    </xf>
    <xf numFmtId="0" fontId="26" fillId="0" borderId="3" xfId="0" applyFont="1" applyBorder="1"/>
    <xf numFmtId="0" fontId="0" fillId="10" borderId="3" xfId="0" applyFill="1" applyBorder="1"/>
    <xf numFmtId="168" fontId="6" fillId="0" borderId="3" xfId="0" applyNumberFormat="1" applyFont="1" applyBorder="1"/>
    <xf numFmtId="0" fontId="5" fillId="3" borderId="3" xfId="0" applyFont="1" applyFill="1" applyBorder="1" applyAlignment="1">
      <alignment vertical="top" wrapText="1"/>
    </xf>
    <xf numFmtId="165" fontId="25" fillId="0" borderId="8" xfId="0" applyNumberFormat="1" applyFont="1" applyBorder="1"/>
    <xf numFmtId="0" fontId="23" fillId="0" borderId="8" xfId="0" applyFont="1" applyBorder="1"/>
    <xf numFmtId="170" fontId="26" fillId="0" borderId="3" xfId="0" applyNumberFormat="1" applyFont="1" applyBorder="1"/>
    <xf numFmtId="0" fontId="4" fillId="2" borderId="3" xfId="0" applyFont="1" applyFill="1" applyBorder="1" applyAlignment="1">
      <alignment vertical="top" wrapText="1"/>
    </xf>
    <xf numFmtId="168" fontId="7" fillId="0" borderId="3" xfId="0" applyNumberFormat="1" applyFont="1" applyBorder="1"/>
    <xf numFmtId="0" fontId="4" fillId="7" borderId="3" xfId="0" applyFont="1" applyFill="1" applyBorder="1" applyAlignment="1">
      <alignment vertical="top" wrapText="1"/>
    </xf>
    <xf numFmtId="0" fontId="4" fillId="9" borderId="3" xfId="0" applyFont="1" applyFill="1" applyBorder="1" applyAlignment="1">
      <alignment vertical="top" wrapText="1"/>
    </xf>
    <xf numFmtId="0" fontId="4" fillId="11" borderId="3" xfId="0" applyFont="1" applyFill="1" applyBorder="1" applyAlignment="1">
      <alignment vertical="top" wrapText="1"/>
    </xf>
    <xf numFmtId="0" fontId="4" fillId="10" borderId="3" xfId="0" applyFont="1" applyFill="1" applyBorder="1" applyAlignment="1">
      <alignment vertical="top" wrapText="1"/>
    </xf>
    <xf numFmtId="0" fontId="25" fillId="10" borderId="3" xfId="0" applyFont="1" applyFill="1" applyBorder="1"/>
    <xf numFmtId="168" fontId="25" fillId="0" borderId="5" xfId="0" applyNumberFormat="1" applyFont="1" applyBorder="1"/>
    <xf numFmtId="0" fontId="16" fillId="11" borderId="3" xfId="0" applyFont="1" applyFill="1" applyBorder="1" applyAlignment="1">
      <alignment vertical="top" wrapText="1"/>
    </xf>
    <xf numFmtId="167" fontId="6" fillId="0" borderId="3" xfId="0" applyNumberFormat="1" applyFont="1" applyBorder="1"/>
    <xf numFmtId="0" fontId="4" fillId="4" borderId="3" xfId="0" applyFont="1" applyFill="1" applyBorder="1" applyAlignment="1">
      <alignment vertical="top" wrapText="1"/>
    </xf>
    <xf numFmtId="171" fontId="26" fillId="0" borderId="3" xfId="0" applyNumberFormat="1" applyFont="1" applyBorder="1"/>
    <xf numFmtId="166" fontId="7" fillId="0" borderId="3" xfId="0" applyNumberFormat="1" applyFont="1" applyBorder="1"/>
    <xf numFmtId="168" fontId="25" fillId="0" borderId="8" xfId="0" applyNumberFormat="1" applyFont="1" applyBorder="1"/>
    <xf numFmtId="168" fontId="25" fillId="0" borderId="3" xfId="0" applyNumberFormat="1" applyFont="1" applyBorder="1"/>
    <xf numFmtId="0" fontId="4" fillId="12" borderId="3" xfId="0" applyFont="1" applyFill="1" applyBorder="1" applyAlignment="1">
      <alignment vertical="top" wrapText="1"/>
    </xf>
    <xf numFmtId="0" fontId="13" fillId="0" borderId="3" xfId="0" applyFont="1" applyBorder="1"/>
    <xf numFmtId="0" fontId="0" fillId="9" borderId="3" xfId="0" applyFill="1" applyBorder="1"/>
    <xf numFmtId="0" fontId="25" fillId="0" borderId="9" xfId="0" applyFont="1" applyBorder="1"/>
    <xf numFmtId="0" fontId="30" fillId="8" borderId="3" xfId="1" applyFont="1" applyBorder="1"/>
    <xf numFmtId="0" fontId="30" fillId="18" borderId="3" xfId="3" applyFont="1" applyBorder="1"/>
    <xf numFmtId="0" fontId="30" fillId="10" borderId="3" xfId="2" applyFont="1" applyBorder="1"/>
    <xf numFmtId="0" fontId="0" fillId="19" borderId="3" xfId="0" applyFill="1" applyBorder="1"/>
    <xf numFmtId="0" fontId="31" fillId="0" borderId="3" xfId="0" applyFont="1" applyBorder="1"/>
    <xf numFmtId="0" fontId="32" fillId="0" borderId="3" xfId="0" applyFont="1" applyBorder="1"/>
    <xf numFmtId="0" fontId="32" fillId="0" borderId="10" xfId="0" applyFont="1" applyBorder="1"/>
    <xf numFmtId="0" fontId="32" fillId="0" borderId="11" xfId="0" applyFont="1"/>
    <xf numFmtId="0" fontId="33" fillId="0" borderId="3" xfId="0" applyFont="1" applyBorder="1"/>
    <xf numFmtId="0" fontId="33" fillId="0" borderId="11" xfId="0" applyFont="1"/>
    <xf numFmtId="0" fontId="32" fillId="0" borderId="12" xfId="0" applyFont="1" applyBorder="1"/>
    <xf numFmtId="0" fontId="32" fillId="0" borderId="13" xfId="0" applyFont="1" applyBorder="1"/>
    <xf numFmtId="0" fontId="32" fillId="0" borderId="14" xfId="0" applyFont="1" applyBorder="1"/>
    <xf numFmtId="0" fontId="0" fillId="0" borderId="11" xfId="0"/>
    <xf numFmtId="0" fontId="33" fillId="9" borderId="3" xfId="0" applyFont="1" applyFill="1" applyBorder="1"/>
    <xf numFmtId="0" fontId="4" fillId="19" borderId="3" xfId="0" applyFont="1" applyFill="1" applyBorder="1" applyAlignment="1">
      <alignment vertical="top" wrapText="1"/>
    </xf>
    <xf numFmtId="0" fontId="5" fillId="19" borderId="3" xfId="0" applyFont="1" applyFill="1" applyBorder="1" applyAlignment="1">
      <alignment vertical="top" wrapText="1"/>
    </xf>
    <xf numFmtId="0" fontId="35" fillId="0" borderId="3" xfId="0" applyFont="1" applyBorder="1"/>
    <xf numFmtId="0" fontId="34" fillId="0" borderId="3" xfId="0" applyFont="1" applyBorder="1"/>
    <xf numFmtId="0" fontId="36" fillId="0" borderId="3" xfId="0" applyFont="1" applyBorder="1"/>
    <xf numFmtId="0" fontId="37" fillId="0" borderId="3" xfId="0" applyFont="1" applyBorder="1"/>
    <xf numFmtId="0" fontId="38" fillId="0" borderId="3" xfId="0" applyFont="1" applyBorder="1"/>
    <xf numFmtId="165" fontId="38" fillId="0" borderId="3" xfId="0" applyNumberFormat="1" applyFont="1" applyBorder="1"/>
    <xf numFmtId="0" fontId="35" fillId="3" borderId="3" xfId="0" applyFont="1" applyFill="1" applyBorder="1" applyAlignment="1">
      <alignment vertical="top" wrapText="1"/>
    </xf>
    <xf numFmtId="2" fontId="38" fillId="0" borderId="3" xfId="0" applyNumberFormat="1" applyFont="1" applyBorder="1"/>
    <xf numFmtId="0" fontId="35" fillId="2" borderId="3" xfId="0" applyFont="1" applyFill="1" applyBorder="1" applyAlignment="1">
      <alignment vertical="top" wrapText="1"/>
    </xf>
    <xf numFmtId="0" fontId="35" fillId="7" borderId="3" xfId="0" applyFont="1" applyFill="1" applyBorder="1" applyAlignment="1">
      <alignment vertical="top" wrapText="1"/>
    </xf>
    <xf numFmtId="0" fontId="35" fillId="5" borderId="3" xfId="0" applyFont="1" applyFill="1" applyBorder="1" applyAlignment="1">
      <alignment vertical="top" wrapText="1"/>
    </xf>
    <xf numFmtId="0" fontId="35" fillId="6" borderId="3" xfId="0" applyFont="1" applyFill="1" applyBorder="1" applyAlignment="1">
      <alignment vertical="top" wrapText="1"/>
    </xf>
    <xf numFmtId="0" fontId="39" fillId="0" borderId="3" xfId="0" applyFont="1" applyBorder="1"/>
    <xf numFmtId="0" fontId="35" fillId="9" borderId="3" xfId="0" applyFont="1" applyFill="1" applyBorder="1" applyAlignment="1">
      <alignment vertical="top" wrapText="1"/>
    </xf>
    <xf numFmtId="0" fontId="35" fillId="19" borderId="3" xfId="0" applyFont="1" applyFill="1" applyBorder="1" applyAlignment="1">
      <alignment vertical="top" wrapText="1"/>
    </xf>
    <xf numFmtId="168" fontId="38" fillId="0" borderId="3" xfId="0" applyNumberFormat="1" applyFont="1" applyBorder="1"/>
    <xf numFmtId="0" fontId="35" fillId="4" borderId="3" xfId="0" applyFont="1" applyFill="1" applyBorder="1" applyAlignment="1">
      <alignment vertical="top" wrapText="1"/>
    </xf>
    <xf numFmtId="0" fontId="35" fillId="11" borderId="3" xfId="0" applyFont="1" applyFill="1" applyBorder="1" applyAlignment="1">
      <alignment vertical="top" wrapText="1"/>
    </xf>
    <xf numFmtId="168" fontId="40" fillId="0" borderId="3" xfId="0" applyNumberFormat="1" applyFont="1" applyBorder="1"/>
    <xf numFmtId="170" fontId="26" fillId="0" borderId="11" xfId="0" applyNumberFormat="1" applyFont="1"/>
    <xf numFmtId="165" fontId="32" fillId="0" borderId="15" xfId="0" applyNumberFormat="1" applyFont="1" applyBorder="1"/>
    <xf numFmtId="1" fontId="25" fillId="0" borderId="11" xfId="0" applyNumberFormat="1" applyFont="1"/>
    <xf numFmtId="168" fontId="38" fillId="0" borderId="11" xfId="0" applyNumberFormat="1" applyFont="1"/>
    <xf numFmtId="168" fontId="26" fillId="0" borderId="11" xfId="0" applyNumberFormat="1" applyFont="1"/>
    <xf numFmtId="0" fontId="1" fillId="0" borderId="11" xfId="0" applyFont="1"/>
    <xf numFmtId="0" fontId="3" fillId="0" borderId="11" xfId="0" applyFont="1"/>
    <xf numFmtId="0" fontId="8" fillId="0" borderId="11" xfId="0" applyFont="1"/>
    <xf numFmtId="0" fontId="9" fillId="13" borderId="11" xfId="0" applyFont="1" applyFill="1"/>
    <xf numFmtId="168" fontId="26" fillId="20" borderId="11" xfId="0" applyNumberFormat="1" applyFont="1" applyFill="1"/>
    <xf numFmtId="0" fontId="0" fillId="20" borderId="11" xfId="0" applyFill="1"/>
  </cellXfs>
  <cellStyles count="4">
    <cellStyle name="Bad" xfId="2" builtinId="27"/>
    <cellStyle name="Good" xfId="1" builtinId="26"/>
    <cellStyle name="Neutral" xfId="3" builtinId="28"/>
    <cellStyle name="Normal" xfId="0" builtinId="0"/>
  </cellStyles>
  <dxfs count="46">
    <dxf>
      <fill>
        <patternFill patternType="solid">
          <fgColor rgb="FFC6EFCE"/>
        </patternFill>
      </fill>
    </dxf>
    <dxf>
      <fill>
        <patternFill patternType="solid">
          <fgColor rgb="FFFFC7CE"/>
        </patternFill>
      </fill>
    </dxf>
    <dxf>
      <fill>
        <patternFill patternType="solid">
          <fgColor rgb="FFFFEB84"/>
          <bgColor rgb="FFFFEB84"/>
        </patternFill>
      </fill>
    </dxf>
    <dxf>
      <fill>
        <patternFill patternType="solid">
          <fgColor rgb="FF63BE7B"/>
          <bgColor rgb="FF63BE7B"/>
        </patternFill>
      </fill>
    </dxf>
    <dxf>
      <fill>
        <patternFill patternType="solid">
          <fgColor rgb="FFFFC7CE"/>
        </patternFill>
      </fill>
    </dxf>
    <dxf>
      <fill>
        <patternFill patternType="solid">
          <fgColor rgb="FFF8696B"/>
          <bgColor rgb="FFF8696B"/>
        </patternFill>
      </fill>
    </dxf>
    <dxf>
      <fill>
        <patternFill patternType="solid">
          <fgColor rgb="FF63BE7B"/>
          <bgColor rgb="FF63BE7B"/>
        </patternFill>
      </fill>
    </dxf>
    <dxf>
      <fill>
        <patternFill patternType="solid">
          <fgColor rgb="FFFFC7CE"/>
        </patternFill>
      </fill>
    </dxf>
    <dxf>
      <fill>
        <patternFill patternType="solid">
          <fgColor rgb="FFF8696B"/>
          <bgColor rgb="FFF8696B"/>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8696B"/>
          <bgColor rgb="FFF8696B"/>
        </patternFill>
      </fill>
    </dxf>
    <dxf>
      <fill>
        <patternFill patternType="solid">
          <fgColor rgb="FF63BE7B"/>
          <bgColor rgb="FF63BE7B"/>
        </patternFill>
      </fill>
    </dxf>
    <dxf>
      <fill>
        <patternFill patternType="solid">
          <fgColor rgb="FFC6EFCE"/>
        </patternFill>
      </fill>
    </dxf>
    <dxf>
      <fill>
        <patternFill patternType="solid">
          <f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ont>
        <color theme="0"/>
      </font>
      <fill>
        <patternFill patternType="solid">
          <fgColor rgb="FFBDD7EE"/>
          <bgColor theme="3"/>
        </patternFill>
      </fill>
    </dxf>
    <dxf>
      <font>
        <color theme="0"/>
      </font>
      <fill>
        <patternFill patternType="solid">
          <fgColor rgb="FFBDD7EE"/>
          <bgColor theme="3"/>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030A0"/>
      <rgbColor rgb="FFFFF2CC"/>
      <rgbColor rgb="FFFCE4D6"/>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G90"/>
  <sheetViews>
    <sheetView tabSelected="1" zoomScale="116" workbookViewId="0">
      <selection activeCell="D5" sqref="D5"/>
    </sheetView>
  </sheetViews>
  <sheetFormatPr baseColWidth="10" defaultColWidth="8.83203125" defaultRowHeight="15" x14ac:dyDescent="0.2"/>
  <cols>
    <col min="1" max="1" width="34" customWidth="1"/>
    <col min="2" max="2" width="13" customWidth="1"/>
    <col min="3" max="3" width="6" customWidth="1"/>
    <col min="4" max="4" width="24.6640625" customWidth="1"/>
    <col min="5" max="5" width="13.1640625" bestFit="1" customWidth="1"/>
    <col min="6" max="6" width="110.5" style="2" bestFit="1" customWidth="1"/>
  </cols>
  <sheetData>
    <row r="1" spans="1:7" x14ac:dyDescent="0.2">
      <c r="A1" s="16" t="s">
        <v>24</v>
      </c>
      <c r="B1" s="16" t="s">
        <v>25</v>
      </c>
      <c r="C1" s="16" t="s">
        <v>26</v>
      </c>
      <c r="D1" s="16" t="s">
        <v>27</v>
      </c>
      <c r="E1" s="16" t="s">
        <v>28</v>
      </c>
      <c r="F1" s="16" t="s">
        <v>29</v>
      </c>
    </row>
    <row r="2" spans="1:7" ht="16" customHeight="1" thickBot="1" x14ac:dyDescent="0.25">
      <c r="A2" s="17" t="s">
        <v>1</v>
      </c>
      <c r="B2" s="18" t="s">
        <v>30</v>
      </c>
      <c r="C2" s="19"/>
      <c r="D2" s="36" t="s">
        <v>16</v>
      </c>
      <c r="E2" s="20" t="s">
        <v>31</v>
      </c>
      <c r="F2" s="21" t="s">
        <v>32</v>
      </c>
    </row>
    <row r="3" spans="1:7" ht="16" customHeight="1" thickBot="1" x14ac:dyDescent="0.25">
      <c r="A3" s="17" t="s">
        <v>33</v>
      </c>
      <c r="B3" s="18" t="s">
        <v>34</v>
      </c>
      <c r="C3" s="19"/>
      <c r="D3" s="36" t="s">
        <v>393</v>
      </c>
      <c r="E3" s="20" t="s">
        <v>31</v>
      </c>
      <c r="F3" s="21" t="s">
        <v>36</v>
      </c>
    </row>
    <row r="4" spans="1:7" x14ac:dyDescent="0.2">
      <c r="A4" s="17" t="s">
        <v>37</v>
      </c>
      <c r="B4" s="18" t="s">
        <v>38</v>
      </c>
      <c r="C4" s="19"/>
      <c r="D4" s="36" t="s">
        <v>535</v>
      </c>
      <c r="E4" s="20" t="s">
        <v>31</v>
      </c>
      <c r="F4" s="21" t="s">
        <v>40</v>
      </c>
    </row>
    <row r="5" spans="1:7" x14ac:dyDescent="0.2">
      <c r="A5" s="20" t="s">
        <v>41</v>
      </c>
      <c r="B5" s="18" t="s">
        <v>42</v>
      </c>
      <c r="C5" s="20"/>
      <c r="D5" s="36" t="s">
        <v>976</v>
      </c>
      <c r="E5" s="20" t="s">
        <v>31</v>
      </c>
      <c r="F5" s="21" t="s">
        <v>43</v>
      </c>
    </row>
    <row r="6" spans="1:7" x14ac:dyDescent="0.2">
      <c r="A6" s="20" t="s">
        <v>1276</v>
      </c>
      <c r="B6" s="18" t="s">
        <v>44</v>
      </c>
      <c r="C6" s="20" t="s">
        <v>45</v>
      </c>
      <c r="D6" s="36">
        <v>3</v>
      </c>
      <c r="E6" s="20" t="s">
        <v>46</v>
      </c>
      <c r="F6" s="21" t="s">
        <v>1277</v>
      </c>
    </row>
    <row r="7" spans="1:7" x14ac:dyDescent="0.2">
      <c r="A7" s="20" t="s">
        <v>47</v>
      </c>
      <c r="B7" s="18" t="s">
        <v>48</v>
      </c>
      <c r="C7" s="20" t="s">
        <v>49</v>
      </c>
      <c r="D7" s="36">
        <v>1000</v>
      </c>
      <c r="E7" s="20" t="s">
        <v>46</v>
      </c>
      <c r="F7" s="21" t="s">
        <v>50</v>
      </c>
    </row>
    <row r="8" spans="1:7" x14ac:dyDescent="0.2">
      <c r="A8" s="20" t="s">
        <v>51</v>
      </c>
      <c r="B8" s="18" t="s">
        <v>52</v>
      </c>
      <c r="C8" s="20" t="s">
        <v>53</v>
      </c>
      <c r="D8" s="36">
        <v>25</v>
      </c>
      <c r="E8" s="20" t="s">
        <v>46</v>
      </c>
      <c r="F8" s="21" t="s">
        <v>54</v>
      </c>
    </row>
    <row r="9" spans="1:7" x14ac:dyDescent="0.2">
      <c r="A9" s="20" t="s">
        <v>55</v>
      </c>
      <c r="B9" s="18" t="s">
        <v>56</v>
      </c>
      <c r="C9" s="20" t="s">
        <v>57</v>
      </c>
      <c r="D9" s="36"/>
      <c r="E9" s="20" t="s">
        <v>58</v>
      </c>
      <c r="F9" s="21" t="s">
        <v>59</v>
      </c>
    </row>
    <row r="10" spans="1:7" ht="16" customHeight="1" x14ac:dyDescent="0.2">
      <c r="A10" s="20" t="s">
        <v>60</v>
      </c>
      <c r="B10" s="18" t="s">
        <v>61</v>
      </c>
      <c r="C10" s="20" t="s">
        <v>62</v>
      </c>
      <c r="D10" s="36"/>
      <c r="E10" s="20" t="s">
        <v>58</v>
      </c>
      <c r="F10" s="101" t="s">
        <v>63</v>
      </c>
    </row>
    <row r="11" spans="1:7" x14ac:dyDescent="0.2">
      <c r="A11" s="20"/>
      <c r="B11" s="20"/>
      <c r="C11" s="20"/>
      <c r="D11" s="102"/>
      <c r="E11" s="20"/>
      <c r="F11" s="21"/>
    </row>
    <row r="12" spans="1:7" ht="16" customHeight="1" thickBot="1" x14ac:dyDescent="0.25">
      <c r="A12" s="16" t="s">
        <v>64</v>
      </c>
      <c r="B12" s="16" t="s">
        <v>25</v>
      </c>
      <c r="C12" s="16" t="s">
        <v>26</v>
      </c>
      <c r="D12" s="16" t="s">
        <v>27</v>
      </c>
      <c r="E12" s="16" t="s">
        <v>28</v>
      </c>
      <c r="F12" s="16" t="s">
        <v>29</v>
      </c>
      <c r="G12" s="16" t="s">
        <v>1133</v>
      </c>
    </row>
    <row r="13" spans="1:7" ht="16" customHeight="1" thickBot="1" x14ac:dyDescent="0.25">
      <c r="A13" s="28" t="s">
        <v>1058</v>
      </c>
      <c r="B13" s="20"/>
      <c r="C13" s="20" t="s">
        <v>13</v>
      </c>
      <c r="D13" s="90">
        <f>IFERROR('Mass Transfer'!$D$90,"calibrate this reactor first (see CO2 flows)")</f>
        <v>0.78451304982496561</v>
      </c>
      <c r="E13" s="23" t="str">
        <f>HYPERLINK("#'Mass Transfer'!D90","→ Mass")</f>
        <v>→ Mass</v>
      </c>
      <c r="F13" s="21" t="s">
        <v>65</v>
      </c>
      <c r="G13" s="36"/>
    </row>
    <row r="14" spans="1:7" s="3" customFormat="1" ht="16" customHeight="1" thickBot="1" x14ac:dyDescent="0.25">
      <c r="A14" s="28" t="s">
        <v>1059</v>
      </c>
      <c r="B14" s="20"/>
      <c r="C14" s="20" t="s">
        <v>13</v>
      </c>
      <c r="D14" s="91">
        <f>IF(AND(ISNUMBER($G$13),$G$13&gt;0),$G$13,IF(NOT(ISNUMBER(D13)),D13,IF(D13&gt;0.5,ROUND(D13,0),ROUND(D13,1-(1+INT(LOG10(ABS(D13))))))))</f>
        <v>1</v>
      </c>
      <c r="E14" s="20"/>
      <c r="F14" s="21"/>
    </row>
    <row r="15" spans="1:7" ht="16" customHeight="1" thickBot="1" x14ac:dyDescent="0.25">
      <c r="A15" s="89" t="s">
        <v>66</v>
      </c>
      <c r="B15" s="20"/>
      <c r="C15" s="20" t="s">
        <v>67</v>
      </c>
      <c r="D15" s="90">
        <f>IFERROR('Mass Transfer'!$D$91,"calibrate this reactor first (see CO2 flows)")</f>
        <v>13.911967729563832</v>
      </c>
      <c r="E15" s="23" t="str">
        <f>HYPERLINK("#'Mass Transfer'!D91","→ Mass")</f>
        <v>→ Mass</v>
      </c>
      <c r="F15" s="21" t="s">
        <v>68</v>
      </c>
      <c r="G15" s="36"/>
    </row>
    <row r="16" spans="1:7" x14ac:dyDescent="0.2">
      <c r="A16" s="28" t="s">
        <v>1057</v>
      </c>
      <c r="B16" s="20"/>
      <c r="C16" s="20" t="s">
        <v>67</v>
      </c>
      <c r="D16" s="91">
        <f>IF(AND(ISNUMBER($G$15),$G$15&gt;0),$G$15,IF(NOT(ISNUMBER(D15)),D15,IF(D15&gt;0.5,ROUND(D15,0),ROUND(D15,1-(1+INT(LOG10(ABS(D15))))))))</f>
        <v>14</v>
      </c>
      <c r="E16" s="92"/>
      <c r="F16" s="21"/>
    </row>
    <row r="17" spans="1:6" s="3" customFormat="1" x14ac:dyDescent="0.2">
      <c r="A17" s="89"/>
      <c r="B17" s="20"/>
      <c r="C17" s="20"/>
      <c r="D17" s="93"/>
      <c r="E17" s="92"/>
      <c r="F17" s="21"/>
    </row>
    <row r="18" spans="1:6" x14ac:dyDescent="0.2">
      <c r="A18" s="16" t="s">
        <v>69</v>
      </c>
      <c r="B18" s="16"/>
      <c r="C18" s="16"/>
      <c r="D18" s="16" t="s">
        <v>27</v>
      </c>
      <c r="E18" s="16" t="s">
        <v>28</v>
      </c>
      <c r="F18" s="16" t="s">
        <v>29</v>
      </c>
    </row>
    <row r="19" spans="1:6" x14ac:dyDescent="0.2">
      <c r="A19" s="89" t="s">
        <v>70</v>
      </c>
      <c r="B19" s="20"/>
      <c r="C19" s="20"/>
      <c r="D19" s="94" t="str">
        <f>Geometry!$D$90</f>
        <v>VIAL GEOMETRY INCONSISTENT - measure true fill volume &amp; bore depth</v>
      </c>
      <c r="E19" s="23" t="str">
        <f>HYPERLINK("#Geometry!D90","→ Geometry")</f>
        <v>→ Geometry</v>
      </c>
      <c r="F19" s="21" t="s">
        <v>71</v>
      </c>
    </row>
    <row r="20" spans="1:6" x14ac:dyDescent="0.2">
      <c r="A20" s="89" t="s">
        <v>72</v>
      </c>
      <c r="B20" s="20"/>
      <c r="C20" s="20"/>
      <c r="D20" s="90" t="str">
        <f>'Mass Transfer'!$D$120</f>
        <v>calibrated: ed04</v>
      </c>
      <c r="E20" s="23" t="str">
        <f>HYPERLINK("#'Mass Transfer'!D120","→ Mass")</f>
        <v>→ Mass</v>
      </c>
      <c r="F20" s="21" t="s">
        <v>73</v>
      </c>
    </row>
    <row r="21" spans="1:6" x14ac:dyDescent="0.2">
      <c r="A21" s="89" t="s">
        <v>74</v>
      </c>
      <c r="B21" s="20"/>
      <c r="C21" s="20"/>
      <c r="D21" s="90" t="str">
        <f>'Mass Transfer'!$D$109</f>
        <v>organism optimum unknown</v>
      </c>
      <c r="E21" s="23" t="str">
        <f>HYPERLINK("#'Mass Transfer'!D109","→ Mass")</f>
        <v>→ Mass</v>
      </c>
      <c r="F21" s="21" t="s">
        <v>75</v>
      </c>
    </row>
    <row r="22" spans="1:6" x14ac:dyDescent="0.2">
      <c r="A22" s="89" t="s">
        <v>76</v>
      </c>
      <c r="B22" s="20"/>
      <c r="C22" s="20"/>
      <c r="D22" s="90" t="str">
        <f>'Mass Transfer'!$D$110</f>
        <v>minimum DO unknown - measure</v>
      </c>
      <c r="E22" s="23" t="str">
        <f>HYPERLINK("#'Mass Transfer'!D110","→ Mass")</f>
        <v>→ Mass</v>
      </c>
      <c r="F22" s="21" t="s">
        <v>77</v>
      </c>
    </row>
    <row r="23" spans="1:6" x14ac:dyDescent="0.2">
      <c r="A23" s="89" t="s">
        <v>78</v>
      </c>
      <c r="B23" s="20"/>
      <c r="C23" s="20"/>
      <c r="D23" s="90" t="str">
        <f>'Mass Transfer'!$D$113</f>
        <v>organism DO unknown</v>
      </c>
      <c r="E23" s="23" t="str">
        <f>HYPERLINK("#'Mass Transfer'!D113","→ Mass")</f>
        <v>→ Mass</v>
      </c>
      <c r="F23" s="21" t="s">
        <v>79</v>
      </c>
    </row>
    <row r="24" spans="1:6" x14ac:dyDescent="0.2">
      <c r="A24" s="89" t="s">
        <v>80</v>
      </c>
      <c r="B24" s="20"/>
      <c r="C24" s="20"/>
      <c r="D24" s="95" t="str">
        <f>Biology!$D$44</f>
        <v>EXPLOSIVE</v>
      </c>
      <c r="E24" s="23" t="str">
        <f>HYPERLINK("#Biology!D44","→ Biology")</f>
        <v>→ Biology</v>
      </c>
      <c r="F24" s="21" t="s">
        <v>81</v>
      </c>
    </row>
    <row r="25" spans="1:6" x14ac:dyDescent="0.2">
      <c r="A25" s="89" t="s">
        <v>82</v>
      </c>
      <c r="B25" s="20"/>
      <c r="C25" s="20"/>
      <c r="D25" s="90" t="str">
        <f>'Mass Transfer'!$D$64</f>
        <v>Static</v>
      </c>
      <c r="E25" s="23" t="str">
        <f>HYPERLINK("#'Mass Transfer'!D64","→ Mass")</f>
        <v>→ Mass</v>
      </c>
      <c r="F25" s="21" t="s">
        <v>83</v>
      </c>
    </row>
    <row r="26" spans="1:6" x14ac:dyDescent="0.2">
      <c r="A26" s="89" t="s">
        <v>84</v>
      </c>
      <c r="B26" s="20"/>
      <c r="C26" s="20"/>
      <c r="D26" s="90" t="str">
        <f>IFERROR("×"&amp;TEXT('Mass Transfer'!$D$126,"0.0")&amp;IF('Mass Transfer'!$D$126&gt;=1," OK"," SHORTFALL (CO2 &lt; demand)"),"calibrate this reactor first")</f>
        <v>×26.6 OK</v>
      </c>
      <c r="E26" s="23" t="str">
        <f>HYPERLINK("#'Mass Transfer'!D126","→ Mass")</f>
        <v>→ Mass</v>
      </c>
      <c r="F26" s="21" t="s">
        <v>85</v>
      </c>
    </row>
    <row r="27" spans="1:6" x14ac:dyDescent="0.2">
      <c r="A27" s="89" t="s">
        <v>86</v>
      </c>
      <c r="B27" s="20"/>
      <c r="C27" s="20"/>
      <c r="D27" s="90" t="str">
        <f>IFERROR('Mass Transfer'!$D$130,"calibrate this reactor first (see CO2 flows)")</f>
        <v>OK</v>
      </c>
      <c r="E27" s="23" t="str">
        <f>HYPERLINK("#'Mass Transfer'!D130","→ Mass")</f>
        <v>→ Mass</v>
      </c>
      <c r="F27" s="21" t="s">
        <v>87</v>
      </c>
    </row>
    <row r="28" spans="1:6" x14ac:dyDescent="0.2">
      <c r="A28" s="89" t="s">
        <v>88</v>
      </c>
      <c r="B28" s="20"/>
      <c r="C28" s="20"/>
      <c r="D28" s="90" t="str">
        <f>IFERROR('Mass Transfer'!$D$95,"calibrate this reactor first (see CO2 flows)")</f>
        <v>OK</v>
      </c>
      <c r="E28" s="23" t="str">
        <f>HYPERLINK("#'Mass Transfer'!D95","→ Mass")</f>
        <v>→ Mass</v>
      </c>
      <c r="F28" s="21" t="s">
        <v>89</v>
      </c>
    </row>
    <row r="29" spans="1:6" x14ac:dyDescent="0.2">
      <c r="A29" s="89" t="s">
        <v>90</v>
      </c>
      <c r="B29" s="20"/>
      <c r="C29" s="20"/>
      <c r="D29" s="90" t="str">
        <f>'Mass Transfer'!$D$59</f>
        <v>OK</v>
      </c>
      <c r="E29" s="23" t="str">
        <f>HYPERLINK("#'Mass Transfer'!D59","→ Mass")</f>
        <v>→ Mass</v>
      </c>
      <c r="F29" s="21" t="s">
        <v>91</v>
      </c>
    </row>
    <row r="30" spans="1:6" x14ac:dyDescent="0.2">
      <c r="A30" s="89" t="s">
        <v>92</v>
      </c>
      <c r="B30" s="20"/>
      <c r="C30" s="20"/>
      <c r="D30" s="90" t="str">
        <f>'Mass Transfer'!$D$111</f>
        <v>OK</v>
      </c>
      <c r="E30" s="23" t="str">
        <f>HYPERLINK("#'Mass Transfer'!D111","→ Mass")</f>
        <v>→ Mass</v>
      </c>
      <c r="F30" s="21" t="s">
        <v>93</v>
      </c>
    </row>
    <row r="31" spans="1:6" x14ac:dyDescent="0.2">
      <c r="A31" s="89" t="s">
        <v>94</v>
      </c>
      <c r="B31" s="20"/>
      <c r="C31" s="20"/>
      <c r="D31" s="94" t="str">
        <f>Geometry!$D$54</f>
        <v>OK</v>
      </c>
      <c r="E31" s="23" t="str">
        <f>HYPERLINK("#Geometry!D54","→ Geometry")</f>
        <v>→ Geometry</v>
      </c>
      <c r="F31" s="21" t="s">
        <v>95</v>
      </c>
    </row>
    <row r="32" spans="1:6" x14ac:dyDescent="0.2">
      <c r="A32" s="89" t="s">
        <v>96</v>
      </c>
      <c r="B32" s="20"/>
      <c r="C32" s="20"/>
      <c r="D32" s="94" t="str">
        <f>Geometry!$D$55</f>
        <v>OK</v>
      </c>
      <c r="E32" s="23" t="str">
        <f>HYPERLINK("#Geometry!D55","→ Geometry")</f>
        <v>→ Geometry</v>
      </c>
      <c r="F32" s="21" t="s">
        <v>97</v>
      </c>
    </row>
    <row r="33" spans="1:6" ht="16" thickBot="1" x14ac:dyDescent="0.25">
      <c r="A33" s="89" t="s">
        <v>98</v>
      </c>
      <c r="B33" s="20"/>
      <c r="C33" s="20"/>
      <c r="D33" s="96" t="str">
        <f>Electrochemistry!$D$20</f>
        <v>OK</v>
      </c>
      <c r="E33" s="23" t="str">
        <f>HYPERLINK("#Electrochemistry!D20","→ Electrochemistry")</f>
        <v>→ Electrochemistry</v>
      </c>
      <c r="F33" s="21" t="s">
        <v>99</v>
      </c>
    </row>
    <row r="34" spans="1:6" ht="16" thickBot="1" x14ac:dyDescent="0.25">
      <c r="A34" s="89" t="s">
        <v>986</v>
      </c>
      <c r="C34" s="20"/>
      <c r="D34" s="94" t="str">
        <f>IF(AND(ISNUMBER(Biology!$D$45),ISNUMBER(Biology!$D$46),ISNUMBER(Biology!$D$47),ISNUMBER(Biology!$D$48)),"inputs present","DATA GAP - organism DO thresholds unmeasured; results unreliable")</f>
        <v>DATA GAP - organism DO thresholds unmeasured; results unreliable</v>
      </c>
      <c r="E34" s="23" t="str">
        <f>HYPERLINK("#Biology!D45","→ Biology")</f>
        <v>→ Biology</v>
      </c>
      <c r="F34" s="21" t="s">
        <v>987</v>
      </c>
    </row>
    <row r="35" spans="1:6" ht="16" thickBot="1" x14ac:dyDescent="0.25">
      <c r="A35" s="89" t="s">
        <v>988</v>
      </c>
      <c r="C35" s="20"/>
      <c r="D35" s="121" t="e">
        <f>Chemistry!$D$220</f>
        <v>#DIV/0!</v>
      </c>
      <c r="E35" s="23" t="str">
        <f>HYPERLINK("#Chemistry!D103","→ Chemistry")</f>
        <v>→ Chemistry</v>
      </c>
      <c r="F35" s="21" t="s">
        <v>1881</v>
      </c>
    </row>
    <row r="36" spans="1:6" ht="16" thickBot="1" x14ac:dyDescent="0.25">
      <c r="A36" s="89" t="s">
        <v>1128</v>
      </c>
      <c r="C36" s="20" t="s">
        <v>102</v>
      </c>
      <c r="D36" s="121" t="e">
        <f>Chemistry!$D$226</f>
        <v>#DIV/0!</v>
      </c>
      <c r="E36" s="23" t="str">
        <f>HYPERLINK("#Chemistry!D226","→ Chemistry")</f>
        <v>→ Chemistry</v>
      </c>
      <c r="F36" s="21" t="s">
        <v>1930</v>
      </c>
    </row>
    <row r="37" spans="1:6" ht="16" thickBot="1" x14ac:dyDescent="0.25">
      <c r="A37" s="103" t="s">
        <v>100</v>
      </c>
      <c r="B37" s="20"/>
      <c r="C37" s="20"/>
      <c r="D37" s="20"/>
      <c r="E37" s="20"/>
      <c r="F37" s="21"/>
    </row>
    <row r="38" spans="1:6" x14ac:dyDescent="0.2">
      <c r="A38" s="89" t="s">
        <v>101</v>
      </c>
      <c r="B38" s="102"/>
      <c r="C38" s="20" t="s">
        <v>102</v>
      </c>
      <c r="D38" s="90">
        <f>'Mass Transfer'!$D$108</f>
        <v>2.6390316521739119</v>
      </c>
      <c r="E38" s="23" t="str">
        <f>HYPERLINK("#'Mass Transfer'!D108","→ Mass")</f>
        <v>→ Mass</v>
      </c>
      <c r="F38" s="21" t="s">
        <v>103</v>
      </c>
    </row>
    <row r="39" spans="1:6" x14ac:dyDescent="0.2">
      <c r="A39" s="89" t="s">
        <v>104</v>
      </c>
      <c r="B39" s="102"/>
      <c r="C39" s="20" t="s">
        <v>67</v>
      </c>
      <c r="D39" s="90">
        <f>'Mass Transfer'!$D$112</f>
        <v>185.24020703677724</v>
      </c>
      <c r="E39" s="23" t="str">
        <f>HYPERLINK("#'Mass Transfer'!D112","→ Mass")</f>
        <v>→ Mass</v>
      </c>
      <c r="F39" s="21" t="s">
        <v>105</v>
      </c>
    </row>
    <row r="40" spans="1:6" x14ac:dyDescent="0.2">
      <c r="A40" s="89" t="s">
        <v>106</v>
      </c>
      <c r="B40" s="20"/>
      <c r="C40" s="20" t="s">
        <v>107</v>
      </c>
      <c r="D40" s="90">
        <f>'Mass Transfer'!$D$68</f>
        <v>0.62831853071795862</v>
      </c>
      <c r="E40" s="23" t="str">
        <f>HYPERLINK("#'Mass Transfer'!D68","→ Mass")</f>
        <v>→ Mass</v>
      </c>
      <c r="F40" s="21" t="s">
        <v>108</v>
      </c>
    </row>
    <row r="41" spans="1:6" x14ac:dyDescent="0.2">
      <c r="A41" s="89" t="s">
        <v>109</v>
      </c>
      <c r="B41" s="20"/>
      <c r="C41" s="20" t="s">
        <v>110</v>
      </c>
      <c r="D41" s="95">
        <f>Biology!$D$35</f>
        <v>668.745</v>
      </c>
      <c r="E41" s="23" t="str">
        <f>HYPERLINK("#Biology!D35","→ Biology")</f>
        <v>→ Biology</v>
      </c>
      <c r="F41" s="21" t="s">
        <v>111</v>
      </c>
    </row>
    <row r="42" spans="1:6" x14ac:dyDescent="0.2">
      <c r="A42" s="103" t="s">
        <v>1278</v>
      </c>
    </row>
    <row r="43" spans="1:6" x14ac:dyDescent="0.2">
      <c r="A43" s="89" t="s">
        <v>1279</v>
      </c>
      <c r="C43" s="20" t="s">
        <v>325</v>
      </c>
      <c r="D43" s="90">
        <f>Electrochemistry!$D$19*1000</f>
        <v>5.6899999999999995</v>
      </c>
      <c r="E43" s="23" t="str">
        <f>HYPERLINK("#Electrochemistry!D19","→ Electrochemistry")</f>
        <v>→ Electrochemistry</v>
      </c>
      <c r="F43" s="21" t="s">
        <v>1280</v>
      </c>
    </row>
    <row r="44" spans="1:6" x14ac:dyDescent="0.2">
      <c r="A44" s="89" t="s">
        <v>1281</v>
      </c>
      <c r="C44" s="20" t="s">
        <v>1282</v>
      </c>
      <c r="D44" s="90">
        <f>Electrochemistry!$D$48</f>
        <v>2.8260956882955579</v>
      </c>
      <c r="E44" s="23" t="str">
        <f>HYPERLINK("#Electrochemistry!D48","→ Electrochemistry")</f>
        <v>→ Electrochemistry</v>
      </c>
      <c r="F44" s="21" t="s">
        <v>1283</v>
      </c>
    </row>
    <row r="45" spans="1:6" x14ac:dyDescent="0.2">
      <c r="A45" s="89" t="s">
        <v>1284</v>
      </c>
      <c r="D45" s="90" t="str">
        <f>Electrochemistry!$D$62</f>
        <v>watch - above optimum current density</v>
      </c>
      <c r="E45" s="23" t="str">
        <f>HYPERLINK("#Electrochemistry!D62","→ Electrochemistry")</f>
        <v>→ Electrochemistry</v>
      </c>
      <c r="F45" s="21" t="s">
        <v>1285</v>
      </c>
    </row>
    <row r="46" spans="1:6" x14ac:dyDescent="0.2">
      <c r="A46" s="89" t="s">
        <v>1286</v>
      </c>
      <c r="C46" s="20" t="s">
        <v>45</v>
      </c>
      <c r="D46" s="90">
        <f>Electrochemistry!$D$73</f>
        <v>10</v>
      </c>
      <c r="E46" s="23" t="str">
        <f>HYPERLINK("#Electrochemistry!D73","→ Electrochemistry")</f>
        <v>→ Electrochemistry</v>
      </c>
      <c r="F46" s="21" t="s">
        <v>1287</v>
      </c>
    </row>
    <row r="47" spans="1:6" x14ac:dyDescent="0.2">
      <c r="A47" s="89" t="s">
        <v>1288</v>
      </c>
      <c r="C47" s="20" t="s">
        <v>325</v>
      </c>
      <c r="D47" s="90">
        <f>Electrochemistry!$D$74</f>
        <v>12.9</v>
      </c>
      <c r="E47" s="23" t="str">
        <f>HYPERLINK("#Electrochemistry!D74","→ Electrochemistry")</f>
        <v>→ Electrochemistry</v>
      </c>
      <c r="F47" s="21" t="s">
        <v>1289</v>
      </c>
    </row>
    <row r="48" spans="1:6" x14ac:dyDescent="0.2">
      <c r="A48" s="89" t="s">
        <v>1290</v>
      </c>
      <c r="C48" s="20" t="s">
        <v>1282</v>
      </c>
      <c r="D48" s="90">
        <f>Electrochemistry!$D$75</f>
        <v>6.407141367137557</v>
      </c>
      <c r="E48" s="23" t="str">
        <f>HYPERLINK("#Electrochemistry!D75","→ Electrochemistry")</f>
        <v>→ Electrochemistry</v>
      </c>
      <c r="F48" s="21" t="s">
        <v>1291</v>
      </c>
    </row>
    <row r="49" spans="1:6" x14ac:dyDescent="0.2">
      <c r="A49" s="89" t="s">
        <v>1292</v>
      </c>
      <c r="D49" s="90" t="str">
        <f>Electrochemistry!$D$76</f>
        <v>EXCEED - max current over a limit</v>
      </c>
      <c r="E49" s="23" t="str">
        <f>HYPERLINK("#Electrochemistry!D76","→ Electrochemistry")</f>
        <v>→ Electrochemistry</v>
      </c>
      <c r="F49" s="21" t="s">
        <v>1293</v>
      </c>
    </row>
    <row r="50" spans="1:6" x14ac:dyDescent="0.2">
      <c r="A50" s="20"/>
      <c r="B50" s="20"/>
      <c r="C50" s="20"/>
      <c r="D50" s="20"/>
      <c r="E50" s="20"/>
      <c r="F50" s="20"/>
    </row>
    <row r="51" spans="1:6" x14ac:dyDescent="0.2">
      <c r="A51" s="16" t="s">
        <v>112</v>
      </c>
      <c r="B51" s="16"/>
      <c r="C51" s="16"/>
      <c r="D51" s="16"/>
      <c r="E51" s="16"/>
      <c r="F51" s="16"/>
    </row>
    <row r="52" spans="1:6" x14ac:dyDescent="0.2">
      <c r="A52" s="87" t="s">
        <v>113</v>
      </c>
      <c r="B52" s="20"/>
      <c r="C52" s="20"/>
      <c r="D52" s="28"/>
      <c r="E52" s="20"/>
      <c r="F52" s="20"/>
    </row>
    <row r="53" spans="1:6" x14ac:dyDescent="0.2">
      <c r="A53" s="29" t="s">
        <v>114</v>
      </c>
      <c r="B53" s="20"/>
      <c r="C53" s="20"/>
      <c r="D53" s="28"/>
      <c r="E53" s="20"/>
      <c r="F53" s="20"/>
    </row>
    <row r="54" spans="1:6" x14ac:dyDescent="0.2">
      <c r="A54" s="98" t="s">
        <v>115</v>
      </c>
      <c r="B54" s="20"/>
      <c r="C54" s="20"/>
      <c r="D54" s="28"/>
      <c r="E54" s="20"/>
      <c r="F54" s="20"/>
    </row>
    <row r="55" spans="1:6" x14ac:dyDescent="0.2">
      <c r="A55" s="30" t="s">
        <v>116</v>
      </c>
      <c r="B55" s="20"/>
      <c r="C55" s="20"/>
      <c r="D55" s="28"/>
      <c r="E55" s="20"/>
      <c r="F55" s="20"/>
    </row>
    <row r="56" spans="1:6" x14ac:dyDescent="0.2">
      <c r="A56" s="31" t="s">
        <v>117</v>
      </c>
      <c r="B56" s="20"/>
      <c r="C56" s="20"/>
      <c r="D56" s="28"/>
      <c r="E56" s="92"/>
      <c r="F56" s="20"/>
    </row>
    <row r="57" spans="1:6" x14ac:dyDescent="0.2">
      <c r="A57" s="32" t="s">
        <v>118</v>
      </c>
      <c r="B57" s="20"/>
      <c r="C57" s="20"/>
      <c r="D57" s="28"/>
      <c r="E57" s="92"/>
      <c r="F57" s="20"/>
    </row>
    <row r="58" spans="1:6" x14ac:dyDescent="0.2">
      <c r="A58" s="88" t="s">
        <v>119</v>
      </c>
      <c r="B58" s="20"/>
      <c r="C58" s="20"/>
      <c r="D58" s="28"/>
      <c r="E58" s="92"/>
      <c r="F58" s="20"/>
    </row>
    <row r="59" spans="1:6" x14ac:dyDescent="0.2">
      <c r="A59" s="33" t="s">
        <v>120</v>
      </c>
      <c r="B59" s="20"/>
      <c r="C59" s="20"/>
      <c r="D59" s="20"/>
      <c r="E59" s="20"/>
      <c r="F59" s="20"/>
    </row>
    <row r="60" spans="1:6" x14ac:dyDescent="0.2">
      <c r="A60" s="34" t="s">
        <v>121</v>
      </c>
      <c r="B60" s="20"/>
      <c r="C60" s="20"/>
      <c r="D60" s="20"/>
      <c r="E60" s="20"/>
      <c r="F60" s="20"/>
    </row>
    <row r="61" spans="1:6" s="20" customFormat="1" x14ac:dyDescent="0.2">
      <c r="A61" s="84" t="s">
        <v>122</v>
      </c>
    </row>
    <row r="62" spans="1:6" s="20" customFormat="1" x14ac:dyDescent="0.2">
      <c r="A62" s="85" t="s">
        <v>123</v>
      </c>
    </row>
    <row r="63" spans="1:6" x14ac:dyDescent="0.2">
      <c r="A63" s="86" t="s">
        <v>124</v>
      </c>
      <c r="B63" s="20"/>
      <c r="C63" s="20"/>
      <c r="D63" s="20"/>
      <c r="E63" s="20"/>
      <c r="F63" s="20"/>
    </row>
    <row r="64" spans="1:6" x14ac:dyDescent="0.2">
      <c r="A64" s="20"/>
      <c r="B64" s="20"/>
      <c r="C64" s="20"/>
      <c r="D64" s="28"/>
      <c r="E64" s="92"/>
      <c r="F64" s="20"/>
    </row>
    <row r="65" spans="1:6" x14ac:dyDescent="0.2">
      <c r="A65" s="35" t="s">
        <v>125</v>
      </c>
      <c r="B65" s="35" t="s">
        <v>126</v>
      </c>
      <c r="C65" s="35" t="s">
        <v>127</v>
      </c>
      <c r="D65" s="35" t="s">
        <v>128</v>
      </c>
      <c r="E65" s="35"/>
      <c r="F65" s="35" t="s">
        <v>129</v>
      </c>
    </row>
    <row r="66" spans="1:6" x14ac:dyDescent="0.2">
      <c r="A66" s="20" t="s">
        <v>1013</v>
      </c>
      <c r="B66" s="20" t="s">
        <v>1014</v>
      </c>
      <c r="C66" s="20" t="s">
        <v>1015</v>
      </c>
      <c r="D66" s="36" t="str">
        <f>HYPERLINK("https://github.com/amy-bo/electroPioreactor/blob/CO2-modular/Media/protocols/surface-kla.md","surface-kla.md →")</f>
        <v>surface-kla.md →</v>
      </c>
      <c r="E66" s="103"/>
      <c r="F66" s="21" t="s">
        <v>1901</v>
      </c>
    </row>
    <row r="67" spans="1:6" x14ac:dyDescent="0.2">
      <c r="A67" s="20" t="s">
        <v>1016</v>
      </c>
      <c r="B67" s="20" t="s">
        <v>1017</v>
      </c>
      <c r="C67" s="20" t="s">
        <v>1018</v>
      </c>
      <c r="D67" s="36" t="str">
        <f>HYPERLINK("https://github.com/amy-bo/electroPioreactor/blob/CO2-modular/Media/protocols/vial-geometry.md","vial-geometry.md →")</f>
        <v>vial-geometry.md →</v>
      </c>
      <c r="E67" s="103"/>
      <c r="F67" s="21" t="s">
        <v>1019</v>
      </c>
    </row>
    <row r="68" spans="1:6" x14ac:dyDescent="0.2">
      <c r="A68" s="20" t="s">
        <v>1020</v>
      </c>
      <c r="B68" s="20" t="s">
        <v>1021</v>
      </c>
      <c r="C68" s="20" t="s">
        <v>1022</v>
      </c>
      <c r="D68" s="36" t="str">
        <f>HYPERLINK("https://github.com/amy-bo/electroPioreactor/blob/CO2-modular/Media/protocols/faradaic-efficiency.md","faradaic-efficiency.md →")</f>
        <v>faradaic-efficiency.md →</v>
      </c>
      <c r="E68" s="103"/>
      <c r="F68" s="21" t="s">
        <v>1902</v>
      </c>
    </row>
    <row r="69" spans="1:6" x14ac:dyDescent="0.2">
      <c r="A69" s="20" t="s">
        <v>1023</v>
      </c>
      <c r="B69" s="20" t="s">
        <v>1024</v>
      </c>
      <c r="C69" s="20" t="s">
        <v>1025</v>
      </c>
      <c r="D69" s="36" t="str">
        <f>HYPERLINK("https://github.com/amy-bo/electroPioreactor/blob/CO2-modular/Media/protocols/knallgas-stoichiometry.md","knallgas-stoichiometry.md →")</f>
        <v>knallgas-stoichiometry.md →</v>
      </c>
      <c r="E69" s="103"/>
      <c r="F69" s="21" t="s">
        <v>1026</v>
      </c>
    </row>
    <row r="70" spans="1:6" x14ac:dyDescent="0.2">
      <c r="A70" s="20" t="s">
        <v>1027</v>
      </c>
      <c r="B70" s="20" t="s">
        <v>1028</v>
      </c>
      <c r="C70" s="20" t="s">
        <v>1029</v>
      </c>
      <c r="D70" s="36" t="str">
        <f>HYPERLINK("https://github.com/amy-bo/electroPioreactor/blob/CO2-modular/Media/protocols/faradaic-efficiency.md","faradaic-efficiency.md →")</f>
        <v>faradaic-efficiency.md →</v>
      </c>
      <c r="E70" s="103"/>
      <c r="F70" s="21" t="s">
        <v>1903</v>
      </c>
    </row>
    <row r="71" spans="1:6" x14ac:dyDescent="0.2">
      <c r="A71" s="20" t="s">
        <v>1030</v>
      </c>
      <c r="B71" s="20" t="s">
        <v>1031</v>
      </c>
      <c r="C71" s="20" t="s">
        <v>1032</v>
      </c>
      <c r="D71" s="36" t="str">
        <f>HYPERLINK("https://github.com/amy-bo/electroPioreactor/blob/CO2-modular/Media/protocols/vial-geometry.md","vial-geometry.md →")</f>
        <v>vial-geometry.md →</v>
      </c>
      <c r="E71" s="103"/>
      <c r="F71" s="21" t="s">
        <v>1033</v>
      </c>
    </row>
    <row r="72" spans="1:6" x14ac:dyDescent="0.2">
      <c r="A72" s="20" t="s">
        <v>1034</v>
      </c>
      <c r="B72" s="20" t="s">
        <v>1035</v>
      </c>
      <c r="C72" s="20" t="s">
        <v>1036</v>
      </c>
      <c r="D72" s="36" t="str">
        <f>HYPERLINK("https://github.com/amy-bo/electroPioreactor/blob/CO2-modular/Media/protocols/flow-calibration.md","flow-calibration.md →")</f>
        <v>flow-calibration.md →</v>
      </c>
      <c r="E72" s="103"/>
      <c r="F72" s="21" t="s">
        <v>1037</v>
      </c>
    </row>
    <row r="73" spans="1:6" x14ac:dyDescent="0.2">
      <c r="A73" s="20" t="s">
        <v>1038</v>
      </c>
      <c r="B73" s="20" t="s">
        <v>1039</v>
      </c>
      <c r="C73" s="20" t="s">
        <v>1040</v>
      </c>
      <c r="D73" s="36" t="str">
        <f>HYPERLINK("https://github.com/amy-bo/electroPioreactor/blob/CO2-modular/Media/protocols/dissolved-oxygen.md","dissolved-oxygen.md →")</f>
        <v>dissolved-oxygen.md →</v>
      </c>
      <c r="E73" s="103"/>
      <c r="F73" s="21" t="s">
        <v>1041</v>
      </c>
    </row>
    <row r="74" spans="1:6" x14ac:dyDescent="0.2">
      <c r="A74" s="20" t="s">
        <v>1042</v>
      </c>
      <c r="B74" s="20" t="s">
        <v>1043</v>
      </c>
      <c r="C74" s="20" t="s">
        <v>1044</v>
      </c>
      <c r="D74" s="36" t="str">
        <f>HYPERLINK("https://github.com/amy-bo/electroPioreactor/blob/CO2-modular/Media/protocols/flow-calibration.md","flow-calibration.md →")</f>
        <v>flow-calibration.md →</v>
      </c>
      <c r="E74" s="103"/>
      <c r="F74" s="21" t="s">
        <v>1045</v>
      </c>
    </row>
    <row r="75" spans="1:6" x14ac:dyDescent="0.2">
      <c r="A75" s="20" t="s">
        <v>1046</v>
      </c>
      <c r="B75" s="20" t="s">
        <v>1047</v>
      </c>
      <c r="C75" s="20" t="s">
        <v>1048</v>
      </c>
      <c r="D75" s="36" t="str">
        <f>HYPERLINK("https://github.com/amy-bo/electroPioreactor/blob/CO2-modular/Media/protocols/sinter-porosity.md","sinter-porosity.md →")</f>
        <v>sinter-porosity.md →</v>
      </c>
      <c r="E75" s="103"/>
      <c r="F75" s="21" t="s">
        <v>1049</v>
      </c>
    </row>
    <row r="76" spans="1:6" x14ac:dyDescent="0.2">
      <c r="A76" s="20" t="s">
        <v>1050</v>
      </c>
      <c r="B76" s="20" t="s">
        <v>1051</v>
      </c>
      <c r="C76" s="20" t="s">
        <v>1052</v>
      </c>
      <c r="D76" s="36" t="str">
        <f>HYPERLINK("https://github.com/amy-bo/electroPioreactor/blob/CO2-modular/Media/protocols/README.md","README.md →")</f>
        <v>README.md →</v>
      </c>
      <c r="E76" s="103"/>
      <c r="F76" s="21" t="s">
        <v>1053</v>
      </c>
    </row>
    <row r="77" spans="1:6" x14ac:dyDescent="0.2">
      <c r="A77" t="s">
        <v>1904</v>
      </c>
      <c r="B77" t="s">
        <v>1021</v>
      </c>
      <c r="C77" t="s">
        <v>1052</v>
      </c>
      <c r="D77" s="23" t="str">
        <f>HYPERLINK("https://github.com/amy-bo/electroPioreactor/blob/CO2-modular/Media/protocols/current-density-screen.md","current-density-screen.md →")</f>
        <v>current-density-screen.md →</v>
      </c>
      <c r="E77" s="20"/>
      <c r="F77" t="s">
        <v>1905</v>
      </c>
    </row>
    <row r="78" spans="1:6" x14ac:dyDescent="0.2">
      <c r="A78" t="s">
        <v>1906</v>
      </c>
      <c r="B78" t="s">
        <v>1043</v>
      </c>
      <c r="C78" t="s">
        <v>1052</v>
      </c>
      <c r="D78" s="23" t="str">
        <f>HYPERLINK("https://github.com/amy-bo/electroPioreactor/blob/CO2-modular/Media/protocols/vial-geometry.md","vial-geometry.md →")</f>
        <v>vial-geometry.md →</v>
      </c>
      <c r="E78" s="20"/>
      <c r="F78" t="s">
        <v>1907</v>
      </c>
    </row>
    <row r="79" spans="1:6" x14ac:dyDescent="0.2">
      <c r="A79" t="s">
        <v>1908</v>
      </c>
      <c r="B79" t="s">
        <v>1021</v>
      </c>
      <c r="C79" t="s">
        <v>1052</v>
      </c>
      <c r="D79" s="23" t="str">
        <f>HYPERLINK("https://github.com/amy-bo/electroPioreactor/blob/CO2-modular/Media/protocols/gerrit-current.md","gerrit-current.md →")</f>
        <v>gerrit-current.md →</v>
      </c>
      <c r="E79" s="20"/>
      <c r="F79" t="s">
        <v>1909</v>
      </c>
    </row>
    <row r="80" spans="1:6" x14ac:dyDescent="0.2">
      <c r="A80" t="s">
        <v>1910</v>
      </c>
      <c r="B80" t="s">
        <v>1021</v>
      </c>
      <c r="C80" t="s">
        <v>1029</v>
      </c>
      <c r="D80" s="23" t="str">
        <f>HYPERLINK("https://github.com/amy-bo/electroPioreactor/blob/CO2-modular/Media/protocols/README.md","README.md →")</f>
        <v>README.md →</v>
      </c>
      <c r="F80" t="s">
        <v>1911</v>
      </c>
    </row>
    <row r="81" spans="1:6" x14ac:dyDescent="0.2">
      <c r="A81" s="5" t="s">
        <v>1865</v>
      </c>
    </row>
    <row r="82" spans="1:6" x14ac:dyDescent="0.2">
      <c r="A82" t="s">
        <v>1652</v>
      </c>
      <c r="C82" s="19" t="s">
        <v>1274</v>
      </c>
      <c r="D82" s="22">
        <f>Electrochemistry!$D$88</f>
        <v>0.97747529865232907</v>
      </c>
      <c r="E82" s="23" t="str">
        <f>HYPERLINK("#Electrochemistry!D88","→ Electrochemistry")</f>
        <v>→ Electrochemistry</v>
      </c>
      <c r="F82" t="s">
        <v>1866</v>
      </c>
    </row>
    <row r="83" spans="1:6" x14ac:dyDescent="0.2">
      <c r="A83" t="s">
        <v>1742</v>
      </c>
      <c r="C83" s="19" t="s">
        <v>1595</v>
      </c>
      <c r="D83" s="22">
        <f>Electrochemistry!$D$119</f>
        <v>3.2199940250279724</v>
      </c>
      <c r="E83" s="23" t="str">
        <f>HYPERLINK("#Electrochemistry!D119","→ Electrochemistry")</f>
        <v>→ Electrochemistry</v>
      </c>
      <c r="F83" t="s">
        <v>1867</v>
      </c>
    </row>
    <row r="84" spans="1:6" x14ac:dyDescent="0.2">
      <c r="A84" t="s">
        <v>1751</v>
      </c>
      <c r="C84" s="19" t="s">
        <v>1274</v>
      </c>
      <c r="D84" s="22" t="str">
        <f>Electrochemistry!$D$122</f>
        <v>OK — 3.22 V estimated against a 5 V rail</v>
      </c>
      <c r="E84" s="23" t="str">
        <f>HYPERLINK("#Electrochemistry!D122","→ Electrochemistry")</f>
        <v>→ Electrochemistry</v>
      </c>
      <c r="F84" t="s">
        <v>1868</v>
      </c>
    </row>
    <row r="85" spans="1:6" x14ac:dyDescent="0.2">
      <c r="A85" t="s">
        <v>1683</v>
      </c>
      <c r="C85" s="19" t="s">
        <v>1274</v>
      </c>
      <c r="D85" s="22" t="str">
        <f>Electrochemistry!$D$99</f>
        <v>watch — steady growth is clear (0.055 mg/L) but LAG PHASE is not: peroxide passes the threshold in 13 min before biomass can scavenge it</v>
      </c>
      <c r="E85" s="23" t="str">
        <f>HYPERLINK("#Electrochemistry!D99","→ Electrochemistry")</f>
        <v>→ Electrochemistry</v>
      </c>
      <c r="F85" t="s">
        <v>1869</v>
      </c>
    </row>
    <row r="86" spans="1:6" x14ac:dyDescent="0.2">
      <c r="A86" t="s">
        <v>1870</v>
      </c>
      <c r="C86" s="19" t="s">
        <v>1274</v>
      </c>
      <c r="D86" s="22" t="e">
        <f>Chemistry!$D$219</f>
        <v>#DIV/0!</v>
      </c>
      <c r="E86" s="23" t="str">
        <f>HYPERLINK("#Chemistry!D219","→ Chemistry")</f>
        <v>→ Chemistry</v>
      </c>
      <c r="F86" t="s">
        <v>1871</v>
      </c>
    </row>
    <row r="87" spans="1:6" x14ac:dyDescent="0.2">
      <c r="A87" t="s">
        <v>1593</v>
      </c>
      <c r="C87" s="19" t="s">
        <v>1595</v>
      </c>
      <c r="D87" s="22" t="e">
        <f>Chemistry!$D$209</f>
        <v>#DIV/0!</v>
      </c>
      <c r="E87" s="23" t="str">
        <f>HYPERLINK("#Chemistry!D209","→ Chemistry")</f>
        <v>→ Chemistry</v>
      </c>
      <c r="F87" t="s">
        <v>1872</v>
      </c>
    </row>
    <row r="88" spans="1:6" x14ac:dyDescent="0.2">
      <c r="A88" t="s">
        <v>1600</v>
      </c>
      <c r="C88" s="19" t="s">
        <v>1595</v>
      </c>
      <c r="D88" s="22" t="e">
        <f>Chemistry!$D$211</f>
        <v>#DIV/0!</v>
      </c>
      <c r="E88" s="23" t="str">
        <f>HYPERLINK("#Chemistry!D211","→ Chemistry")</f>
        <v>→ Chemistry</v>
      </c>
      <c r="F88" t="s">
        <v>1873</v>
      </c>
    </row>
    <row r="89" spans="1:6" x14ac:dyDescent="0.2">
      <c r="A89" t="s">
        <v>1622</v>
      </c>
      <c r="C89" s="19" t="s">
        <v>1274</v>
      </c>
      <c r="D89" s="22" t="e">
        <f>Chemistry!$D$220</f>
        <v>#DIV/0!</v>
      </c>
      <c r="E89" s="23" t="str">
        <f>HYPERLINK("#Chemistry!D220","→ Chemistry")</f>
        <v>→ Chemistry</v>
      </c>
      <c r="F89" t="s">
        <v>1874</v>
      </c>
    </row>
    <row r="90" spans="1:6" x14ac:dyDescent="0.2">
      <c r="A90" t="s">
        <v>1875</v>
      </c>
      <c r="C90" s="19" t="s">
        <v>639</v>
      </c>
      <c r="D90" s="22">
        <f>'Mass Transfer'!$D$186</f>
        <v>3.6147484452872004E-3</v>
      </c>
      <c r="E90" s="23" t="str">
        <f>HYPERLINK("#'Mass Transfer'!D186","→ Mass Transfer")</f>
        <v>→ Mass Transfer</v>
      </c>
      <c r="F90" t="s">
        <v>1876</v>
      </c>
    </row>
  </sheetData>
  <conditionalFormatting sqref="B64:B76">
    <cfRule type="expression" dxfId="45" priority="16" stopIfTrue="1">
      <formula>EXACT(B64,"HIGH")</formula>
    </cfRule>
    <cfRule type="expression" dxfId="44" priority="17" stopIfTrue="1">
      <formula>EXACT(B64,"MED")</formula>
    </cfRule>
    <cfRule type="expression" dxfId="43" priority="18" stopIfTrue="1">
      <formula>EXACT(B64,"LOW")</formula>
    </cfRule>
  </conditionalFormatting>
  <conditionalFormatting sqref="C64:C76">
    <cfRule type="expression" dxfId="42" priority="19" stopIfTrue="1">
      <formula>EXACT(C64,"low")</formula>
    </cfRule>
    <cfRule type="expression" dxfId="41" priority="20" stopIfTrue="1">
      <formula>EXACT(C64,"med")</formula>
    </cfRule>
    <cfRule type="expression" dxfId="40" priority="21" stopIfTrue="1">
      <formula>EXACT(C64,"high")</formula>
    </cfRule>
  </conditionalFormatting>
  <conditionalFormatting sqref="D13:D16">
    <cfRule type="expression" dxfId="39" priority="15" stopIfTrue="1">
      <formula>ISNUMBER(SEARCH("calibrate this",D13))</formula>
    </cfRule>
  </conditionalFormatting>
  <conditionalFormatting sqref="D14">
    <cfRule type="expression" dxfId="38" priority="1" stopIfTrue="1">
      <formula>AND(ISNUMBER($G$13),$G$13&gt;0)</formula>
    </cfRule>
  </conditionalFormatting>
  <conditionalFormatting sqref="D16">
    <cfRule type="expression" dxfId="37" priority="3" stopIfTrue="1">
      <formula>AND(ISNUMBER($G$15),$G$15&gt;0)</formula>
    </cfRule>
  </conditionalFormatting>
  <conditionalFormatting sqref="D19:D36">
    <cfRule type="expression" dxfId="36" priority="12" stopIfTrue="1">
      <formula>OR(ISNUMBER(SEARCH("INCONSISTENT",D19)),ISNUMBER(SEARCH("OVER",D19)),ISNUMBER(SEARCH("BELOW",D19)),ISNUMBER(SEARCH("EXCEED",D19)),ISNUMBER(SEARCH("NO CALIB",D19)),ISNUMBER(SEARCH("calibrate this",D19)),ISNUMBER(SEARCH("RISK",D19)),ISNUMBER(SEARCH("EXPLOSIVE",D19)),ISNUMBER(SEARCH("OOR",D19)),ISNUMBER(SEARCH("insufficient",D19)),ISNUMBER(SEARCH("TIP SPEED",D19)),ISNUMBER(SEARCH("SHORTFALL",D19)),EXACT(D19,"OUT"),EXACT(D19,"LOW"),ISNUMBER(SEARCH("GAP",D19)))</formula>
    </cfRule>
    <cfRule type="expression" dxfId="35" priority="13" stopIfTrue="1">
      <formula>OR(ISNUMBER(SEARCH("above optimum",D19)),ISNUMBER(SEARCH("watch",D19)),ISNUMBER(SEARCH("NEAREST",D19)),ISNUMBER(SEARCH("unknown",D19)),ISNUMBER(SEARCH("TIGHT",D19)))</formula>
    </cfRule>
    <cfRule type="expression" dxfId="34" priority="14" stopIfTrue="1">
      <formula>OR(EXACT(D19,"OK"),ISNUMBER(SEARCH(" OK",D19)),ISNUMBER(SEARCH("calibrated:",D19)),ISNUMBER(SEARCH("optimum",D19)),ISNUMBER(SEARCH("above min",D19)),ISNUMBER(SEARCH("CARBON-limited",D19)),ISNUMBER(SEARCH("Static",D19)),ISNUMBER(SEARCH("Dynamic",D19)),ISNUMBER(SEARCH("present",D19)))</formula>
    </cfRule>
  </conditionalFormatting>
  <conditionalFormatting sqref="D35">
    <cfRule type="expression" dxfId="33" priority="22" stopIfTrue="1">
      <formula>OR(D35&lt;6,D35&gt;8)</formula>
    </cfRule>
    <cfRule type="expression" dxfId="32" priority="23" stopIfTrue="1">
      <formula>OR(D35&lt;6.5,D35&gt;7.5)</formula>
    </cfRule>
    <cfRule type="expression" dxfId="31" priority="24" stopIfTrue="1">
      <formula>ISNUMBER(D35)</formula>
    </cfRule>
  </conditionalFormatting>
  <conditionalFormatting sqref="D36">
    <cfRule type="expression" dxfId="30" priority="25" stopIfTrue="1">
      <formula>D36&gt;1</formula>
    </cfRule>
    <cfRule type="expression" dxfId="29" priority="26" stopIfTrue="1">
      <formula>D36&gt;0.1</formula>
    </cfRule>
    <cfRule type="expression" dxfId="28" priority="27" stopIfTrue="1">
      <formula>ISNUMBER(D36)</formula>
    </cfRule>
  </conditionalFormatting>
  <conditionalFormatting sqref="D45">
    <cfRule type="expression" dxfId="27" priority="40" stopIfTrue="1">
      <formula>ISNUMBER(SEARCH("EXCEED",D45))</formula>
    </cfRule>
    <cfRule type="expression" dxfId="26" priority="41" stopIfTrue="1">
      <formula>ISNUMBER(SEARCH("watch",D45))</formula>
    </cfRule>
    <cfRule type="expression" dxfId="25" priority="42" stopIfTrue="1">
      <formula>ISNUMBER(SEARCH("OK",D45))</formula>
    </cfRule>
  </conditionalFormatting>
  <conditionalFormatting sqref="D49">
    <cfRule type="expression" dxfId="24" priority="43" stopIfTrue="1">
      <formula>ISNUMBER(SEARCH("EXCEED",D49))</formula>
    </cfRule>
    <cfRule type="expression" dxfId="23" priority="44" stopIfTrue="1">
      <formula>ISNUMBER(SEARCH("watch",D49))</formula>
    </cfRule>
    <cfRule type="expression" dxfId="22" priority="45" stopIfTrue="1">
      <formula>ISNUMBER(SEARCH("OK",D49))</formula>
    </cfRule>
  </conditionalFormatting>
  <dataValidations count="4">
    <dataValidation type="list" allowBlank="1" showInputMessage="1" showErrorMessage="1" errorTitle="Not a listed reactor" error="Pick a reactor from the list (Geometry A59:A80)." sqref="D2" xr:uid="{00000000-0002-0000-0000-000000000000}">
      <formula1>ReactorList</formula1>
    </dataValidation>
    <dataValidation type="list" allowBlank="1" showInputMessage="1" showErrorMessage="1" errorTitle="Not a listed electrode" error="Pick an electrode from the list (Electrochemistry A35:A38)." sqref="D3" xr:uid="{00000000-0002-0000-0000-000001000000}">
      <formula1>ElectrodeList</formula1>
    </dataValidation>
    <dataValidation type="list" allowBlank="1" showInputMessage="1" showErrorMessage="1" errorTitle="Not a listed organism" error="Pick an organism from the list (Biology A52:A57)." sqref="D4" xr:uid="{00000000-0002-0000-0000-000002000000}">
      <formula1>OrganismList</formula1>
    </dataValidation>
    <dataValidation type="list" allowBlank="1" showInputMessage="1" showErrorMessage="1" errorTitle="Not a listed medium" error="Pick a medium from the list (Chemistry A114:A115)." sqref="D5" xr:uid="{00000000-0002-0000-0000-000003000000}">
      <formula1>MediaList</formula1>
    </dataValidation>
  </dataValidation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xr:uid="{00000000-0002-0000-0000-000000000000}">
          <x14:formula1>
            <xm:f>Geometry!$A$59:$A$80</xm:f>
          </x14:formula1>
          <xm:sqref>D2</xm:sqref>
        </x14:dataValidation>
        <x14:dataValidation type="list" allowBlank="1" xr:uid="{00000000-0002-0000-0000-000001000000}">
          <x14:formula1>
            <xm:f>Electrochemistry!$A$35:$A$38</xm:f>
          </x14:formula1>
          <xm:sqref>D3</xm:sqref>
        </x14:dataValidation>
        <x14:dataValidation type="list" allowBlank="1" xr:uid="{00000000-0002-0000-0000-000002000000}">
          <x14:formula1>
            <xm:f>Biology!$A$52:$A$57</xm:f>
          </x14:formula1>
          <xm:sqref>D4</xm:sqref>
        </x14:dataValidation>
        <x14:dataValidation type="list" allowBlank="1" xr:uid="{00000000-0002-0000-0000-000003000000}">
          <x14:formula1>
            <xm:f>Chemistry!$A$114:$A$115</xm:f>
          </x14:formula1>
          <xm:sqref>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I93"/>
  <sheetViews>
    <sheetView zoomScale="174" workbookViewId="0">
      <selection activeCell="A2" sqref="A2:XFD2"/>
    </sheetView>
  </sheetViews>
  <sheetFormatPr baseColWidth="10" defaultColWidth="8.83203125" defaultRowHeight="15" x14ac:dyDescent="0.2"/>
  <cols>
    <col min="1" max="1" width="30" customWidth="1"/>
    <col min="2" max="2" width="15" customWidth="1"/>
    <col min="5" max="5" width="60" customWidth="1"/>
  </cols>
  <sheetData>
    <row r="1" spans="1:9" ht="16" customHeight="1" x14ac:dyDescent="0.2">
      <c r="A1" s="104" t="s">
        <v>130</v>
      </c>
      <c r="B1" s="20"/>
      <c r="C1" s="20"/>
      <c r="D1" s="20"/>
      <c r="E1" s="20"/>
      <c r="F1" s="20"/>
      <c r="G1" s="20"/>
      <c r="H1" s="20"/>
      <c r="I1" s="20"/>
    </row>
    <row r="2" spans="1:9" x14ac:dyDescent="0.2">
      <c r="A2" s="16" t="s">
        <v>24</v>
      </c>
      <c r="B2" s="16" t="s">
        <v>25</v>
      </c>
      <c r="C2" s="16" t="s">
        <v>26</v>
      </c>
      <c r="D2" s="16" t="s">
        <v>27</v>
      </c>
      <c r="E2" s="16" t="s">
        <v>131</v>
      </c>
      <c r="F2" s="20"/>
      <c r="G2" s="20"/>
      <c r="H2" s="20"/>
      <c r="I2" s="20"/>
    </row>
    <row r="3" spans="1:9" x14ac:dyDescent="0.2">
      <c r="A3" s="17"/>
      <c r="B3" s="18"/>
      <c r="C3" s="19"/>
      <c r="D3" s="105"/>
      <c r="E3" s="37"/>
      <c r="F3" s="20"/>
      <c r="G3" s="20"/>
      <c r="H3" s="20"/>
      <c r="I3" s="20"/>
    </row>
    <row r="4" spans="1:9" ht="16" customHeight="1" x14ac:dyDescent="0.2">
      <c r="A4" s="104" t="s">
        <v>132</v>
      </c>
      <c r="B4" s="18"/>
      <c r="C4" s="19"/>
      <c r="D4" s="105"/>
      <c r="E4" s="37"/>
      <c r="F4" s="20"/>
      <c r="G4" s="20"/>
      <c r="H4" s="20"/>
      <c r="I4" s="20"/>
    </row>
    <row r="5" spans="1:9" x14ac:dyDescent="0.2">
      <c r="A5" s="20" t="s">
        <v>133</v>
      </c>
      <c r="B5" s="20" t="s">
        <v>134</v>
      </c>
      <c r="C5" s="20" t="s">
        <v>135</v>
      </c>
      <c r="D5" s="38" t="str">
        <f>Summary!$D$2</f>
        <v>ed04</v>
      </c>
      <c r="E5" s="23" t="str">
        <f>HYPERLINK("#Summary!D2","→ Summary")</f>
        <v>→ Summary</v>
      </c>
      <c r="F5" s="20"/>
      <c r="G5" s="20"/>
      <c r="H5" s="20"/>
      <c r="I5" s="20"/>
    </row>
    <row r="6" spans="1:9" x14ac:dyDescent="0.2">
      <c r="A6" s="20" t="s">
        <v>136</v>
      </c>
      <c r="B6" s="20" t="s">
        <v>56</v>
      </c>
      <c r="C6" s="20" t="s">
        <v>57</v>
      </c>
      <c r="D6" s="38">
        <f>Summary!$D$9</f>
        <v>0</v>
      </c>
      <c r="E6" s="23" t="str">
        <f>HYPERLINK("#Summary!D9","→ Summary")</f>
        <v>→ Summary</v>
      </c>
      <c r="F6" s="20"/>
      <c r="G6" s="20"/>
      <c r="H6" s="20"/>
      <c r="I6" s="20"/>
    </row>
    <row r="7" spans="1:9" x14ac:dyDescent="0.2">
      <c r="A7" s="17"/>
      <c r="B7" s="18"/>
      <c r="C7" s="19"/>
      <c r="D7" s="106"/>
      <c r="E7" s="39"/>
      <c r="F7" s="20"/>
      <c r="G7" s="20"/>
      <c r="H7" s="20"/>
      <c r="I7" s="20"/>
    </row>
    <row r="8" spans="1:9" ht="26" customHeight="1" x14ac:dyDescent="0.2">
      <c r="A8" s="17" t="s">
        <v>137</v>
      </c>
      <c r="B8" s="18" t="s">
        <v>138</v>
      </c>
      <c r="C8" s="19" t="s">
        <v>135</v>
      </c>
      <c r="D8" s="105" t="s">
        <v>139</v>
      </c>
      <c r="E8" s="107" t="s">
        <v>140</v>
      </c>
      <c r="F8" s="20"/>
      <c r="G8" s="20"/>
      <c r="H8" s="20"/>
      <c r="I8" s="20"/>
    </row>
    <row r="9" spans="1:9" x14ac:dyDescent="0.2">
      <c r="A9" s="17" t="s">
        <v>141</v>
      </c>
      <c r="B9" s="18" t="s">
        <v>142</v>
      </c>
      <c r="C9" s="19" t="s">
        <v>135</v>
      </c>
      <c r="D9" s="105" t="s">
        <v>143</v>
      </c>
      <c r="E9" s="107" t="s">
        <v>140</v>
      </c>
      <c r="F9" s="20"/>
      <c r="G9" s="20"/>
      <c r="H9" s="20"/>
      <c r="I9" s="20"/>
    </row>
    <row r="10" spans="1:9" ht="24" customHeight="1" x14ac:dyDescent="0.2">
      <c r="A10" s="17" t="s">
        <v>144</v>
      </c>
      <c r="B10" s="18" t="s">
        <v>145</v>
      </c>
      <c r="C10" s="19" t="s">
        <v>146</v>
      </c>
      <c r="D10" s="108">
        <v>27.48</v>
      </c>
      <c r="E10" s="109" t="s">
        <v>140</v>
      </c>
      <c r="F10" s="20"/>
      <c r="G10" s="20"/>
      <c r="H10" s="20"/>
      <c r="I10" s="20"/>
    </row>
    <row r="11" spans="1:9" x14ac:dyDescent="0.2">
      <c r="A11" s="17" t="s">
        <v>147</v>
      </c>
      <c r="B11" s="18" t="s">
        <v>148</v>
      </c>
      <c r="C11" s="19" t="s">
        <v>146</v>
      </c>
      <c r="D11" s="108">
        <v>27.48</v>
      </c>
      <c r="E11" s="110" t="s">
        <v>140</v>
      </c>
      <c r="F11" s="20"/>
      <c r="G11" s="20"/>
      <c r="H11" s="20"/>
      <c r="I11" s="20"/>
    </row>
    <row r="12" spans="1:9" x14ac:dyDescent="0.2">
      <c r="A12" s="17" t="s">
        <v>149</v>
      </c>
      <c r="B12" s="18" t="s">
        <v>150</v>
      </c>
      <c r="C12" s="19" t="s">
        <v>146</v>
      </c>
      <c r="D12" s="106">
        <v>55</v>
      </c>
      <c r="E12" s="111" t="s">
        <v>140</v>
      </c>
      <c r="F12" s="20"/>
      <c r="G12" s="20"/>
      <c r="H12" s="20"/>
      <c r="I12" s="20"/>
    </row>
    <row r="13" spans="1:9" x14ac:dyDescent="0.2">
      <c r="A13" s="17" t="s">
        <v>151</v>
      </c>
      <c r="B13" s="18" t="s">
        <v>152</v>
      </c>
      <c r="C13" s="19" t="s">
        <v>146</v>
      </c>
      <c r="D13" s="106">
        <v>95</v>
      </c>
      <c r="E13" s="111" t="s">
        <v>140</v>
      </c>
      <c r="F13" s="20"/>
      <c r="G13" s="20"/>
      <c r="H13" s="20"/>
      <c r="I13" s="20"/>
    </row>
    <row r="14" spans="1:9" ht="24" customHeight="1" x14ac:dyDescent="0.2">
      <c r="A14" s="17" t="s">
        <v>153</v>
      </c>
      <c r="B14" s="18" t="s">
        <v>154</v>
      </c>
      <c r="C14" s="19" t="s">
        <v>57</v>
      </c>
      <c r="D14" s="106">
        <v>16</v>
      </c>
      <c r="E14" s="109" t="s">
        <v>140</v>
      </c>
      <c r="F14" s="20"/>
      <c r="G14" s="20"/>
      <c r="H14" s="20"/>
      <c r="I14" s="20"/>
    </row>
    <row r="15" spans="1:9" ht="24" customHeight="1" x14ac:dyDescent="0.2">
      <c r="A15" s="17" t="s">
        <v>155</v>
      </c>
      <c r="B15" s="18" t="s">
        <v>156</v>
      </c>
      <c r="C15" s="19" t="s">
        <v>57</v>
      </c>
      <c r="D15" s="106">
        <v>30</v>
      </c>
      <c r="E15" s="109" t="s">
        <v>140</v>
      </c>
      <c r="F15" s="20"/>
      <c r="G15" s="20"/>
      <c r="H15" s="20"/>
      <c r="I15" s="20"/>
    </row>
    <row r="16" spans="1:9" x14ac:dyDescent="0.2">
      <c r="A16" s="17" t="s">
        <v>157</v>
      </c>
      <c r="B16" s="18" t="s">
        <v>158</v>
      </c>
      <c r="C16" s="19" t="s">
        <v>57</v>
      </c>
      <c r="D16" s="106">
        <v>20</v>
      </c>
      <c r="E16" s="112" t="s">
        <v>140</v>
      </c>
      <c r="F16" s="20"/>
      <c r="G16" s="20"/>
      <c r="H16" s="20"/>
      <c r="I16" s="20"/>
    </row>
    <row r="17" spans="1:9" x14ac:dyDescent="0.2">
      <c r="A17" s="17" t="s">
        <v>159</v>
      </c>
      <c r="B17" s="18" t="s">
        <v>160</v>
      </c>
      <c r="C17" s="19" t="s">
        <v>57</v>
      </c>
      <c r="D17" s="106">
        <v>42</v>
      </c>
      <c r="E17" s="112" t="s">
        <v>140</v>
      </c>
      <c r="F17" s="20"/>
      <c r="G17" s="20"/>
      <c r="H17" s="20"/>
      <c r="I17" s="20"/>
    </row>
    <row r="18" spans="1:9" x14ac:dyDescent="0.2">
      <c r="A18" s="17" t="s">
        <v>161</v>
      </c>
      <c r="B18" s="18" t="s">
        <v>162</v>
      </c>
      <c r="C18" s="19" t="s">
        <v>146</v>
      </c>
      <c r="D18" s="40">
        <f>VLOOKUP(rx_ver,$A$84:$I$87,7,FALSE)</f>
        <v>27.48</v>
      </c>
      <c r="E18" s="99" t="s">
        <v>163</v>
      </c>
      <c r="F18" s="20"/>
      <c r="G18" s="20"/>
      <c r="H18" s="20"/>
      <c r="I18" s="20"/>
    </row>
    <row r="19" spans="1:9" ht="24" customHeight="1" x14ac:dyDescent="0.2">
      <c r="A19" s="17" t="s">
        <v>164</v>
      </c>
      <c r="B19" s="18" t="s">
        <v>165</v>
      </c>
      <c r="C19" s="19" t="s">
        <v>146</v>
      </c>
      <c r="D19" s="36">
        <v>1.1000000000000001</v>
      </c>
      <c r="E19" s="41" t="s">
        <v>166</v>
      </c>
      <c r="F19" s="20"/>
      <c r="G19" s="20"/>
      <c r="H19" s="20"/>
      <c r="I19" s="20"/>
    </row>
    <row r="20" spans="1:9" x14ac:dyDescent="0.2">
      <c r="A20" s="17" t="s">
        <v>167</v>
      </c>
      <c r="B20" s="18" t="s">
        <v>168</v>
      </c>
      <c r="C20" s="19" t="s">
        <v>146</v>
      </c>
      <c r="D20" s="42">
        <f>vial_OD-2*vial_wall</f>
        <v>25.28</v>
      </c>
      <c r="E20" s="99" t="s">
        <v>169</v>
      </c>
      <c r="F20" s="20"/>
      <c r="G20" s="20"/>
      <c r="H20" s="20"/>
      <c r="I20" s="20"/>
    </row>
    <row r="21" spans="1:9" x14ac:dyDescent="0.2">
      <c r="A21" s="17" t="s">
        <v>170</v>
      </c>
      <c r="B21" s="18" t="s">
        <v>171</v>
      </c>
      <c r="C21" s="19" t="s">
        <v>172</v>
      </c>
      <c r="D21" s="43">
        <f>PI()/4*vial_ID^2</f>
        <v>501.93100162697988</v>
      </c>
      <c r="E21" s="99" t="s">
        <v>173</v>
      </c>
      <c r="F21" s="20"/>
      <c r="G21" s="20"/>
      <c r="H21" s="20"/>
      <c r="I21" s="20"/>
    </row>
    <row r="22" spans="1:9" x14ac:dyDescent="0.2">
      <c r="A22" s="17" t="s">
        <v>174</v>
      </c>
      <c r="B22" s="18" t="s">
        <v>175</v>
      </c>
      <c r="C22" s="19" t="s">
        <v>146</v>
      </c>
      <c r="D22" s="44">
        <f>IF(ISNUMBER(cal_Dint),cal_Dint,VLOOKUP(rx_ver,$A$84:$I$87,4,FALSE))</f>
        <v>55</v>
      </c>
      <c r="E22" s="99" t="s">
        <v>176</v>
      </c>
      <c r="F22" s="20"/>
      <c r="G22" s="20"/>
      <c r="H22" s="20"/>
      <c r="I22" s="20"/>
    </row>
    <row r="23" spans="1:9" x14ac:dyDescent="0.2">
      <c r="A23" s="17" t="s">
        <v>177</v>
      </c>
      <c r="B23" s="18" t="s">
        <v>178</v>
      </c>
      <c r="C23" s="19" t="s">
        <v>57</v>
      </c>
      <c r="D23" s="44">
        <f>VLOOKUP(rx_ver,$A$84:$I$87,5,FALSE)</f>
        <v>16</v>
      </c>
      <c r="E23" s="99" t="s">
        <v>176</v>
      </c>
      <c r="F23" s="20"/>
      <c r="G23" s="20"/>
      <c r="H23" s="20"/>
      <c r="I23" s="20"/>
    </row>
    <row r="24" spans="1:9" x14ac:dyDescent="0.2">
      <c r="A24" s="17" t="s">
        <v>179</v>
      </c>
      <c r="B24" s="18" t="s">
        <v>180</v>
      </c>
      <c r="C24" s="19" t="s">
        <v>57</v>
      </c>
      <c r="D24" s="44">
        <f>IF(ISNUMBER(cal_Vtot),cal_Vtot,VLOOKUP(rx_ver,$A$84:$I$87,6,FALSE))</f>
        <v>20</v>
      </c>
      <c r="E24" s="99" t="s">
        <v>176</v>
      </c>
      <c r="F24" s="20"/>
      <c r="G24" s="20"/>
      <c r="H24" s="20"/>
      <c r="I24" s="20"/>
    </row>
    <row r="25" spans="1:9" x14ac:dyDescent="0.2">
      <c r="A25" s="17" t="s">
        <v>181</v>
      </c>
      <c r="B25" s="18" t="s">
        <v>182</v>
      </c>
      <c r="C25" s="19" t="s">
        <v>146</v>
      </c>
      <c r="D25" s="42">
        <f>V_max*1000/A_x</f>
        <v>31.876891341911417</v>
      </c>
      <c r="E25" s="99" t="s">
        <v>183</v>
      </c>
      <c r="F25" s="20"/>
      <c r="G25" s="20"/>
      <c r="H25" s="20"/>
      <c r="I25" s="20"/>
    </row>
    <row r="26" spans="1:9" x14ac:dyDescent="0.2">
      <c r="A26" s="17" t="s">
        <v>184</v>
      </c>
      <c r="B26" s="18" t="s">
        <v>185</v>
      </c>
      <c r="C26" s="19" t="s">
        <v>146</v>
      </c>
      <c r="D26" s="36">
        <v>6</v>
      </c>
      <c r="E26" s="37" t="s">
        <v>186</v>
      </c>
      <c r="F26" s="20"/>
      <c r="G26" s="20"/>
      <c r="H26" s="20"/>
      <c r="I26" s="20"/>
    </row>
    <row r="27" spans="1:9" x14ac:dyDescent="0.2">
      <c r="A27" s="17" t="s">
        <v>187</v>
      </c>
      <c r="B27" s="18" t="s">
        <v>188</v>
      </c>
      <c r="C27" s="19" t="s">
        <v>135</v>
      </c>
      <c r="D27" s="36">
        <v>2</v>
      </c>
      <c r="E27" s="99" t="s">
        <v>189</v>
      </c>
      <c r="F27" s="20"/>
      <c r="G27" s="20"/>
      <c r="H27" s="20"/>
      <c r="I27" s="20"/>
    </row>
    <row r="28" spans="1:9" x14ac:dyDescent="0.2">
      <c r="A28" s="17" t="s">
        <v>190</v>
      </c>
      <c r="B28" s="18" t="s">
        <v>191</v>
      </c>
      <c r="C28" s="19" t="s">
        <v>146</v>
      </c>
      <c r="D28" s="36">
        <v>22</v>
      </c>
      <c r="E28" s="37" t="s">
        <v>192</v>
      </c>
      <c r="F28" s="20"/>
      <c r="G28" s="20"/>
      <c r="H28" s="20"/>
      <c r="I28" s="20"/>
    </row>
    <row r="29" spans="1:9" x14ac:dyDescent="0.2">
      <c r="A29" s="113" t="s">
        <v>193</v>
      </c>
      <c r="B29" s="18" t="s">
        <v>194</v>
      </c>
      <c r="C29" s="19" t="s">
        <v>146</v>
      </c>
      <c r="D29" s="43">
        <f>D_int-elec_clear</f>
        <v>33</v>
      </c>
      <c r="E29" s="99" t="s">
        <v>195</v>
      </c>
      <c r="F29" s="20"/>
      <c r="G29" s="20"/>
      <c r="H29" s="20"/>
      <c r="I29" s="20"/>
    </row>
    <row r="30" spans="1:9" x14ac:dyDescent="0.2">
      <c r="A30" s="17" t="s">
        <v>196</v>
      </c>
      <c r="B30" s="18" t="s">
        <v>197</v>
      </c>
      <c r="C30" s="19" t="s">
        <v>146</v>
      </c>
      <c r="D30" s="36">
        <v>3.1749999999999998</v>
      </c>
      <c r="E30" s="99" t="s">
        <v>198</v>
      </c>
      <c r="F30" s="20"/>
      <c r="G30" s="20"/>
      <c r="H30" s="20"/>
      <c r="I30" s="20"/>
    </row>
    <row r="31" spans="1:9" x14ac:dyDescent="0.2">
      <c r="A31" s="17" t="s">
        <v>199</v>
      </c>
      <c r="B31" s="18" t="s">
        <v>200</v>
      </c>
      <c r="C31" s="19" t="s">
        <v>146</v>
      </c>
      <c r="D31" s="36">
        <v>1.5874999999999999</v>
      </c>
      <c r="E31" s="99" t="s">
        <v>201</v>
      </c>
      <c r="F31" s="20"/>
      <c r="G31" s="20"/>
      <c r="H31" s="20"/>
      <c r="I31" s="20"/>
    </row>
    <row r="32" spans="1:9" x14ac:dyDescent="0.2">
      <c r="A32" s="17" t="s">
        <v>202</v>
      </c>
      <c r="B32" s="18" t="s">
        <v>203</v>
      </c>
      <c r="C32" s="19" t="s">
        <v>146</v>
      </c>
      <c r="D32" s="43">
        <f>elec_clear</f>
        <v>22</v>
      </c>
      <c r="E32" s="37" t="s">
        <v>204</v>
      </c>
      <c r="F32" s="20"/>
      <c r="G32" s="20"/>
      <c r="H32" s="20"/>
      <c r="I32" s="20"/>
    </row>
    <row r="33" spans="1:9" x14ac:dyDescent="0.2">
      <c r="A33" s="17" t="s">
        <v>205</v>
      </c>
      <c r="B33" s="18" t="s">
        <v>206</v>
      </c>
      <c r="C33" s="19" t="s">
        <v>146</v>
      </c>
      <c r="D33" s="36">
        <v>3.1749999999999998</v>
      </c>
      <c r="E33" s="99" t="s">
        <v>198</v>
      </c>
      <c r="F33" s="20"/>
      <c r="G33" s="20"/>
      <c r="H33" s="20"/>
      <c r="I33" s="20"/>
    </row>
    <row r="34" spans="1:9" x14ac:dyDescent="0.2">
      <c r="A34" s="17" t="s">
        <v>207</v>
      </c>
      <c r="B34" s="18" t="s">
        <v>208</v>
      </c>
      <c r="C34" s="19" t="s">
        <v>146</v>
      </c>
      <c r="D34" s="36">
        <v>1.5874999999999999</v>
      </c>
      <c r="E34" s="99" t="s">
        <v>201</v>
      </c>
      <c r="F34" s="20"/>
      <c r="G34" s="20"/>
      <c r="H34" s="20"/>
      <c r="I34" s="20"/>
    </row>
    <row r="35" spans="1:9" x14ac:dyDescent="0.2">
      <c r="A35" s="17" t="s">
        <v>209</v>
      </c>
      <c r="B35" s="18" t="s">
        <v>210</v>
      </c>
      <c r="C35" s="19" t="s">
        <v>146</v>
      </c>
      <c r="D35" s="42">
        <f>MAX(0,h_datum-elec_clear)</f>
        <v>9.876891341911417</v>
      </c>
      <c r="E35" s="99" t="s">
        <v>211</v>
      </c>
      <c r="F35" s="20"/>
      <c r="G35" s="20"/>
      <c r="H35" s="20"/>
      <c r="I35" s="20"/>
    </row>
    <row r="36" spans="1:9" x14ac:dyDescent="0.2">
      <c r="A36" s="17" t="s">
        <v>212</v>
      </c>
      <c r="B36" s="18" t="s">
        <v>213</v>
      </c>
      <c r="C36" s="19" t="s">
        <v>57</v>
      </c>
      <c r="D36" s="45">
        <f>rod_n*(PI()/4*rod_d^2)*elec_sub_L/1000</f>
        <v>0.55852504704096373</v>
      </c>
      <c r="E36" s="99" t="s">
        <v>214</v>
      </c>
      <c r="F36" s="20"/>
      <c r="G36" s="20"/>
      <c r="H36" s="20"/>
      <c r="I36" s="20"/>
    </row>
    <row r="37" spans="1:9" x14ac:dyDescent="0.2">
      <c r="A37" s="17" t="s">
        <v>215</v>
      </c>
      <c r="B37" s="18" t="s">
        <v>216</v>
      </c>
      <c r="C37" s="19" t="s">
        <v>57</v>
      </c>
      <c r="D37" s="45">
        <f>(PI()/4*spg_OD^2)*MAX(0,h_datum-spg_tip_h)/1000</f>
        <v>7.8198354893434921E-2</v>
      </c>
      <c r="E37" s="99" t="s">
        <v>217</v>
      </c>
      <c r="F37" s="20"/>
      <c r="G37" s="20"/>
      <c r="H37" s="20"/>
      <c r="I37" s="20"/>
    </row>
    <row r="38" spans="1:9" x14ac:dyDescent="0.2">
      <c r="A38" s="17" t="s">
        <v>218</v>
      </c>
      <c r="B38" s="18" t="s">
        <v>219</v>
      </c>
      <c r="C38" s="19" t="s">
        <v>146</v>
      </c>
      <c r="D38" s="45">
        <f>(eff_OD+eff_ID)/2</f>
        <v>2.3812499999999996</v>
      </c>
      <c r="E38" s="37" t="s">
        <v>220</v>
      </c>
      <c r="F38" s="20"/>
      <c r="G38" s="20"/>
      <c r="H38" s="20"/>
      <c r="I38" s="20"/>
    </row>
    <row r="39" spans="1:9" x14ac:dyDescent="0.2">
      <c r="A39" s="17" t="s">
        <v>221</v>
      </c>
      <c r="B39" s="18" t="s">
        <v>222</v>
      </c>
      <c r="C39" s="19" t="s">
        <v>57</v>
      </c>
      <c r="D39" s="46">
        <f>(PI()/4*(eff_OD^2-eff_ID^2))*eff_sub_L/1000</f>
        <v>1.4139810757041989E-2</v>
      </c>
      <c r="E39" s="37" t="s">
        <v>223</v>
      </c>
      <c r="F39" s="20"/>
      <c r="G39" s="20"/>
      <c r="H39" s="20"/>
      <c r="I39" s="20"/>
    </row>
    <row r="40" spans="1:9" x14ac:dyDescent="0.2">
      <c r="A40" s="17" t="s">
        <v>224</v>
      </c>
      <c r="B40" s="18" t="s">
        <v>225</v>
      </c>
      <c r="C40" s="19" t="s">
        <v>57</v>
      </c>
      <c r="D40" s="45">
        <f>elec_disp+spg_disp+eff_disp</f>
        <v>0.65086321269144065</v>
      </c>
      <c r="E40" s="99" t="s">
        <v>226</v>
      </c>
      <c r="F40" s="20"/>
      <c r="G40" s="20"/>
      <c r="H40" s="20"/>
      <c r="I40" s="20"/>
    </row>
    <row r="41" spans="1:9" x14ac:dyDescent="0.2">
      <c r="A41" s="113" t="s">
        <v>227</v>
      </c>
      <c r="B41" s="18" t="s">
        <v>228</v>
      </c>
      <c r="C41" s="19" t="s">
        <v>57</v>
      </c>
      <c r="D41" s="47">
        <f>IF(media_volume&gt;0,media_volume,ROUND(V_max-disp_tot,0))</f>
        <v>15</v>
      </c>
      <c r="E41" s="99" t="s">
        <v>229</v>
      </c>
      <c r="F41" s="20"/>
      <c r="G41" s="20"/>
      <c r="H41" s="20"/>
      <c r="I41" s="20"/>
    </row>
    <row r="42" spans="1:9" x14ac:dyDescent="0.2">
      <c r="A42" s="113" t="s">
        <v>230</v>
      </c>
      <c r="B42" s="18" t="s">
        <v>231</v>
      </c>
      <c r="C42" s="19" t="s">
        <v>146</v>
      </c>
      <c r="D42" s="42">
        <f>(V_charge+disp_tot)*1000/A_x</f>
        <v>31.18130412738023</v>
      </c>
      <c r="E42" s="99" t="s">
        <v>232</v>
      </c>
      <c r="F42" s="20"/>
      <c r="G42" s="20"/>
      <c r="H42" s="20"/>
      <c r="I42" s="20"/>
    </row>
    <row r="43" spans="1:9" x14ac:dyDescent="0.2">
      <c r="A43" s="113" t="s">
        <v>233</v>
      </c>
      <c r="B43" s="18" t="s">
        <v>234</v>
      </c>
      <c r="C43" s="19" t="s">
        <v>146</v>
      </c>
      <c r="D43" s="42">
        <f>MAX(0,h_actual-spg_tip_h)</f>
        <v>9.1813041273802298</v>
      </c>
      <c r="E43" s="99" t="s">
        <v>235</v>
      </c>
      <c r="F43" s="20"/>
      <c r="G43" s="20"/>
      <c r="H43" s="20"/>
      <c r="I43" s="20"/>
    </row>
    <row r="44" spans="1:9" x14ac:dyDescent="0.2">
      <c r="A44" s="113" t="s">
        <v>236</v>
      </c>
      <c r="B44" s="18" t="s">
        <v>237</v>
      </c>
      <c r="C44" s="19" t="s">
        <v>172</v>
      </c>
      <c r="D44" s="43">
        <f>A_x-(rod_n*(PI()/4*rod_d^2)+(PI()/4*spg_OD^2)+(PI()/4*eff_OD^2))</f>
        <v>429.5477251405668</v>
      </c>
      <c r="E44" s="37" t="s">
        <v>238</v>
      </c>
      <c r="F44" s="20"/>
      <c r="G44" s="20"/>
      <c r="H44" s="20"/>
      <c r="I44" s="20"/>
    </row>
    <row r="45" spans="1:9" x14ac:dyDescent="0.2">
      <c r="A45" s="17" t="s">
        <v>239</v>
      </c>
      <c r="B45" s="18" t="s">
        <v>240</v>
      </c>
      <c r="C45" s="19" t="s">
        <v>146</v>
      </c>
      <c r="D45" s="45">
        <f>eff_OD</f>
        <v>3.1749999999999998</v>
      </c>
      <c r="E45" s="37" t="s">
        <v>241</v>
      </c>
      <c r="F45" s="20"/>
      <c r="G45" s="20"/>
      <c r="H45" s="20"/>
      <c r="I45" s="20"/>
    </row>
    <row r="46" spans="1:9" x14ac:dyDescent="0.2">
      <c r="A46" s="17" t="s">
        <v>242</v>
      </c>
      <c r="B46" s="18" t="s">
        <v>243</v>
      </c>
      <c r="C46" s="19" t="s">
        <v>135</v>
      </c>
      <c r="D46" s="36">
        <v>3</v>
      </c>
      <c r="E46" s="37" t="s">
        <v>244</v>
      </c>
      <c r="F46" s="20"/>
      <c r="G46" s="20"/>
      <c r="H46" s="20"/>
      <c r="I46" s="20"/>
    </row>
    <row r="47" spans="1:9" x14ac:dyDescent="0.2">
      <c r="A47" s="17" t="s">
        <v>245</v>
      </c>
      <c r="B47" s="18" t="s">
        <v>246</v>
      </c>
      <c r="C47" s="19" t="s">
        <v>146</v>
      </c>
      <c r="D47" s="36">
        <v>5</v>
      </c>
      <c r="E47" s="41" t="s">
        <v>247</v>
      </c>
      <c r="F47" s="20"/>
      <c r="G47" s="20"/>
      <c r="H47" s="20"/>
      <c r="I47" s="20"/>
    </row>
    <row r="48" spans="1:9" x14ac:dyDescent="0.2">
      <c r="A48" s="17" t="s">
        <v>248</v>
      </c>
      <c r="B48" s="18" t="s">
        <v>249</v>
      </c>
      <c r="C48" s="19" t="s">
        <v>57</v>
      </c>
      <c r="D48" s="45">
        <f>(rod_n*(PI()/4*rod_d^2)*elec_ins+(PI()/4*spg_OD^2)*spg_len+(PI()/4*(eff_OD^2-eff_ID^2))*(D_int-h_actual)+xtube_n*(PI()/4*xtube_OD^2)*xtube_pro)/1000</f>
        <v>2.3875715440828644</v>
      </c>
      <c r="E48" s="37" t="s">
        <v>250</v>
      </c>
      <c r="F48" s="20"/>
      <c r="G48" s="20"/>
      <c r="H48" s="20"/>
      <c r="I48" s="20"/>
    </row>
    <row r="49" spans="1:9" x14ac:dyDescent="0.2">
      <c r="A49" s="113" t="s">
        <v>251</v>
      </c>
      <c r="B49" s="18" t="s">
        <v>252</v>
      </c>
      <c r="C49" s="19" t="s">
        <v>57</v>
      </c>
      <c r="D49" s="42">
        <f>V_vial_total-V_charge-V_inserts</f>
        <v>2.6124284559171356</v>
      </c>
      <c r="E49" s="37" t="s">
        <v>253</v>
      </c>
      <c r="F49" s="20"/>
      <c r="G49" s="20"/>
      <c r="H49" s="20"/>
      <c r="I49" s="20"/>
    </row>
    <row r="50" spans="1:9" x14ac:dyDescent="0.2">
      <c r="A50" s="17" t="s">
        <v>254</v>
      </c>
      <c r="B50" s="18" t="s">
        <v>255</v>
      </c>
      <c r="C50" s="19" t="s">
        <v>146</v>
      </c>
      <c r="D50" s="48">
        <f>D_int-spg_tip_h</f>
        <v>33</v>
      </c>
      <c r="E50" s="99" t="s">
        <v>256</v>
      </c>
      <c r="F50" s="20"/>
      <c r="G50" s="20"/>
      <c r="H50" s="20"/>
      <c r="I50" s="20"/>
    </row>
    <row r="51" spans="1:9" x14ac:dyDescent="0.2">
      <c r="A51" s="20" t="s">
        <v>257</v>
      </c>
      <c r="B51" s="20" t="s">
        <v>258</v>
      </c>
      <c r="C51" s="20"/>
      <c r="D51" s="24" t="str">
        <f>VLOOKUP(reactor_sel,$A$59:$B$80,2,FALSE)</f>
        <v>MEP0.3</v>
      </c>
      <c r="E51" s="20"/>
      <c r="F51" s="20"/>
      <c r="G51" s="20"/>
      <c r="H51" s="20"/>
      <c r="I51" s="20"/>
    </row>
    <row r="52" spans="1:9" x14ac:dyDescent="0.2">
      <c r="A52" s="20" t="s">
        <v>259</v>
      </c>
      <c r="B52" s="20" t="s">
        <v>260</v>
      </c>
      <c r="C52" s="20"/>
      <c r="D52" s="24">
        <f>VLOOKUP(rx_ver,$A$84:$I$87,8,FALSE)</f>
        <v>12</v>
      </c>
      <c r="E52" s="20"/>
      <c r="F52" s="20"/>
      <c r="G52" s="20"/>
      <c r="H52" s="20"/>
      <c r="I52" s="20"/>
    </row>
    <row r="53" spans="1:9" x14ac:dyDescent="0.2">
      <c r="A53" s="101" t="s">
        <v>261</v>
      </c>
      <c r="B53" s="20"/>
      <c r="C53" s="20"/>
      <c r="D53" s="20"/>
      <c r="E53" s="20"/>
      <c r="F53" s="20"/>
      <c r="G53" s="20"/>
      <c r="H53" s="20"/>
      <c r="I53" s="20"/>
    </row>
    <row r="54" spans="1:9" x14ac:dyDescent="0.2">
      <c r="A54" s="20" t="s">
        <v>262</v>
      </c>
      <c r="B54" s="20" t="s">
        <v>263</v>
      </c>
      <c r="C54" s="20"/>
      <c r="D54" s="24" t="str">
        <f>IF(V_charge&gt;V_max,"MEDIA &gt; MAX WORKING VOLUME","OK")</f>
        <v>OK</v>
      </c>
      <c r="E54" s="20"/>
      <c r="F54" s="20"/>
      <c r="G54" s="20"/>
      <c r="H54" s="20"/>
      <c r="I54" s="20"/>
    </row>
    <row r="55" spans="1:9" x14ac:dyDescent="0.2">
      <c r="A55" s="20" t="s">
        <v>264</v>
      </c>
      <c r="B55" s="20" t="s">
        <v>265</v>
      </c>
      <c r="C55" s="20"/>
      <c r="D55" s="24" t="str">
        <f>IF(h_actual&gt;D_int,"LIQUID OVER USABLE DEPTH","OK")</f>
        <v>OK</v>
      </c>
      <c r="E55" s="20"/>
      <c r="F55" s="20"/>
      <c r="G55" s="20"/>
      <c r="H55" s="20"/>
      <c r="I55" s="20"/>
    </row>
    <row r="56" spans="1:9" x14ac:dyDescent="0.2">
      <c r="A56" s="20"/>
      <c r="B56" s="20"/>
      <c r="C56" s="20"/>
      <c r="D56" s="20"/>
      <c r="E56" s="20"/>
      <c r="F56" s="20"/>
      <c r="G56" s="20"/>
      <c r="H56" s="20"/>
      <c r="I56" s="20"/>
    </row>
    <row r="57" spans="1:9" x14ac:dyDescent="0.2">
      <c r="A57" s="103" t="s">
        <v>266</v>
      </c>
      <c r="B57" s="20"/>
      <c r="C57" s="20"/>
      <c r="D57" s="20"/>
      <c r="E57" s="20"/>
      <c r="F57" s="20"/>
      <c r="G57" s="20"/>
      <c r="H57" s="20"/>
      <c r="I57" s="20"/>
    </row>
    <row r="58" spans="1:9" x14ac:dyDescent="0.2">
      <c r="A58" s="103" t="s">
        <v>1</v>
      </c>
      <c r="B58" s="103" t="s">
        <v>267</v>
      </c>
      <c r="C58" s="20"/>
      <c r="D58" s="20"/>
      <c r="E58" s="20"/>
      <c r="F58" s="20"/>
      <c r="G58" s="20"/>
      <c r="H58" s="20"/>
      <c r="I58" s="20"/>
    </row>
    <row r="59" spans="1:9" x14ac:dyDescent="0.2">
      <c r="A59" s="20" t="s">
        <v>268</v>
      </c>
      <c r="B59" s="20" t="s">
        <v>139</v>
      </c>
      <c r="C59" s="20"/>
      <c r="D59" s="20"/>
      <c r="E59" s="20"/>
      <c r="F59" s="20"/>
      <c r="G59" s="20"/>
      <c r="H59" s="20"/>
      <c r="I59" s="20"/>
    </row>
    <row r="60" spans="1:9" x14ac:dyDescent="0.2">
      <c r="A60" s="20" t="s">
        <v>269</v>
      </c>
      <c r="B60" s="20" t="s">
        <v>139</v>
      </c>
      <c r="C60" s="20"/>
      <c r="D60" s="20"/>
      <c r="E60" s="20"/>
      <c r="F60" s="20"/>
      <c r="G60" s="20"/>
      <c r="H60" s="20"/>
      <c r="I60" s="20"/>
    </row>
    <row r="61" spans="1:9" x14ac:dyDescent="0.2">
      <c r="A61" s="20" t="s">
        <v>270</v>
      </c>
      <c r="B61" s="20" t="s">
        <v>139</v>
      </c>
      <c r="C61" s="20"/>
      <c r="D61" s="20"/>
      <c r="E61" s="20"/>
      <c r="F61" s="20"/>
      <c r="G61" s="20"/>
      <c r="H61" s="20"/>
      <c r="I61" s="20"/>
    </row>
    <row r="62" spans="1:9" x14ac:dyDescent="0.2">
      <c r="A62" s="20" t="s">
        <v>271</v>
      </c>
      <c r="B62" s="20" t="s">
        <v>139</v>
      </c>
      <c r="C62" s="20"/>
      <c r="D62" s="20"/>
      <c r="E62" s="20"/>
      <c r="F62" s="20"/>
      <c r="G62" s="20"/>
      <c r="H62" s="20"/>
      <c r="I62" s="20"/>
    </row>
    <row r="63" spans="1:9" x14ac:dyDescent="0.2">
      <c r="A63" s="20" t="s">
        <v>272</v>
      </c>
      <c r="B63" s="20" t="s">
        <v>139</v>
      </c>
      <c r="C63" s="20"/>
      <c r="D63" s="20"/>
      <c r="E63" s="20"/>
      <c r="F63" s="20"/>
      <c r="G63" s="20"/>
      <c r="H63" s="20"/>
      <c r="I63" s="20"/>
    </row>
    <row r="64" spans="1:9" x14ac:dyDescent="0.2">
      <c r="A64" s="20" t="s">
        <v>273</v>
      </c>
      <c r="B64" s="20" t="s">
        <v>139</v>
      </c>
      <c r="C64" s="20"/>
      <c r="D64" s="20"/>
      <c r="E64" s="20"/>
      <c r="F64" s="20"/>
      <c r="G64" s="20"/>
      <c r="H64" s="20"/>
      <c r="I64" s="20"/>
    </row>
    <row r="65" spans="1:9" x14ac:dyDescent="0.2">
      <c r="A65" s="20" t="s">
        <v>274</v>
      </c>
      <c r="B65" s="20" t="s">
        <v>139</v>
      </c>
      <c r="C65" s="20"/>
      <c r="D65" s="20"/>
      <c r="E65" s="20"/>
      <c r="F65" s="20"/>
      <c r="G65" s="20"/>
      <c r="H65" s="20"/>
      <c r="I65" s="20"/>
    </row>
    <row r="66" spans="1:9" x14ac:dyDescent="0.2">
      <c r="A66" s="20" t="s">
        <v>275</v>
      </c>
      <c r="B66" s="20" t="s">
        <v>139</v>
      </c>
      <c r="C66" s="20"/>
      <c r="D66" s="20"/>
      <c r="E66" s="20"/>
      <c r="F66" s="20"/>
      <c r="G66" s="20"/>
      <c r="H66" s="20"/>
      <c r="I66" s="20"/>
    </row>
    <row r="67" spans="1:9" x14ac:dyDescent="0.2">
      <c r="A67" s="20" t="s">
        <v>276</v>
      </c>
      <c r="B67" s="20" t="s">
        <v>139</v>
      </c>
      <c r="C67" s="20"/>
      <c r="D67" s="20"/>
      <c r="E67" s="20"/>
      <c r="F67" s="20"/>
      <c r="G67" s="20"/>
      <c r="H67" s="20"/>
      <c r="I67" s="20"/>
    </row>
    <row r="68" spans="1:9" x14ac:dyDescent="0.2">
      <c r="A68" s="20" t="s">
        <v>16</v>
      </c>
      <c r="B68" s="20" t="s">
        <v>277</v>
      </c>
      <c r="C68" s="20"/>
      <c r="D68" s="20"/>
      <c r="E68" s="20"/>
      <c r="F68" s="20"/>
      <c r="G68" s="20"/>
      <c r="H68" s="20"/>
      <c r="I68" s="20"/>
    </row>
    <row r="69" spans="1:9" x14ac:dyDescent="0.2">
      <c r="A69" s="20" t="s">
        <v>278</v>
      </c>
      <c r="B69" s="20" t="s">
        <v>277</v>
      </c>
      <c r="C69" s="20"/>
      <c r="D69" s="20"/>
      <c r="E69" s="20"/>
      <c r="F69" s="20"/>
      <c r="G69" s="20"/>
      <c r="H69" s="20"/>
      <c r="I69" s="20"/>
    </row>
    <row r="70" spans="1:9" x14ac:dyDescent="0.2">
      <c r="A70" s="20" t="s">
        <v>279</v>
      </c>
      <c r="B70" s="20" t="s">
        <v>143</v>
      </c>
      <c r="C70" s="20"/>
      <c r="D70" s="20"/>
      <c r="E70" s="20"/>
      <c r="F70" s="20"/>
      <c r="G70" s="20"/>
      <c r="H70" s="20"/>
      <c r="I70" s="20"/>
    </row>
    <row r="71" spans="1:9" x14ac:dyDescent="0.2">
      <c r="A71" s="20" t="s">
        <v>280</v>
      </c>
      <c r="B71" s="20" t="s">
        <v>143</v>
      </c>
      <c r="C71" s="20"/>
      <c r="D71" s="20"/>
      <c r="E71" s="20"/>
      <c r="F71" s="20"/>
      <c r="G71" s="20"/>
      <c r="H71" s="20"/>
      <c r="I71" s="20"/>
    </row>
    <row r="72" spans="1:9" x14ac:dyDescent="0.2">
      <c r="A72" s="20" t="s">
        <v>281</v>
      </c>
      <c r="B72" s="20" t="s">
        <v>143</v>
      </c>
      <c r="C72" s="20"/>
      <c r="D72" s="20"/>
      <c r="E72" s="20"/>
      <c r="F72" s="20"/>
      <c r="G72" s="20"/>
      <c r="H72" s="20"/>
      <c r="I72" s="20"/>
    </row>
    <row r="73" spans="1:9" x14ac:dyDescent="0.2">
      <c r="A73" s="20" t="s">
        <v>282</v>
      </c>
      <c r="B73" s="20" t="s">
        <v>143</v>
      </c>
      <c r="C73" s="20"/>
      <c r="D73" s="20"/>
      <c r="E73" s="20"/>
      <c r="F73" s="20"/>
      <c r="G73" s="20"/>
      <c r="H73" s="20"/>
      <c r="I73" s="20"/>
    </row>
    <row r="74" spans="1:9" x14ac:dyDescent="0.2">
      <c r="A74" s="20" t="s">
        <v>283</v>
      </c>
      <c r="B74" s="20" t="s">
        <v>143</v>
      </c>
      <c r="C74" s="20"/>
      <c r="D74" s="20"/>
      <c r="E74" s="20"/>
      <c r="F74" s="20"/>
      <c r="G74" s="20"/>
      <c r="H74" s="20"/>
      <c r="I74" s="20"/>
    </row>
    <row r="75" spans="1:9" x14ac:dyDescent="0.2">
      <c r="A75" s="20" t="s">
        <v>284</v>
      </c>
      <c r="B75" s="20" t="s">
        <v>143</v>
      </c>
      <c r="C75" s="20"/>
      <c r="D75" s="20"/>
      <c r="E75" s="20"/>
      <c r="F75" s="20"/>
      <c r="G75" s="20"/>
      <c r="H75" s="20"/>
      <c r="I75" s="20"/>
    </row>
    <row r="76" spans="1:9" x14ac:dyDescent="0.2">
      <c r="A76" s="20" t="s">
        <v>285</v>
      </c>
      <c r="B76" s="20" t="s">
        <v>143</v>
      </c>
      <c r="C76" s="20"/>
      <c r="D76" s="20"/>
      <c r="E76" s="20"/>
      <c r="F76" s="20"/>
      <c r="G76" s="20"/>
      <c r="H76" s="20"/>
      <c r="I76" s="20"/>
    </row>
    <row r="77" spans="1:9" x14ac:dyDescent="0.2">
      <c r="A77" s="20" t="s">
        <v>286</v>
      </c>
      <c r="B77" s="20" t="s">
        <v>143</v>
      </c>
      <c r="C77" s="20"/>
      <c r="D77" s="20"/>
      <c r="E77" s="20"/>
      <c r="F77" s="20"/>
      <c r="G77" s="20"/>
      <c r="H77" s="20"/>
      <c r="I77" s="20"/>
    </row>
    <row r="78" spans="1:9" x14ac:dyDescent="0.2">
      <c r="A78" s="20" t="s">
        <v>287</v>
      </c>
      <c r="B78" s="20" t="s">
        <v>143</v>
      </c>
      <c r="C78" s="20"/>
      <c r="D78" s="20"/>
      <c r="E78" s="20"/>
      <c r="F78" s="20"/>
      <c r="G78" s="20"/>
      <c r="H78" s="20"/>
      <c r="I78" s="20"/>
    </row>
    <row r="79" spans="1:9" x14ac:dyDescent="0.2">
      <c r="A79" s="20" t="s">
        <v>288</v>
      </c>
      <c r="B79" s="20" t="s">
        <v>289</v>
      </c>
      <c r="C79" s="20"/>
      <c r="D79" s="20"/>
      <c r="E79" s="20"/>
      <c r="F79" s="20"/>
      <c r="G79" s="20"/>
      <c r="H79" s="20"/>
      <c r="I79" s="20"/>
    </row>
    <row r="80" spans="1:9" x14ac:dyDescent="0.2">
      <c r="A80" s="20" t="s">
        <v>290</v>
      </c>
      <c r="B80" s="20" t="s">
        <v>143</v>
      </c>
      <c r="C80" s="20"/>
      <c r="D80" s="20"/>
      <c r="E80" s="20"/>
      <c r="F80" s="20"/>
      <c r="G80" s="20"/>
      <c r="H80" s="20"/>
      <c r="I80" s="20"/>
    </row>
    <row r="81" spans="1:9" x14ac:dyDescent="0.2">
      <c r="A81" s="20"/>
      <c r="B81" s="20"/>
      <c r="C81" s="20"/>
      <c r="D81" s="20"/>
      <c r="E81" s="20"/>
      <c r="F81" s="20"/>
      <c r="G81" s="20"/>
      <c r="H81" s="20"/>
      <c r="I81" s="20"/>
    </row>
    <row r="82" spans="1:9" x14ac:dyDescent="0.2">
      <c r="A82" s="103" t="s">
        <v>291</v>
      </c>
      <c r="B82" s="20"/>
      <c r="C82" s="20"/>
      <c r="D82" s="20"/>
      <c r="E82" s="20"/>
      <c r="F82" s="20"/>
      <c r="G82" s="20"/>
      <c r="H82" s="20"/>
      <c r="I82" s="20"/>
    </row>
    <row r="83" spans="1:9" x14ac:dyDescent="0.2">
      <c r="A83" s="103" t="s">
        <v>267</v>
      </c>
      <c r="B83" s="103" t="s">
        <v>292</v>
      </c>
      <c r="C83" s="103" t="s">
        <v>293</v>
      </c>
      <c r="D83" s="103" t="s">
        <v>294</v>
      </c>
      <c r="E83" s="103" t="s">
        <v>295</v>
      </c>
      <c r="F83" s="103" t="s">
        <v>296</v>
      </c>
      <c r="G83" s="103" t="s">
        <v>297</v>
      </c>
      <c r="H83" s="103" t="s">
        <v>298</v>
      </c>
      <c r="I83" s="103" t="s">
        <v>299</v>
      </c>
    </row>
    <row r="84" spans="1:9" x14ac:dyDescent="0.2">
      <c r="A84" s="20" t="s">
        <v>139</v>
      </c>
      <c r="B84" s="20" t="s">
        <v>300</v>
      </c>
      <c r="C84" s="20">
        <v>20</v>
      </c>
      <c r="D84" s="20">
        <v>55</v>
      </c>
      <c r="E84" s="20">
        <v>16</v>
      </c>
      <c r="F84" s="20">
        <v>20</v>
      </c>
      <c r="G84" s="20">
        <v>27.48</v>
      </c>
      <c r="H84" s="20">
        <v>12</v>
      </c>
      <c r="I84" s="20">
        <v>3</v>
      </c>
    </row>
    <row r="85" spans="1:9" x14ac:dyDescent="0.2">
      <c r="A85" s="20" t="s">
        <v>277</v>
      </c>
      <c r="B85" s="20" t="s">
        <v>300</v>
      </c>
      <c r="C85" s="20">
        <v>20</v>
      </c>
      <c r="D85" s="20">
        <v>55</v>
      </c>
      <c r="E85" s="20">
        <v>16</v>
      </c>
      <c r="F85" s="20">
        <v>20</v>
      </c>
      <c r="G85" s="20">
        <v>27.48</v>
      </c>
      <c r="H85" s="20">
        <v>12</v>
      </c>
      <c r="I85" s="20">
        <v>3</v>
      </c>
    </row>
    <row r="86" spans="1:9" x14ac:dyDescent="0.2">
      <c r="A86" s="20" t="s">
        <v>143</v>
      </c>
      <c r="B86" s="20" t="s">
        <v>301</v>
      </c>
      <c r="C86" s="20">
        <v>40</v>
      </c>
      <c r="D86" s="20">
        <v>95</v>
      </c>
      <c r="E86" s="20">
        <v>30</v>
      </c>
      <c r="F86" s="20">
        <v>42</v>
      </c>
      <c r="G86" s="20">
        <v>27.48</v>
      </c>
      <c r="H86" s="20">
        <v>15</v>
      </c>
      <c r="I86" s="20">
        <v>6</v>
      </c>
    </row>
    <row r="87" spans="1:9" x14ac:dyDescent="0.2">
      <c r="A87" s="20" t="s">
        <v>289</v>
      </c>
      <c r="B87" s="20" t="s">
        <v>301</v>
      </c>
      <c r="C87" s="20">
        <v>40</v>
      </c>
      <c r="D87" s="20">
        <v>95</v>
      </c>
      <c r="E87" s="20">
        <v>30</v>
      </c>
      <c r="F87" s="20">
        <v>42</v>
      </c>
      <c r="G87" s="20">
        <v>27.48</v>
      </c>
      <c r="H87" s="20">
        <v>15</v>
      </c>
      <c r="I87" s="20">
        <v>6</v>
      </c>
    </row>
    <row r="88" spans="1:9" x14ac:dyDescent="0.2">
      <c r="A88" s="20"/>
      <c r="B88" s="20"/>
      <c r="C88" s="20"/>
      <c r="D88" s="20"/>
      <c r="E88" s="20"/>
      <c r="F88" s="20"/>
      <c r="G88" s="20"/>
      <c r="H88" s="20"/>
      <c r="I88" s="20"/>
    </row>
    <row r="89" spans="1:9" x14ac:dyDescent="0.2">
      <c r="A89" s="103" t="s">
        <v>302</v>
      </c>
      <c r="B89" s="20"/>
      <c r="C89" s="20"/>
      <c r="D89" s="20"/>
      <c r="E89" s="20"/>
      <c r="F89" s="20"/>
      <c r="G89" s="20"/>
      <c r="H89" s="20"/>
      <c r="I89" s="20"/>
    </row>
    <row r="90" spans="1:9" x14ac:dyDescent="0.2">
      <c r="A90" s="20" t="s">
        <v>303</v>
      </c>
      <c r="B90" s="20" t="s">
        <v>304</v>
      </c>
      <c r="C90" s="20"/>
      <c r="D90" s="24" t="str">
        <f>IF(ABS(A_x*D_int/1000-V_vial_total)&gt;3,"VIAL GEOMETRY INCONSISTENT - measure true fill volume &amp; bore depth","OK")</f>
        <v>VIAL GEOMETRY INCONSISTENT - measure true fill volume &amp; bore depth</v>
      </c>
      <c r="E90" s="20"/>
      <c r="F90" s="101" t="s">
        <v>305</v>
      </c>
      <c r="G90" s="20"/>
      <c r="H90" s="20"/>
      <c r="I90" s="20"/>
    </row>
    <row r="91" spans="1:9" x14ac:dyDescent="0.2">
      <c r="A91" s="5" t="s">
        <v>1465</v>
      </c>
    </row>
    <row r="92" spans="1:9" ht="36" x14ac:dyDescent="0.2">
      <c r="A92" t="s">
        <v>1466</v>
      </c>
      <c r="B92" s="18" t="s">
        <v>1467</v>
      </c>
      <c r="C92" s="19" t="s">
        <v>146</v>
      </c>
      <c r="D92" s="36">
        <v>14</v>
      </c>
      <c r="E92" s="70" t="s">
        <v>1468</v>
      </c>
    </row>
    <row r="93" spans="1:9" ht="24" x14ac:dyDescent="0.2">
      <c r="A93" t="s">
        <v>1469</v>
      </c>
      <c r="B93" s="18" t="s">
        <v>1470</v>
      </c>
      <c r="C93" s="19" t="s">
        <v>146</v>
      </c>
      <c r="D93" s="22">
        <f>MAX(0,h_actual-elec_clear)</f>
        <v>9.1813041273802298</v>
      </c>
      <c r="E93" s="99" t="s">
        <v>1471</v>
      </c>
    </row>
  </sheetData>
  <conditionalFormatting sqref="D54:D55 D90">
    <cfRule type="expression" dxfId="21" priority="1">
      <formula>OR(ISNUMBER(SEARCH("RISK",D54)),ISNUMBER(SEARCH("OVER",D54)),ISNUMBER(SEARCH("BELOW",D54)),ISNUMBER(SEARCH("EXCEED",D54)),ISNUMBER(SEARCH("NO CALIB",D54)),ISNUMBER(SEARCH("NEAREST",D54)),ISNUMBER(SEARCH("EXPLOSIVE",D54)),ISNUMBER(SEARCH("LOW",D54)),ISNUMBER(SEARCH("TIGHT",D54)),ISNUMBER(SEARCH("insufficient",D54)))</formula>
    </cfRule>
    <cfRule type="expression" dxfId="20" priority="2">
      <formula>OR(ISNUMBER(SEARCH("OK",D54)),ISNUMBER(SEARCH("calibrated",D54)),ISNUMBER(SEARCH("under optimum",D54)),ISNUMBER(SEARCH("above min",D54)),ISNUMBER(SEARCH("exact",D54)))</formula>
    </cfRule>
  </conditionalFormatting>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N122"/>
  <sheetViews>
    <sheetView zoomScale="181" workbookViewId="0">
      <selection activeCell="D45" sqref="D45"/>
    </sheetView>
  </sheetViews>
  <sheetFormatPr baseColWidth="10" defaultColWidth="8.83203125" defaultRowHeight="15" x14ac:dyDescent="0.2"/>
  <cols>
    <col min="1" max="1" width="30" customWidth="1"/>
    <col min="2" max="2" width="15" customWidth="1"/>
    <col min="4" max="4" width="11.6640625" bestFit="1" customWidth="1"/>
    <col min="5" max="5" width="60" customWidth="1"/>
  </cols>
  <sheetData>
    <row r="1" spans="1:9" ht="16" customHeight="1" x14ac:dyDescent="0.2">
      <c r="A1" s="104" t="s">
        <v>306</v>
      </c>
      <c r="B1" s="20"/>
      <c r="C1" s="20"/>
      <c r="D1" s="20"/>
      <c r="E1" s="20"/>
      <c r="F1" s="20"/>
      <c r="G1" s="20"/>
      <c r="H1" s="20"/>
      <c r="I1" s="20"/>
    </row>
    <row r="2" spans="1:9" x14ac:dyDescent="0.2">
      <c r="A2" s="16" t="s">
        <v>24</v>
      </c>
      <c r="B2" s="16" t="s">
        <v>25</v>
      </c>
      <c r="C2" s="16" t="s">
        <v>26</v>
      </c>
      <c r="D2" s="16" t="s">
        <v>27</v>
      </c>
      <c r="E2" s="16" t="s">
        <v>131</v>
      </c>
      <c r="F2" s="20"/>
      <c r="G2" s="20"/>
      <c r="H2" s="20"/>
      <c r="I2" s="20"/>
    </row>
    <row r="3" spans="1:9" x14ac:dyDescent="0.2">
      <c r="A3" s="17"/>
      <c r="B3" s="18"/>
      <c r="C3" s="19"/>
      <c r="D3" s="49"/>
      <c r="E3" s="37"/>
      <c r="F3" s="20"/>
      <c r="G3" s="20"/>
      <c r="H3" s="20"/>
      <c r="I3" s="20"/>
    </row>
    <row r="4" spans="1:9" ht="16" customHeight="1" x14ac:dyDescent="0.2">
      <c r="A4" s="104" t="s">
        <v>132</v>
      </c>
      <c r="B4" s="18"/>
      <c r="C4" s="19"/>
      <c r="D4" s="50"/>
      <c r="E4" s="51"/>
      <c r="F4" s="20"/>
      <c r="G4" s="20"/>
      <c r="H4" s="20"/>
      <c r="I4" s="20"/>
    </row>
    <row r="5" spans="1:9" x14ac:dyDescent="0.2">
      <c r="A5" s="20" t="s">
        <v>307</v>
      </c>
      <c r="B5" s="20" t="s">
        <v>308</v>
      </c>
      <c r="C5" s="20" t="s">
        <v>309</v>
      </c>
      <c r="D5" s="26">
        <f>Biology!$D$18</f>
        <v>298.14999999999998</v>
      </c>
      <c r="E5" s="23" t="str">
        <f>HYPERLINK("#Biology!D18","→ Biology")</f>
        <v>→ Biology</v>
      </c>
      <c r="F5" s="20"/>
      <c r="G5" s="20"/>
      <c r="H5" s="20"/>
      <c r="I5" s="20"/>
    </row>
    <row r="6" spans="1:9" x14ac:dyDescent="0.2">
      <c r="A6" s="20" t="s">
        <v>310</v>
      </c>
      <c r="B6" s="20" t="s">
        <v>311</v>
      </c>
      <c r="C6" s="20" t="s">
        <v>62</v>
      </c>
      <c r="D6" s="26">
        <f>Biology!$D$19</f>
        <v>101325</v>
      </c>
      <c r="E6" s="23" t="str">
        <f>HYPERLINK("#Biology!D19","→ Biology")</f>
        <v>→ Biology</v>
      </c>
      <c r="F6" s="20"/>
      <c r="G6" s="20"/>
      <c r="H6" s="20"/>
      <c r="I6" s="20"/>
    </row>
    <row r="7" spans="1:9" x14ac:dyDescent="0.2">
      <c r="A7" s="20" t="s">
        <v>312</v>
      </c>
      <c r="B7" s="20" t="s">
        <v>313</v>
      </c>
      <c r="C7" s="20" t="s">
        <v>314</v>
      </c>
      <c r="D7" s="22">
        <f>'Mass Transfer'!$D$101</f>
        <v>8.3144626180000003</v>
      </c>
      <c r="E7" s="23" t="str">
        <f>HYPERLINK("#'Mass Transfer'!D101","→ Mass Transfer")</f>
        <v>→ Mass Transfer</v>
      </c>
      <c r="F7" s="20"/>
      <c r="G7" s="20"/>
      <c r="H7" s="20"/>
      <c r="I7" s="20"/>
    </row>
    <row r="8" spans="1:9" x14ac:dyDescent="0.2">
      <c r="A8" s="20" t="s">
        <v>315</v>
      </c>
      <c r="B8" s="20" t="s">
        <v>34</v>
      </c>
      <c r="C8" s="20"/>
      <c r="D8" s="38" t="str">
        <f>Summary!$D$3</f>
        <v>Pt/Ti rod</v>
      </c>
      <c r="E8" s="23" t="str">
        <f>HYPERLINK("#Summary!D3","→ Summary")</f>
        <v>→ Summary</v>
      </c>
      <c r="F8" s="20"/>
      <c r="G8" s="20"/>
      <c r="H8" s="20"/>
      <c r="I8" s="20"/>
    </row>
    <row r="9" spans="1:9" x14ac:dyDescent="0.2">
      <c r="A9" s="17"/>
      <c r="B9" s="18"/>
      <c r="C9" s="19"/>
      <c r="D9" s="52"/>
      <c r="E9" s="99"/>
      <c r="F9" s="20"/>
      <c r="G9" s="20"/>
      <c r="H9" s="20"/>
      <c r="I9" s="20"/>
    </row>
    <row r="10" spans="1:9" x14ac:dyDescent="0.2">
      <c r="A10" s="17" t="s">
        <v>316</v>
      </c>
      <c r="B10" s="18" t="s">
        <v>317</v>
      </c>
      <c r="C10" s="19" t="s">
        <v>45</v>
      </c>
      <c r="D10" s="53">
        <f>Summary!$D$6</f>
        <v>3</v>
      </c>
      <c r="E10" s="37" t="s">
        <v>318</v>
      </c>
      <c r="F10" s="20"/>
      <c r="G10" s="20"/>
      <c r="H10" s="20"/>
      <c r="I10" s="20"/>
    </row>
    <row r="11" spans="1:9" ht="36" customHeight="1" x14ac:dyDescent="0.2">
      <c r="A11" s="17" t="s">
        <v>319</v>
      </c>
      <c r="B11" s="18" t="s">
        <v>320</v>
      </c>
      <c r="C11" s="19" t="s">
        <v>321</v>
      </c>
      <c r="D11" s="22">
        <f>IF(ISNUMBER(cal_gerrit_slope),cal_gerrit_slope,1.03)</f>
        <v>1.03</v>
      </c>
      <c r="E11" s="109" t="s">
        <v>322</v>
      </c>
      <c r="F11" s="20"/>
      <c r="G11" s="20"/>
      <c r="H11" s="20"/>
      <c r="I11" s="20"/>
    </row>
    <row r="12" spans="1:9" x14ac:dyDescent="0.2">
      <c r="A12" s="17" t="s">
        <v>323</v>
      </c>
      <c r="B12" s="18" t="s">
        <v>324</v>
      </c>
      <c r="C12" s="19" t="s">
        <v>325</v>
      </c>
      <c r="D12" s="22">
        <f>IF(ISNUMBER(cal_gerrit_int),cal_gerrit_int,2.6)</f>
        <v>2.6</v>
      </c>
      <c r="E12" s="109" t="s">
        <v>326</v>
      </c>
      <c r="F12" s="20"/>
      <c r="G12" s="20"/>
      <c r="H12" s="20"/>
      <c r="I12" s="20"/>
    </row>
    <row r="13" spans="1:9" x14ac:dyDescent="0.2">
      <c r="A13" s="17" t="s">
        <v>327</v>
      </c>
      <c r="B13" s="18" t="s">
        <v>328</v>
      </c>
      <c r="C13" s="19" t="s">
        <v>45</v>
      </c>
      <c r="D13" s="55">
        <v>3</v>
      </c>
      <c r="E13" s="51" t="s">
        <v>329</v>
      </c>
      <c r="F13" s="20"/>
      <c r="G13" s="20"/>
      <c r="H13" s="20"/>
      <c r="I13" s="20"/>
    </row>
    <row r="14" spans="1:9" x14ac:dyDescent="0.2">
      <c r="A14" s="17" t="s">
        <v>330</v>
      </c>
      <c r="B14" s="18" t="s">
        <v>331</v>
      </c>
      <c r="C14" s="19" t="s">
        <v>45</v>
      </c>
      <c r="D14" s="55">
        <v>25</v>
      </c>
      <c r="E14" s="51" t="s">
        <v>332</v>
      </c>
      <c r="F14" s="20"/>
      <c r="G14" s="20"/>
      <c r="H14" s="20"/>
      <c r="I14" s="20"/>
    </row>
    <row r="15" spans="1:9" x14ac:dyDescent="0.2">
      <c r="A15" s="17" t="s">
        <v>333</v>
      </c>
      <c r="B15" s="18" t="s">
        <v>334</v>
      </c>
      <c r="C15" s="19" t="s">
        <v>335</v>
      </c>
      <c r="D15" s="56">
        <v>96485.332120000006</v>
      </c>
      <c r="E15" s="100" t="s">
        <v>336</v>
      </c>
      <c r="F15" s="20"/>
      <c r="G15" s="20"/>
      <c r="H15" s="20"/>
      <c r="I15" s="20"/>
    </row>
    <row r="16" spans="1:9" x14ac:dyDescent="0.2">
      <c r="A16" s="17" t="s">
        <v>337</v>
      </c>
      <c r="B16" s="18" t="s">
        <v>338</v>
      </c>
      <c r="C16" s="19" t="s">
        <v>135</v>
      </c>
      <c r="D16" s="52">
        <v>2</v>
      </c>
      <c r="E16" s="99" t="s">
        <v>339</v>
      </c>
      <c r="F16" s="20"/>
      <c r="G16" s="20"/>
      <c r="H16" s="20"/>
      <c r="I16" s="20"/>
    </row>
    <row r="17" spans="1:9" x14ac:dyDescent="0.2">
      <c r="A17" s="17" t="s">
        <v>340</v>
      </c>
      <c r="B17" s="18" t="s">
        <v>341</v>
      </c>
      <c r="C17" s="19" t="s">
        <v>135</v>
      </c>
      <c r="D17" s="52">
        <v>4</v>
      </c>
      <c r="E17" s="99" t="s">
        <v>342</v>
      </c>
      <c r="F17" s="20"/>
      <c r="G17" s="20"/>
      <c r="H17" s="20"/>
      <c r="I17" s="20"/>
    </row>
    <row r="18" spans="1:9" ht="24" customHeight="1" x14ac:dyDescent="0.2">
      <c r="A18" s="17" t="s">
        <v>343</v>
      </c>
      <c r="B18" s="18" t="s">
        <v>344</v>
      </c>
      <c r="C18" s="19" t="s">
        <v>135</v>
      </c>
      <c r="D18" s="108">
        <f>IF(ISNUMBER(cal_etaF),cal_etaF,etaF_calc)</f>
        <v>0.97747529865232907</v>
      </c>
      <c r="E18" s="67" t="s">
        <v>1754</v>
      </c>
      <c r="F18" s="20"/>
      <c r="G18" s="20"/>
      <c r="H18" s="20"/>
      <c r="I18" s="20"/>
    </row>
    <row r="19" spans="1:9" ht="24" customHeight="1" x14ac:dyDescent="0.2">
      <c r="A19" s="17" t="s">
        <v>345</v>
      </c>
      <c r="B19" s="18" t="s">
        <v>346</v>
      </c>
      <c r="C19" s="19" t="s">
        <v>347</v>
      </c>
      <c r="D19" s="46">
        <f>(gerrit_slope*intensity+gerrit_int)/1000</f>
        <v>5.6899999999999997E-3</v>
      </c>
      <c r="E19" s="51" t="s">
        <v>348</v>
      </c>
      <c r="F19" s="20"/>
      <c r="G19" s="20"/>
      <c r="H19" s="20"/>
      <c r="I19" s="20"/>
    </row>
    <row r="20" spans="1:9" ht="24" customHeight="1" x14ac:dyDescent="0.2">
      <c r="A20" s="17" t="s">
        <v>349</v>
      </c>
      <c r="B20" s="18" t="s">
        <v>350</v>
      </c>
      <c r="C20" s="19" t="s">
        <v>135</v>
      </c>
      <c r="D20" s="58" t="str">
        <f>IF(AND(intensity&gt;=gerrit_min,intensity&lt;=gerrit_max),"OK","OUT")</f>
        <v>OK</v>
      </c>
      <c r="E20" s="51" t="s">
        <v>351</v>
      </c>
      <c r="F20" s="20"/>
      <c r="G20" s="20"/>
      <c r="H20" s="20"/>
      <c r="I20" s="20"/>
    </row>
    <row r="21" spans="1:9" x14ac:dyDescent="0.2">
      <c r="A21" s="17" t="s">
        <v>352</v>
      </c>
      <c r="B21" s="18" t="s">
        <v>353</v>
      </c>
      <c r="C21" s="19" t="s">
        <v>354</v>
      </c>
      <c r="D21" s="48">
        <f>I_app*etaF/(z_e_H2*F_const)*3600</f>
        <v>1.0375983363301247E-4</v>
      </c>
      <c r="E21" s="99" t="s">
        <v>355</v>
      </c>
      <c r="F21" s="20"/>
      <c r="G21" s="20"/>
      <c r="H21" s="20"/>
      <c r="I21" s="20"/>
    </row>
    <row r="22" spans="1:9" x14ac:dyDescent="0.2">
      <c r="A22" s="17" t="s">
        <v>356</v>
      </c>
      <c r="B22" s="18" t="s">
        <v>357</v>
      </c>
      <c r="C22" s="19" t="s">
        <v>354</v>
      </c>
      <c r="D22" s="48">
        <f>I_app*etaF_OER/(z_e_O2*F_const)*3600</f>
        <v>5.3075424911539388E-5</v>
      </c>
      <c r="E22" s="99" t="s">
        <v>358</v>
      </c>
      <c r="F22" s="20"/>
      <c r="G22" s="20"/>
      <c r="H22" s="20"/>
      <c r="I22" s="20"/>
    </row>
    <row r="23" spans="1:9" x14ac:dyDescent="0.2">
      <c r="A23" s="17" t="s">
        <v>359</v>
      </c>
      <c r="B23" s="18" t="s">
        <v>360</v>
      </c>
      <c r="C23" s="19" t="s">
        <v>361</v>
      </c>
      <c r="D23" s="48">
        <f>rH2_gen/60*R_gas*T_K/P_atm*1000000</f>
        <v>4.2308770288706304E-2</v>
      </c>
      <c r="E23" s="99" t="s">
        <v>362</v>
      </c>
      <c r="F23" s="20"/>
      <c r="G23" s="20"/>
      <c r="H23" s="20"/>
      <c r="I23" s="20"/>
    </row>
    <row r="24" spans="1:9" x14ac:dyDescent="0.2">
      <c r="A24" s="17" t="s">
        <v>363</v>
      </c>
      <c r="B24" s="18" t="s">
        <v>364</v>
      </c>
      <c r="C24" s="19" t="s">
        <v>361</v>
      </c>
      <c r="D24" s="48">
        <f>rO2_gen/60*R_gas*T_K/P_atm*1000000</f>
        <v>2.1641861613811882E-2</v>
      </c>
      <c r="E24" s="99" t="s">
        <v>365</v>
      </c>
      <c r="F24" s="20"/>
      <c r="G24" s="20"/>
      <c r="H24" s="20"/>
      <c r="I24" s="20"/>
    </row>
    <row r="25" spans="1:9" ht="24" customHeight="1" x14ac:dyDescent="0.2">
      <c r="A25" s="17" t="s">
        <v>366</v>
      </c>
      <c r="B25" s="18" t="s">
        <v>367</v>
      </c>
      <c r="C25" s="19" t="s">
        <v>361</v>
      </c>
      <c r="D25" s="48">
        <f>V_H2_gen+V_O2_gen</f>
        <v>6.3950631902518179E-2</v>
      </c>
      <c r="E25" s="99" t="s">
        <v>368</v>
      </c>
      <c r="F25" s="20"/>
      <c r="G25" s="20"/>
      <c r="H25" s="20"/>
      <c r="I25" s="20"/>
    </row>
    <row r="26" spans="1:9" ht="36" x14ac:dyDescent="0.2">
      <c r="A26" s="17" t="s">
        <v>369</v>
      </c>
      <c r="B26" s="18" t="s">
        <v>370</v>
      </c>
      <c r="C26" s="19" t="s">
        <v>135</v>
      </c>
      <c r="D26" s="108">
        <f>IF(ISNUMBER(cal_etaF_OER),cal_etaF_OER,etaF_OER_calc)</f>
        <v>1</v>
      </c>
      <c r="E26" s="67" t="s">
        <v>1755</v>
      </c>
      <c r="F26" s="20"/>
      <c r="G26" s="20"/>
      <c r="H26" s="20"/>
      <c r="I26" s="20"/>
    </row>
    <row r="27" spans="1:9" ht="24" customHeight="1" x14ac:dyDescent="0.2">
      <c r="A27" s="17" t="s">
        <v>371</v>
      </c>
      <c r="B27" s="18" t="s">
        <v>372</v>
      </c>
      <c r="C27" s="19" t="s">
        <v>135</v>
      </c>
      <c r="D27" s="40">
        <f>VLOOKUP(electrode_sel,$A$35:$I$38,9,FALSE)</f>
        <v>2</v>
      </c>
      <c r="E27" s="114" t="s">
        <v>373</v>
      </c>
      <c r="F27" s="20"/>
      <c r="G27" s="20"/>
      <c r="H27" s="20"/>
      <c r="I27" s="20"/>
    </row>
    <row r="28" spans="1:9" x14ac:dyDescent="0.2">
      <c r="A28" s="17" t="s">
        <v>374</v>
      </c>
      <c r="B28" s="18" t="s">
        <v>375</v>
      </c>
      <c r="C28" s="19" t="s">
        <v>354</v>
      </c>
      <c r="D28" s="48">
        <f>I_app*(1-etaF)/(z_e_ORR*F_const)*3600</f>
        <v>2.3910161900663165E-6</v>
      </c>
      <c r="E28" s="99" t="s">
        <v>376</v>
      </c>
      <c r="F28" s="20"/>
      <c r="G28" s="20"/>
      <c r="H28" s="20"/>
      <c r="I28" s="20"/>
    </row>
    <row r="29" spans="1:9" x14ac:dyDescent="0.2">
      <c r="A29" s="17" t="s">
        <v>377</v>
      </c>
      <c r="B29" s="18" t="s">
        <v>378</v>
      </c>
      <c r="C29" s="19" t="s">
        <v>354</v>
      </c>
      <c r="D29" s="48">
        <f>rO2_gen-O2_cathode_ORR</f>
        <v>5.0684408721473073E-5</v>
      </c>
      <c r="E29" s="99" t="s">
        <v>379</v>
      </c>
      <c r="F29" s="20"/>
      <c r="G29" s="20"/>
      <c r="H29" s="20"/>
      <c r="I29" s="20"/>
    </row>
    <row r="30" spans="1:9" x14ac:dyDescent="0.2">
      <c r="A30" s="101" t="s">
        <v>380</v>
      </c>
      <c r="B30" s="20"/>
      <c r="C30" s="20"/>
      <c r="D30" s="20"/>
      <c r="E30" s="20"/>
      <c r="F30" s="20"/>
      <c r="G30" s="20"/>
      <c r="H30" s="20"/>
      <c r="I30" s="20"/>
    </row>
    <row r="31" spans="1:9" x14ac:dyDescent="0.2">
      <c r="A31" s="20" t="s">
        <v>381</v>
      </c>
      <c r="B31" s="20" t="s">
        <v>382</v>
      </c>
      <c r="C31" s="20"/>
      <c r="D31" s="24" t="str">
        <f>VLOOKUP(electrode_sel,$A$35:$I$38,4,FALSE)</f>
        <v>Tube</v>
      </c>
      <c r="E31" s="20"/>
      <c r="F31" s="20"/>
      <c r="G31" s="20"/>
      <c r="H31" s="20"/>
      <c r="I31" s="20"/>
    </row>
    <row r="32" spans="1:9" x14ac:dyDescent="0.2">
      <c r="A32" s="20" t="s">
        <v>383</v>
      </c>
      <c r="B32" s="20" t="s">
        <v>384</v>
      </c>
      <c r="C32" s="20"/>
      <c r="D32" s="24">
        <f>IF(ISNUMBER(cal_sinter),cal_sinter,IF(ISNUMBER(VLOOKUP(electrode_sel,$A$35:$I$38,5,FALSE)),VLOOKUP(electrode_sel,$A$35:$I$38,5,FALSE),0))</f>
        <v>0</v>
      </c>
      <c r="E32" s="101" t="s">
        <v>385</v>
      </c>
      <c r="F32" s="20"/>
      <c r="G32" s="20"/>
      <c r="H32" s="59"/>
      <c r="I32" s="20"/>
    </row>
    <row r="33" spans="1:14" x14ac:dyDescent="0.2">
      <c r="A33" s="103" t="s">
        <v>386</v>
      </c>
      <c r="B33" s="20"/>
      <c r="C33" s="20"/>
      <c r="D33" s="20"/>
      <c r="E33" s="20"/>
      <c r="F33" s="20"/>
      <c r="G33" s="20"/>
      <c r="H33" s="20"/>
      <c r="I33" s="20"/>
    </row>
    <row r="34" spans="1:14" x14ac:dyDescent="0.2">
      <c r="A34" s="103" t="s">
        <v>33</v>
      </c>
      <c r="B34" s="103" t="s">
        <v>387</v>
      </c>
      <c r="C34" s="103" t="s">
        <v>388</v>
      </c>
      <c r="D34" s="103" t="s">
        <v>389</v>
      </c>
      <c r="E34" s="103" t="s">
        <v>390</v>
      </c>
      <c r="F34" s="103" t="s">
        <v>391</v>
      </c>
      <c r="G34" s="103" t="s">
        <v>392</v>
      </c>
      <c r="H34" s="103" t="s">
        <v>344</v>
      </c>
      <c r="I34" s="103" t="s">
        <v>372</v>
      </c>
      <c r="J34" s="103" t="s">
        <v>1294</v>
      </c>
      <c r="K34" s="103" t="s">
        <v>1295</v>
      </c>
      <c r="L34" s="103" t="s">
        <v>1296</v>
      </c>
      <c r="M34" s="103" t="s">
        <v>1297</v>
      </c>
      <c r="N34" s="103" t="s">
        <v>1298</v>
      </c>
    </row>
    <row r="35" spans="1:14" x14ac:dyDescent="0.2">
      <c r="A35" s="20" t="s">
        <v>393</v>
      </c>
      <c r="B35" s="20" t="s">
        <v>394</v>
      </c>
      <c r="C35" s="20">
        <v>6</v>
      </c>
      <c r="D35" s="20" t="s">
        <v>395</v>
      </c>
      <c r="E35" s="20" t="s">
        <v>396</v>
      </c>
      <c r="F35" s="20" t="s">
        <v>397</v>
      </c>
      <c r="G35" s="20">
        <v>6</v>
      </c>
      <c r="H35" s="59" t="s">
        <v>398</v>
      </c>
      <c r="I35" s="20">
        <v>2</v>
      </c>
      <c r="J35" s="20" t="s">
        <v>1299</v>
      </c>
      <c r="K35" s="20">
        <v>100</v>
      </c>
      <c r="L35" s="20">
        <v>500</v>
      </c>
      <c r="M35" s="20" t="s">
        <v>1299</v>
      </c>
      <c r="N35" s="20" t="s">
        <v>1300</v>
      </c>
    </row>
    <row r="36" spans="1:14" x14ac:dyDescent="0.2">
      <c r="A36" s="20" t="s">
        <v>399</v>
      </c>
      <c r="B36" s="20" t="s">
        <v>400</v>
      </c>
      <c r="C36" s="20">
        <v>6</v>
      </c>
      <c r="D36" s="20" t="s">
        <v>395</v>
      </c>
      <c r="E36" s="20" t="s">
        <v>396</v>
      </c>
      <c r="F36" s="20" t="s">
        <v>397</v>
      </c>
      <c r="G36" s="20">
        <v>6</v>
      </c>
      <c r="H36" s="59" t="s">
        <v>398</v>
      </c>
      <c r="I36" s="20">
        <v>2</v>
      </c>
      <c r="J36" s="20" t="s">
        <v>1299</v>
      </c>
      <c r="K36" s="20">
        <v>50</v>
      </c>
      <c r="L36" s="20">
        <v>500</v>
      </c>
      <c r="M36" s="20" t="s">
        <v>1299</v>
      </c>
      <c r="N36" s="20" t="s">
        <v>1301</v>
      </c>
    </row>
    <row r="37" spans="1:14" x14ac:dyDescent="0.2">
      <c r="A37" s="20" t="s">
        <v>35</v>
      </c>
      <c r="B37" s="20" t="s">
        <v>400</v>
      </c>
      <c r="C37" s="20">
        <v>6</v>
      </c>
      <c r="D37" s="20" t="s">
        <v>401</v>
      </c>
      <c r="E37" s="59">
        <v>0</v>
      </c>
      <c r="F37" s="20" t="s">
        <v>397</v>
      </c>
      <c r="G37" s="20">
        <v>6</v>
      </c>
      <c r="H37" s="59" t="s">
        <v>398</v>
      </c>
      <c r="I37" s="20">
        <v>2</v>
      </c>
      <c r="J37" s="20" t="s">
        <v>1302</v>
      </c>
      <c r="K37" s="20">
        <v>10</v>
      </c>
      <c r="L37" s="20">
        <v>60</v>
      </c>
      <c r="M37" s="20" t="s">
        <v>1299</v>
      </c>
      <c r="N37" s="20" t="s">
        <v>1303</v>
      </c>
    </row>
    <row r="38" spans="1:14" x14ac:dyDescent="0.2">
      <c r="A38" s="20" t="s">
        <v>1304</v>
      </c>
      <c r="B38" s="20" t="s">
        <v>1305</v>
      </c>
      <c r="C38" s="20">
        <v>6</v>
      </c>
      <c r="D38" s="20" t="s">
        <v>395</v>
      </c>
      <c r="E38" s="20" t="s">
        <v>396</v>
      </c>
      <c r="F38" s="20" t="s">
        <v>397</v>
      </c>
      <c r="G38" s="20">
        <v>6</v>
      </c>
      <c r="H38" s="59" t="s">
        <v>398</v>
      </c>
      <c r="I38" s="20">
        <v>2</v>
      </c>
      <c r="J38" s="20" t="s">
        <v>1299</v>
      </c>
      <c r="K38" s="20">
        <v>35</v>
      </c>
      <c r="L38" s="20">
        <v>50</v>
      </c>
      <c r="M38" s="20" t="s">
        <v>1299</v>
      </c>
      <c r="N38" s="20" t="s">
        <v>1306</v>
      </c>
    </row>
    <row r="39" spans="1:14" x14ac:dyDescent="0.2">
      <c r="A39" s="20"/>
      <c r="B39" s="20"/>
      <c r="C39" s="20"/>
      <c r="D39" s="28"/>
      <c r="E39" s="20"/>
      <c r="F39" s="20"/>
      <c r="G39" s="20"/>
      <c r="H39" s="20"/>
      <c r="I39" s="20"/>
    </row>
    <row r="40" spans="1:14" ht="16" x14ac:dyDescent="0.2">
      <c r="A40" s="104" t="s">
        <v>1307</v>
      </c>
    </row>
    <row r="41" spans="1:14" x14ac:dyDescent="0.2">
      <c r="A41" s="17" t="s">
        <v>1308</v>
      </c>
      <c r="B41" s="18" t="s">
        <v>1309</v>
      </c>
      <c r="C41" s="19" t="s">
        <v>135</v>
      </c>
      <c r="D41" s="48" t="str">
        <f>VLOOKUP(electrode_sel,$A$35:$N$38,10,FALSE)</f>
        <v>rod</v>
      </c>
      <c r="E41" s="99" t="s">
        <v>1310</v>
      </c>
    </row>
    <row r="42" spans="1:14" x14ac:dyDescent="0.2">
      <c r="A42" s="17" t="s">
        <v>1311</v>
      </c>
      <c r="B42" s="18" t="s">
        <v>1312</v>
      </c>
      <c r="C42" s="19" t="s">
        <v>146</v>
      </c>
      <c r="D42" s="48">
        <f>VLOOKUP(electrode_sel,$A$35:$N$38,3,FALSE)</f>
        <v>6</v>
      </c>
      <c r="E42" s="99" t="s">
        <v>1313</v>
      </c>
    </row>
    <row r="43" spans="1:14" x14ac:dyDescent="0.2">
      <c r="A43" s="17" t="s">
        <v>1314</v>
      </c>
      <c r="B43" s="18" t="s">
        <v>1315</v>
      </c>
      <c r="C43" s="19" t="s">
        <v>135</v>
      </c>
      <c r="D43" s="48" t="str">
        <f>VLOOKUP(electrode_sel,$A$35:$N$38,13,FALSE)</f>
        <v>rod</v>
      </c>
      <c r="E43" s="99" t="s">
        <v>1316</v>
      </c>
    </row>
    <row r="44" spans="1:14" x14ac:dyDescent="0.2">
      <c r="A44" s="17" t="s">
        <v>1317</v>
      </c>
      <c r="B44" s="18" t="s">
        <v>1318</v>
      </c>
      <c r="C44" s="19" t="s">
        <v>146</v>
      </c>
      <c r="D44" s="48">
        <f>VLOOKUP(electrode_sel,$A$35:$N$38,7,FALSE)</f>
        <v>6</v>
      </c>
      <c r="E44" s="99" t="s">
        <v>1313</v>
      </c>
    </row>
    <row r="45" spans="1:14" ht="36" x14ac:dyDescent="0.2">
      <c r="A45" s="17" t="s">
        <v>1319</v>
      </c>
      <c r="B45" s="18" t="s">
        <v>1320</v>
      </c>
      <c r="C45" s="19" t="s">
        <v>146</v>
      </c>
      <c r="D45" s="48">
        <f>Geometry!$D$93</f>
        <v>9.1813041273802298</v>
      </c>
      <c r="E45" s="99" t="s">
        <v>1472</v>
      </c>
    </row>
    <row r="46" spans="1:14" x14ac:dyDescent="0.2">
      <c r="A46" s="17" t="s">
        <v>1071</v>
      </c>
      <c r="B46" s="18" t="s">
        <v>1321</v>
      </c>
      <c r="C46" s="19" t="s">
        <v>1073</v>
      </c>
      <c r="D46" s="48">
        <f>(PI()*anode_dia*L_sub+IF(anode_shape="rod",PI()/4*anode_dia^2,0))/100</f>
        <v>2.013378394640164</v>
      </c>
      <c r="E46" s="99" t="s">
        <v>1322</v>
      </c>
    </row>
    <row r="47" spans="1:14" x14ac:dyDescent="0.2">
      <c r="A47" s="17" t="s">
        <v>1323</v>
      </c>
      <c r="B47" s="18" t="s">
        <v>1324</v>
      </c>
      <c r="C47" s="19" t="s">
        <v>1073</v>
      </c>
      <c r="D47" s="48">
        <f>(PI()*cathode_dia*L_sub+IF(cathode_shape="rod",PI()/4*cathode_dia^2,0))/100</f>
        <v>2.013378394640164</v>
      </c>
      <c r="E47" s="99" t="s">
        <v>1325</v>
      </c>
    </row>
    <row r="48" spans="1:14" x14ac:dyDescent="0.2">
      <c r="A48" s="17" t="s">
        <v>1281</v>
      </c>
      <c r="B48" s="18" t="s">
        <v>1326</v>
      </c>
      <c r="C48" s="19" t="s">
        <v>1282</v>
      </c>
      <c r="D48" s="48">
        <f>I_app*1000/A_anode_wet</f>
        <v>2.8260956882955579</v>
      </c>
      <c r="E48" s="99" t="s">
        <v>1327</v>
      </c>
    </row>
    <row r="49" spans="1:5" x14ac:dyDescent="0.2">
      <c r="A49" s="17" t="s">
        <v>1328</v>
      </c>
      <c r="B49" s="18" t="s">
        <v>1329</v>
      </c>
      <c r="C49" s="19" t="s">
        <v>1282</v>
      </c>
      <c r="D49" s="48">
        <f>I_app*1000/A_cath_wet</f>
        <v>2.8260956882955579</v>
      </c>
      <c r="E49" s="99" t="s">
        <v>1330</v>
      </c>
    </row>
    <row r="50" spans="1:5" x14ac:dyDescent="0.2">
      <c r="A50" s="17" t="s">
        <v>1331</v>
      </c>
      <c r="B50" s="18" t="s">
        <v>1332</v>
      </c>
      <c r="C50" s="19" t="s">
        <v>1282</v>
      </c>
      <c r="D50" s="48">
        <f>VLOOKUP(electrode_sel,$A$35:$N$38,11,FALSE)</f>
        <v>100</v>
      </c>
      <c r="E50" s="99" t="s">
        <v>1333</v>
      </c>
    </row>
    <row r="51" spans="1:5" x14ac:dyDescent="0.2">
      <c r="A51" s="17" t="s">
        <v>1334</v>
      </c>
      <c r="B51" s="18" t="s">
        <v>1335</v>
      </c>
      <c r="C51" s="19" t="s">
        <v>1282</v>
      </c>
      <c r="D51" s="48">
        <f>VLOOKUP(electrode_sel,$A$35:$N$38,12,FALSE)</f>
        <v>500</v>
      </c>
      <c r="E51" s="99" t="s">
        <v>1336</v>
      </c>
    </row>
    <row r="52" spans="1:5" x14ac:dyDescent="0.2">
      <c r="A52" s="17" t="s">
        <v>1337</v>
      </c>
      <c r="B52" s="18" t="s">
        <v>1338</v>
      </c>
      <c r="C52" s="19" t="s">
        <v>1282</v>
      </c>
      <c r="D52" s="52">
        <v>80</v>
      </c>
      <c r="E52" s="51" t="s">
        <v>1339</v>
      </c>
    </row>
    <row r="53" spans="1:5" x14ac:dyDescent="0.2">
      <c r="A53" s="17" t="s">
        <v>1340</v>
      </c>
      <c r="B53" s="18" t="s">
        <v>1341</v>
      </c>
      <c r="C53" s="19" t="s">
        <v>1282</v>
      </c>
      <c r="D53" s="52">
        <v>250</v>
      </c>
      <c r="E53" s="51" t="s">
        <v>1342</v>
      </c>
    </row>
    <row r="54" spans="1:5" x14ac:dyDescent="0.2">
      <c r="A54" s="17" t="s">
        <v>1343</v>
      </c>
      <c r="B54" s="18" t="s">
        <v>1344</v>
      </c>
      <c r="C54" s="19" t="s">
        <v>1282</v>
      </c>
      <c r="D54" s="52">
        <v>1</v>
      </c>
      <c r="E54" s="114" t="s">
        <v>1345</v>
      </c>
    </row>
    <row r="55" spans="1:5" x14ac:dyDescent="0.2">
      <c r="A55" s="17" t="s">
        <v>1346</v>
      </c>
      <c r="B55" s="18" t="s">
        <v>1347</v>
      </c>
      <c r="C55" s="19" t="s">
        <v>1282</v>
      </c>
      <c r="D55" s="52">
        <v>2</v>
      </c>
      <c r="E55" s="114" t="s">
        <v>1348</v>
      </c>
    </row>
    <row r="56" spans="1:5" x14ac:dyDescent="0.2">
      <c r="A56" s="17" t="s">
        <v>1349</v>
      </c>
      <c r="B56" s="18" t="s">
        <v>1350</v>
      </c>
      <c r="C56" s="19" t="s">
        <v>1282</v>
      </c>
      <c r="D56" s="48">
        <f>IF(ISNUMBER(cal_j_opt),cal_j_opt,IFERROR(VLOOKUP(Summary!$D$4,$A$66:$E$71,2,FALSE),j_opt_default))</f>
        <v>2.14</v>
      </c>
      <c r="E56" s="99" t="s">
        <v>1351</v>
      </c>
    </row>
    <row r="57" spans="1:5" x14ac:dyDescent="0.2">
      <c r="A57" s="17" t="s">
        <v>1352</v>
      </c>
      <c r="B57" s="18" t="s">
        <v>1353</v>
      </c>
      <c r="C57" s="19" t="s">
        <v>1282</v>
      </c>
      <c r="D57" s="48">
        <f>IF(ISNUMBER(cal_j_ceiling),cal_j_ceiling,IFERROR(VLOOKUP(Summary!$D$4,$A$66:$E$71,3,FALSE),j_ceiling_default))</f>
        <v>4.29</v>
      </c>
      <c r="E57" s="99" t="s">
        <v>1354</v>
      </c>
    </row>
    <row r="58" spans="1:5" x14ac:dyDescent="0.2">
      <c r="A58" s="17" t="s">
        <v>1355</v>
      </c>
      <c r="B58" s="18" t="s">
        <v>1356</v>
      </c>
      <c r="C58" s="19" t="s">
        <v>135</v>
      </c>
      <c r="D58" s="48" t="str">
        <f>IFERROR(VLOOKUP(Summary!$D$4,$A$66:$E$71,4,FALSE),"unknown")</f>
        <v>med</v>
      </c>
      <c r="E58" s="99" t="s">
        <v>1357</v>
      </c>
    </row>
    <row r="59" spans="1:5" x14ac:dyDescent="0.2">
      <c r="A59" s="17" t="s">
        <v>1358</v>
      </c>
      <c r="B59" s="18" t="s">
        <v>1359</v>
      </c>
      <c r="C59" s="19" t="s">
        <v>135</v>
      </c>
      <c r="D59" s="48" t="str">
        <f>IF(j_anode&lt;=j_opt_strain,"OK - at/below optimum",IF(j_anode&lt;=j_ceiling_strain,"watch - above optimum","EXCEED - over strain ceiling"))</f>
        <v>watch - above optimum</v>
      </c>
      <c r="E59" s="99" t="s">
        <v>1360</v>
      </c>
    </row>
    <row r="60" spans="1:5" x14ac:dyDescent="0.2">
      <c r="A60" s="17" t="s">
        <v>1361</v>
      </c>
      <c r="B60" s="18" t="s">
        <v>1362</v>
      </c>
      <c r="C60" s="19" t="s">
        <v>135</v>
      </c>
      <c r="D60" s="48" t="str">
        <f>IF(j_anode&gt;anode_j_max,"EXCEED - over plating maximum",IF(OR(j_anode&gt;anode_j_cont,anode_material="Graphite"),IF(anode_material="Graphite","watch - graphite consumable in neutral O₂ (testing only)","watch - above continuous plating rating"),"OK - within plating rating"))</f>
        <v>OK - within plating rating</v>
      </c>
      <c r="E60" s="99" t="s">
        <v>1363</v>
      </c>
    </row>
    <row r="61" spans="1:5" x14ac:dyDescent="0.2">
      <c r="A61" s="17" t="s">
        <v>1364</v>
      </c>
      <c r="B61" s="18" t="s">
        <v>1365</v>
      </c>
      <c r="C61" s="19" t="s">
        <v>135</v>
      </c>
      <c r="D61" s="48" t="str">
        <f>IF(j_cathode&lt;=cath_j_cont,"OK - cathode within HER norm",IF(j_cathode&lt;=cath_j_max,"watch - high cathodic j","EXCEED - over SS HER norm"))</f>
        <v>OK - cathode within HER norm</v>
      </c>
      <c r="E61" s="99" t="s">
        <v>1366</v>
      </c>
    </row>
    <row r="62" spans="1:5" x14ac:dyDescent="0.2">
      <c r="A62" s="17" t="s">
        <v>1367</v>
      </c>
      <c r="B62" s="18" t="s">
        <v>1368</v>
      </c>
      <c r="C62" s="19" t="s">
        <v>135</v>
      </c>
      <c r="D62" s="48" t="str">
        <f>IF(OR(ISNUMBER(SEARCH("EXCEED",j_bio_flag)),ISNUMBER(SEARCH("EXCEED",j_mat_flag)),ISNUMBER(SEARCH("EXCEED",j_cath_flag))),"EXCEED - current density over a limit",IF(OR(ISNUMBER(SEARCH("watch",j_bio_flag)),ISNUMBER(SEARCH("watch",j_mat_flag)),ISNUMBER(SEARCH("watch",j_cath_flag))),"watch - above optimum current density","OK - current density in range"))</f>
        <v>watch - above optimum current density</v>
      </c>
      <c r="E62" s="99" t="s">
        <v>1369</v>
      </c>
    </row>
    <row r="63" spans="1:5" x14ac:dyDescent="0.2">
      <c r="A63" s="17" t="s">
        <v>1370</v>
      </c>
      <c r="B63" s="18" t="s">
        <v>1371</v>
      </c>
      <c r="C63" s="19" t="s">
        <v>135</v>
      </c>
      <c r="D63" s="48" t="str">
        <f>VLOOKUP(electrode_sel,$A$35:$N$38,2,FALSE)</f>
        <v>Pt/Ti</v>
      </c>
      <c r="E63" s="99" t="s">
        <v>1372</v>
      </c>
    </row>
    <row r="64" spans="1:5" ht="16" x14ac:dyDescent="0.2">
      <c r="A64" s="104" t="s">
        <v>1373</v>
      </c>
    </row>
    <row r="65" spans="1:5" x14ac:dyDescent="0.2">
      <c r="A65" s="103" t="s">
        <v>1374</v>
      </c>
      <c r="B65" s="103" t="s">
        <v>1375</v>
      </c>
      <c r="C65" s="103" t="s">
        <v>1376</v>
      </c>
      <c r="D65" s="103" t="s">
        <v>1377</v>
      </c>
      <c r="E65" s="103" t="s">
        <v>527</v>
      </c>
    </row>
    <row r="66" spans="1:5" x14ac:dyDescent="0.2">
      <c r="A66" s="20" t="s">
        <v>39</v>
      </c>
      <c r="B66" s="20">
        <v>2</v>
      </c>
      <c r="C66" s="20">
        <v>4</v>
      </c>
      <c r="D66" s="20" t="s">
        <v>1018</v>
      </c>
      <c r="E66" s="114" t="s">
        <v>1378</v>
      </c>
    </row>
    <row r="67" spans="1:5" x14ac:dyDescent="0.2">
      <c r="A67" s="20" t="s">
        <v>529</v>
      </c>
      <c r="B67" s="20">
        <v>2</v>
      </c>
      <c r="C67" s="20">
        <v>4</v>
      </c>
      <c r="D67" s="20" t="s">
        <v>1018</v>
      </c>
      <c r="E67" s="114" t="s">
        <v>1379</v>
      </c>
    </row>
    <row r="68" spans="1:5" x14ac:dyDescent="0.2">
      <c r="A68" s="20" t="s">
        <v>531</v>
      </c>
      <c r="B68" s="20">
        <v>2</v>
      </c>
      <c r="C68" s="20">
        <v>4</v>
      </c>
      <c r="D68" s="20" t="s">
        <v>1018</v>
      </c>
      <c r="E68" s="114" t="s">
        <v>1379</v>
      </c>
    </row>
    <row r="69" spans="1:5" x14ac:dyDescent="0.2">
      <c r="A69" s="20" t="s">
        <v>533</v>
      </c>
      <c r="B69" s="20">
        <v>2</v>
      </c>
      <c r="C69" s="20">
        <v>4</v>
      </c>
      <c r="D69" s="20" t="s">
        <v>1018</v>
      </c>
      <c r="E69" s="114" t="s">
        <v>1379</v>
      </c>
    </row>
    <row r="70" spans="1:5" x14ac:dyDescent="0.2">
      <c r="A70" s="20" t="s">
        <v>534</v>
      </c>
      <c r="B70" s="20">
        <v>2</v>
      </c>
      <c r="C70" s="20">
        <v>4</v>
      </c>
      <c r="D70" s="20" t="s">
        <v>1018</v>
      </c>
      <c r="E70" s="114" t="s">
        <v>1380</v>
      </c>
    </row>
    <row r="71" spans="1:5" x14ac:dyDescent="0.2">
      <c r="A71" s="20" t="s">
        <v>535</v>
      </c>
      <c r="B71" s="20">
        <v>2.14</v>
      </c>
      <c r="C71" s="20">
        <v>4.29</v>
      </c>
      <c r="D71" s="20" t="s">
        <v>1015</v>
      </c>
      <c r="E71" s="51" t="s">
        <v>1381</v>
      </c>
    </row>
    <row r="72" spans="1:5" ht="16" x14ac:dyDescent="0.2">
      <c r="A72" s="104" t="s">
        <v>1382</v>
      </c>
    </row>
    <row r="73" spans="1:5" x14ac:dyDescent="0.2">
      <c r="A73" s="17" t="s">
        <v>1383</v>
      </c>
      <c r="B73" s="18" t="s">
        <v>1384</v>
      </c>
      <c r="C73" s="19" t="s">
        <v>45</v>
      </c>
      <c r="D73" s="52">
        <v>10</v>
      </c>
      <c r="E73" s="51" t="s">
        <v>1385</v>
      </c>
    </row>
    <row r="74" spans="1:5" x14ac:dyDescent="0.2">
      <c r="A74" s="17" t="s">
        <v>1288</v>
      </c>
      <c r="B74" s="18" t="s">
        <v>1386</v>
      </c>
      <c r="C74" s="19" t="s">
        <v>325</v>
      </c>
      <c r="D74" s="48">
        <f>gerrit_slope*power_max+gerrit_int</f>
        <v>12.9</v>
      </c>
      <c r="E74" s="99" t="s">
        <v>1387</v>
      </c>
    </row>
    <row r="75" spans="1:5" x14ac:dyDescent="0.2">
      <c r="A75" s="17" t="s">
        <v>1290</v>
      </c>
      <c r="B75" s="18" t="s">
        <v>1388</v>
      </c>
      <c r="C75" s="19" t="s">
        <v>1282</v>
      </c>
      <c r="D75" s="48">
        <f>I_max/A_anode_wet</f>
        <v>6.407141367137557</v>
      </c>
      <c r="E75" s="99" t="s">
        <v>1291</v>
      </c>
    </row>
    <row r="76" spans="1:5" x14ac:dyDescent="0.2">
      <c r="A76" s="17" t="s">
        <v>1389</v>
      </c>
      <c r="B76" s="18" t="s">
        <v>1390</v>
      </c>
      <c r="C76" s="19" t="s">
        <v>135</v>
      </c>
      <c r="D76" s="48" t="str">
        <f>IF(OR(j_anode_max&gt;j_ceiling_strain,j_anode_max&gt;anode_j_max),"EXCEED - max current over a limit",IF(OR(j_anode_max&gt;j_opt_strain,j_anode_max&gt;anode_j_cont),"watch - max current above optimum","OK - max current in range"))</f>
        <v>EXCEED - max current over a limit</v>
      </c>
      <c r="E76" s="99" t="s">
        <v>1391</v>
      </c>
    </row>
    <row r="78" spans="1:5" x14ac:dyDescent="0.2">
      <c r="A78" s="5" t="s">
        <v>1625</v>
      </c>
    </row>
    <row r="79" spans="1:5" x14ac:dyDescent="0.2">
      <c r="A79" t="s">
        <v>1626</v>
      </c>
      <c r="B79" s="18" t="s">
        <v>1627</v>
      </c>
      <c r="C79" s="19" t="s">
        <v>1274</v>
      </c>
      <c r="D79" s="22">
        <f>Biology!$D$60</f>
        <v>0.22608695652173899</v>
      </c>
      <c r="E79" s="67" t="s">
        <v>1628</v>
      </c>
    </row>
    <row r="80" spans="1:5" x14ac:dyDescent="0.2">
      <c r="A80" t="s">
        <v>1629</v>
      </c>
      <c r="B80" s="18" t="s">
        <v>1630</v>
      </c>
      <c r="C80" s="19" t="s">
        <v>1001</v>
      </c>
      <c r="D80" s="22">
        <f>Biology!$D$27</f>
        <v>0.36476999999999998</v>
      </c>
      <c r="E80" s="67" t="s">
        <v>1631</v>
      </c>
    </row>
    <row r="81" spans="1:5" x14ac:dyDescent="0.2">
      <c r="A81" t="s">
        <v>1632</v>
      </c>
      <c r="B81" s="18" t="s">
        <v>1633</v>
      </c>
      <c r="C81" s="19" t="s">
        <v>577</v>
      </c>
      <c r="D81" s="22">
        <f>'Mass Transfer'!$D$32</f>
        <v>1.9976723184042195E-9</v>
      </c>
      <c r="E81" s="67" t="s">
        <v>1634</v>
      </c>
    </row>
    <row r="82" spans="1:5" x14ac:dyDescent="0.2">
      <c r="A82" t="s">
        <v>1635</v>
      </c>
      <c r="B82" s="18" t="s">
        <v>1636</v>
      </c>
      <c r="C82" s="19" t="s">
        <v>858</v>
      </c>
      <c r="D82" s="22">
        <f>Biology!$D$6/1000</f>
        <v>1.4999999999999999E-2</v>
      </c>
      <c r="E82" s="67" t="s">
        <v>859</v>
      </c>
    </row>
    <row r="83" spans="1:5" ht="60" x14ac:dyDescent="0.2">
      <c r="A83" t="s">
        <v>1637</v>
      </c>
      <c r="B83" s="18" t="s">
        <v>1638</v>
      </c>
      <c r="C83" s="19" t="s">
        <v>1070</v>
      </c>
      <c r="D83" s="36">
        <v>4.0000000000000001E-3</v>
      </c>
      <c r="E83" s="75" t="s">
        <v>1639</v>
      </c>
    </row>
    <row r="84" spans="1:5" ht="24" x14ac:dyDescent="0.2">
      <c r="A84" t="s">
        <v>1640</v>
      </c>
      <c r="B84" s="18" t="s">
        <v>1641</v>
      </c>
      <c r="C84" s="19" t="s">
        <v>1274</v>
      </c>
      <c r="D84" s="52">
        <v>0.64400000000000002</v>
      </c>
      <c r="E84" s="99" t="s">
        <v>1642</v>
      </c>
    </row>
    <row r="85" spans="1:5" ht="36" x14ac:dyDescent="0.2">
      <c r="A85" t="s">
        <v>1643</v>
      </c>
      <c r="B85" s="18" t="s">
        <v>1644</v>
      </c>
      <c r="C85" s="19" t="s">
        <v>1001</v>
      </c>
      <c r="D85" s="22">
        <f>ec_DO_frac*ec_O2_ceil</f>
        <v>8.2469739130434733E-2</v>
      </c>
      <c r="E85" s="67" t="s">
        <v>1645</v>
      </c>
    </row>
    <row r="86" spans="1:5" ht="48" x14ac:dyDescent="0.2">
      <c r="A86" t="s">
        <v>1646</v>
      </c>
      <c r="B86" s="18" t="s">
        <v>1647</v>
      </c>
      <c r="C86" s="19" t="s">
        <v>1076</v>
      </c>
      <c r="D86" s="22">
        <f>z_e_ORR*F_const*(km_O2/100)*ec_DO_design*(A_cath_wet/10000)</f>
        <v>1.2816555066824775E-4</v>
      </c>
      <c r="E86" s="67" t="s">
        <v>1648</v>
      </c>
    </row>
    <row r="87" spans="1:5" x14ac:dyDescent="0.2">
      <c r="A87" t="s">
        <v>1649</v>
      </c>
      <c r="B87" s="18" t="s">
        <v>1650</v>
      </c>
      <c r="C87" s="19" t="s">
        <v>1076</v>
      </c>
      <c r="D87" s="22">
        <f>z_e_ORR*F_const*(km_O2/100)*ec_O2_ceil*(A_cath_wet/10000)</f>
        <v>5.6688608949417309E-4</v>
      </c>
      <c r="E87" s="67" t="s">
        <v>1651</v>
      </c>
    </row>
    <row r="88" spans="1:5" ht="36" x14ac:dyDescent="0.2">
      <c r="A88" t="s">
        <v>1652</v>
      </c>
      <c r="B88" s="18" t="s">
        <v>1653</v>
      </c>
      <c r="C88" s="19" t="s">
        <v>1274</v>
      </c>
      <c r="D88" s="22">
        <f>MAX(0,1-i_ORR_design/I_app)</f>
        <v>0.97747529865232907</v>
      </c>
      <c r="E88" s="67" t="s">
        <v>1654</v>
      </c>
    </row>
    <row r="89" spans="1:5" x14ac:dyDescent="0.2">
      <c r="A89" t="s">
        <v>1655</v>
      </c>
      <c r="B89" s="18" t="s">
        <v>1656</v>
      </c>
      <c r="C89" s="19" t="s">
        <v>1274</v>
      </c>
      <c r="D89" s="22">
        <f>MAX(0,1-i_ORR_ceiling/I_app)</f>
        <v>0.90037151326991682</v>
      </c>
      <c r="E89" s="67" t="s">
        <v>1657</v>
      </c>
    </row>
    <row r="90" spans="1:5" x14ac:dyDescent="0.2">
      <c r="A90" s="5" t="s">
        <v>1658</v>
      </c>
    </row>
    <row r="91" spans="1:5" ht="48" x14ac:dyDescent="0.2">
      <c r="A91" t="s">
        <v>1659</v>
      </c>
      <c r="B91" s="18" t="s">
        <v>1660</v>
      </c>
      <c r="C91" s="19" t="s">
        <v>1274</v>
      </c>
      <c r="D91" s="36">
        <v>0.15</v>
      </c>
      <c r="E91" s="75" t="s">
        <v>1661</v>
      </c>
    </row>
    <row r="92" spans="1:5" x14ac:dyDescent="0.2">
      <c r="A92" t="s">
        <v>1662</v>
      </c>
      <c r="B92" s="18" t="s">
        <v>1663</v>
      </c>
      <c r="C92" s="19" t="s">
        <v>1258</v>
      </c>
      <c r="D92" s="52">
        <v>34.014699999999998</v>
      </c>
      <c r="E92" s="99" t="s">
        <v>1664</v>
      </c>
    </row>
    <row r="93" spans="1:5" ht="24" x14ac:dyDescent="0.2">
      <c r="A93" t="s">
        <v>1665</v>
      </c>
      <c r="B93" s="18" t="s">
        <v>1666</v>
      </c>
      <c r="C93" s="19" t="s">
        <v>1266</v>
      </c>
      <c r="D93" s="22">
        <f>f_HOOH*i_ORR_design/(2*F_const)*M_H2O2*1000*3600/ec_V_L</f>
        <v>0.81329698400248862</v>
      </c>
      <c r="E93" s="67" t="s">
        <v>1667</v>
      </c>
    </row>
    <row r="94" spans="1:5" ht="48" x14ac:dyDescent="0.2">
      <c r="A94" t="s">
        <v>1668</v>
      </c>
      <c r="B94" s="18" t="s">
        <v>1669</v>
      </c>
      <c r="C94" s="19" t="s">
        <v>639</v>
      </c>
      <c r="D94" s="36">
        <v>4.1000000000000003E-3</v>
      </c>
      <c r="E94" s="75" t="s">
        <v>1670</v>
      </c>
    </row>
    <row r="95" spans="1:5" ht="48" x14ac:dyDescent="0.2">
      <c r="A95" t="s">
        <v>1671</v>
      </c>
      <c r="B95" s="18" t="s">
        <v>1672</v>
      </c>
      <c r="C95" s="19" t="s">
        <v>1270</v>
      </c>
      <c r="D95" s="22">
        <f>r_H2O2/(k_cat_cells*3600)</f>
        <v>5.5101421680385405E-2</v>
      </c>
      <c r="E95" s="67" t="s">
        <v>1673</v>
      </c>
    </row>
    <row r="96" spans="1:5" x14ac:dyDescent="0.2">
      <c r="A96" t="s">
        <v>1674</v>
      </c>
      <c r="B96" s="18" t="s">
        <v>1675</v>
      </c>
      <c r="C96" s="19" t="s">
        <v>1270</v>
      </c>
      <c r="D96" s="22">
        <f>r_H2O2</f>
        <v>0.81329698400248862</v>
      </c>
      <c r="E96" s="67" t="s">
        <v>1676</v>
      </c>
    </row>
    <row r="97" spans="1:5" ht="60" x14ac:dyDescent="0.2">
      <c r="A97" t="s">
        <v>1677</v>
      </c>
      <c r="B97" s="18" t="s">
        <v>1678</v>
      </c>
      <c r="C97" s="19" t="s">
        <v>1270</v>
      </c>
      <c r="D97" s="52">
        <v>0.17</v>
      </c>
      <c r="E97" s="67" t="s">
        <v>1679</v>
      </c>
    </row>
    <row r="98" spans="1:5" ht="24" x14ac:dyDescent="0.2">
      <c r="A98" t="s">
        <v>1680</v>
      </c>
      <c r="B98" s="18" t="s">
        <v>1681</v>
      </c>
      <c r="C98" s="19" t="s">
        <v>962</v>
      </c>
      <c r="D98" s="22">
        <f>IF(r_H2O2&gt;0,H2O2_thresh/r_H2O2*60,NA())</f>
        <v>12.541544110741212</v>
      </c>
      <c r="E98" s="67" t="s">
        <v>1682</v>
      </c>
    </row>
    <row r="99" spans="1:5" ht="48" x14ac:dyDescent="0.2">
      <c r="A99" t="s">
        <v>1683</v>
      </c>
      <c r="B99" s="18" t="s">
        <v>1684</v>
      </c>
      <c r="C99" s="19" t="s">
        <v>1274</v>
      </c>
      <c r="D99" s="22" t="str">
        <f>IF(H2O2_ss&gt;H2O2_thresh,"PEROXIDE ABOVE THE GROWTH-INHIBITION THRESHOLD even with a full catalase pool ("&amp;TEXT(H2O2_ss,"0.00")&amp;" mg/L)",IF(H2O2_lag_1h&gt;H2O2_thresh,"watch — steady growth is clear ("&amp;TEXT(H2O2_ss,"0.000")&amp;" mg/L) but LAG PHASE is not: peroxide passes the threshold in "&amp;TEXT(t_H2O2_thresh,"0")&amp;" min before biomass can scavenge it","OK — peroxide stays below the growth-inhibition threshold in both phases"))</f>
        <v>watch — steady growth is clear (0.055 mg/L) but LAG PHASE is not: peroxide passes the threshold in 13 min before biomass can scavenge it</v>
      </c>
      <c r="E99" s="67" t="s">
        <v>1685</v>
      </c>
    </row>
    <row r="100" spans="1:5" x14ac:dyDescent="0.2">
      <c r="A100" s="5" t="s">
        <v>1686</v>
      </c>
    </row>
    <row r="101" spans="1:5" x14ac:dyDescent="0.2">
      <c r="A101" t="s">
        <v>1687</v>
      </c>
      <c r="B101" s="18" t="s">
        <v>1688</v>
      </c>
      <c r="C101" s="19" t="s">
        <v>1076</v>
      </c>
      <c r="D101" s="22">
        <f>Chemistry!$D$133</f>
        <v>0</v>
      </c>
      <c r="E101" s="67" t="s">
        <v>1689</v>
      </c>
    </row>
    <row r="102" spans="1:5" x14ac:dyDescent="0.2">
      <c r="A102" t="s">
        <v>1690</v>
      </c>
      <c r="B102" s="18" t="s">
        <v>1691</v>
      </c>
      <c r="C102" s="19" t="s">
        <v>1274</v>
      </c>
      <c r="D102" s="22">
        <f>Chemistry!$D$158</f>
        <v>0</v>
      </c>
      <c r="E102" s="70" t="s">
        <v>1692</v>
      </c>
    </row>
    <row r="103" spans="1:5" ht="36" x14ac:dyDescent="0.2">
      <c r="A103" t="s">
        <v>1693</v>
      </c>
      <c r="B103" s="18" t="s">
        <v>1694</v>
      </c>
      <c r="C103" s="19" t="s">
        <v>1274</v>
      </c>
      <c r="D103" s="22">
        <f>ec_I_Cl/I_app</f>
        <v>0</v>
      </c>
      <c r="E103" s="67" t="s">
        <v>1695</v>
      </c>
    </row>
    <row r="104" spans="1:5" ht="36" x14ac:dyDescent="0.2">
      <c r="A104" t="s">
        <v>1696</v>
      </c>
      <c r="B104" s="18" t="s">
        <v>1697</v>
      </c>
      <c r="C104" s="19" t="s">
        <v>1274</v>
      </c>
      <c r="D104" s="22">
        <f>MAX(0,1-f_Cl_anode-IF(ISNUMBER(ec_corr_I),ec_corr_I,0))</f>
        <v>1</v>
      </c>
      <c r="E104" s="67" t="s">
        <v>1698</v>
      </c>
    </row>
    <row r="105" spans="1:5" x14ac:dyDescent="0.2">
      <c r="A105" s="5" t="s">
        <v>1699</v>
      </c>
    </row>
    <row r="106" spans="1:5" ht="24" x14ac:dyDescent="0.2">
      <c r="A106" t="s">
        <v>1700</v>
      </c>
      <c r="B106" s="18" t="s">
        <v>1701</v>
      </c>
      <c r="C106" s="19" t="s">
        <v>1595</v>
      </c>
      <c r="D106" s="22">
        <f>Chemistry!$D$201</f>
        <v>1.2290000000000001</v>
      </c>
      <c r="E106" s="99" t="s">
        <v>1702</v>
      </c>
    </row>
    <row r="107" spans="1:5" ht="48" x14ac:dyDescent="0.2">
      <c r="A107" t="s">
        <v>1703</v>
      </c>
      <c r="B107" s="18" t="s">
        <v>1704</v>
      </c>
      <c r="C107" s="19" t="s">
        <v>1705</v>
      </c>
      <c r="D107" s="36">
        <v>0.12</v>
      </c>
      <c r="E107" s="75" t="s">
        <v>1706</v>
      </c>
    </row>
    <row r="108" spans="1:5" ht="48" x14ac:dyDescent="0.2">
      <c r="A108" t="s">
        <v>1707</v>
      </c>
      <c r="B108" s="18" t="s">
        <v>1708</v>
      </c>
      <c r="C108" s="19" t="s">
        <v>1709</v>
      </c>
      <c r="D108" s="36">
        <v>1E-10</v>
      </c>
      <c r="E108" s="41" t="s">
        <v>1710</v>
      </c>
    </row>
    <row r="109" spans="1:5" ht="36" x14ac:dyDescent="0.2">
      <c r="A109" t="s">
        <v>1711</v>
      </c>
      <c r="B109" s="18" t="s">
        <v>1712</v>
      </c>
      <c r="C109" s="19" t="s">
        <v>1705</v>
      </c>
      <c r="D109" s="36">
        <v>0.14000000000000001</v>
      </c>
      <c r="E109" s="67" t="s">
        <v>1713</v>
      </c>
    </row>
    <row r="110" spans="1:5" ht="24" x14ac:dyDescent="0.2">
      <c r="A110" t="s">
        <v>1714</v>
      </c>
      <c r="B110" s="18" t="s">
        <v>1715</v>
      </c>
      <c r="C110" s="19" t="s">
        <v>1709</v>
      </c>
      <c r="D110" s="36">
        <v>1.5E-6</v>
      </c>
      <c r="E110" s="67" t="s">
        <v>1716</v>
      </c>
    </row>
    <row r="111" spans="1:5" x14ac:dyDescent="0.2">
      <c r="A111" t="s">
        <v>1717</v>
      </c>
      <c r="B111" s="18" t="s">
        <v>1718</v>
      </c>
      <c r="C111" s="19" t="s">
        <v>1595</v>
      </c>
      <c r="D111" s="22">
        <f>b_anode*LOG10(j_anode/1000/j0_anode)</f>
        <v>0.89414242349578088</v>
      </c>
      <c r="E111" s="67" t="s">
        <v>1719</v>
      </c>
    </row>
    <row r="112" spans="1:5" x14ac:dyDescent="0.2">
      <c r="A112" t="s">
        <v>1720</v>
      </c>
      <c r="B112" s="18" t="s">
        <v>1721</v>
      </c>
      <c r="C112" s="19" t="s">
        <v>1595</v>
      </c>
      <c r="D112" s="22">
        <f>b_cath*LOG10(j_cathode/1000/j0_cath)</f>
        <v>0.45851338447728235</v>
      </c>
      <c r="E112" s="67" t="s">
        <v>1722</v>
      </c>
    </row>
    <row r="113" spans="1:5" ht="72" x14ac:dyDescent="0.2">
      <c r="A113" t="s">
        <v>1723</v>
      </c>
      <c r="B113" s="18" t="s">
        <v>1724</v>
      </c>
      <c r="C113" s="19" t="s">
        <v>1595</v>
      </c>
      <c r="D113" s="36">
        <v>-0.15</v>
      </c>
      <c r="E113" s="75" t="s">
        <v>1725</v>
      </c>
    </row>
    <row r="114" spans="1:5" x14ac:dyDescent="0.2">
      <c r="A114" t="s">
        <v>1726</v>
      </c>
      <c r="B114" s="18" t="s">
        <v>1727</v>
      </c>
      <c r="C114" s="19" t="s">
        <v>1507</v>
      </c>
      <c r="D114" s="22">
        <f>Chemistry!$D$180</f>
        <v>0.74619443090570969</v>
      </c>
      <c r="E114" s="67" t="s">
        <v>1728</v>
      </c>
    </row>
    <row r="115" spans="1:5" x14ac:dyDescent="0.2">
      <c r="A115" t="s">
        <v>1729</v>
      </c>
      <c r="B115" s="18" t="s">
        <v>1730</v>
      </c>
      <c r="C115" s="19" t="s">
        <v>146</v>
      </c>
      <c r="D115" s="22">
        <f>Geometry!$D$92</f>
        <v>14</v>
      </c>
      <c r="E115" s="70" t="s">
        <v>1731</v>
      </c>
    </row>
    <row r="116" spans="1:5" ht="48" x14ac:dyDescent="0.2">
      <c r="A116" t="s">
        <v>1732</v>
      </c>
      <c r="B116" s="18" t="s">
        <v>1733</v>
      </c>
      <c r="C116" s="19" t="s">
        <v>1274</v>
      </c>
      <c r="D116" s="36">
        <v>2</v>
      </c>
      <c r="E116" s="75" t="s">
        <v>1734</v>
      </c>
    </row>
    <row r="117" spans="1:5" ht="24" x14ac:dyDescent="0.2">
      <c r="A117" t="s">
        <v>1735</v>
      </c>
      <c r="B117" s="18" t="s">
        <v>1736</v>
      </c>
      <c r="C117" s="19" t="s">
        <v>1737</v>
      </c>
      <c r="D117" s="22">
        <f>k_geom*ACOSH(ec_gap/anode_dia)/(PI()*ec_kappa*(L_sub/1000))</f>
        <v>138.54801705710167</v>
      </c>
      <c r="E117" s="67" t="s">
        <v>1738</v>
      </c>
    </row>
    <row r="118" spans="1:5" ht="24" x14ac:dyDescent="0.2">
      <c r="A118" t="s">
        <v>1739</v>
      </c>
      <c r="B118" s="18" t="s">
        <v>1740</v>
      </c>
      <c r="C118" s="19" t="s">
        <v>1595</v>
      </c>
      <c r="D118" s="22">
        <f>I_app*R_cell</f>
        <v>0.78833821705490847</v>
      </c>
      <c r="E118" s="67" t="s">
        <v>1741</v>
      </c>
    </row>
    <row r="119" spans="1:5" ht="36" x14ac:dyDescent="0.2">
      <c r="A119" t="s">
        <v>1742</v>
      </c>
      <c r="B119" s="18" t="s">
        <v>1743</v>
      </c>
      <c r="C119" s="19" t="s">
        <v>1595</v>
      </c>
      <c r="D119" s="22">
        <f>ec_E_rev+eta_anode+eta_cath+pcet_credit+V_IR</f>
        <v>3.2199940250279724</v>
      </c>
      <c r="E119" s="67" t="s">
        <v>1744</v>
      </c>
    </row>
    <row r="120" spans="1:5" ht="24" x14ac:dyDescent="0.2">
      <c r="A120" t="s">
        <v>1745</v>
      </c>
      <c r="B120" s="18" t="s">
        <v>1746</v>
      </c>
      <c r="C120" s="19" t="s">
        <v>1595</v>
      </c>
      <c r="D120" s="52">
        <v>5</v>
      </c>
      <c r="E120" s="67" t="s">
        <v>1747</v>
      </c>
    </row>
    <row r="121" spans="1:5" x14ac:dyDescent="0.2">
      <c r="A121" t="s">
        <v>1748</v>
      </c>
      <c r="B121" s="18" t="s">
        <v>1749</v>
      </c>
      <c r="C121" s="19" t="s">
        <v>1595</v>
      </c>
      <c r="D121" s="22">
        <f>V_rail-V_cell_est</f>
        <v>1.7800059749720276</v>
      </c>
      <c r="E121" s="67" t="s">
        <v>1750</v>
      </c>
    </row>
    <row r="122" spans="1:5" ht="24" x14ac:dyDescent="0.2">
      <c r="A122" t="s">
        <v>1751</v>
      </c>
      <c r="B122" s="18" t="s">
        <v>1752</v>
      </c>
      <c r="C122" s="19" t="s">
        <v>1274</v>
      </c>
      <c r="D122" s="22" t="str">
        <f>IF(V_headroom&lt;0,"OVER RAIL — the drive cannot deliver this current; the linear current law will not hold",IF(V_headroom&lt;1,"watch — within 1 V of the rail ("&amp;TEXT(V_cell_est,"0.00")&amp;" V of "&amp;TEXT(V_rail,"0")&amp;" V); expect the current law to bend","OK — "&amp;TEXT(V_cell_est,"0.00")&amp;" V estimated against a "&amp;TEXT(V_rail,"0")&amp;" V rail"))</f>
        <v>OK — 3.22 V estimated against a 5 V rail</v>
      </c>
      <c r="E122" s="67" t="s">
        <v>1753</v>
      </c>
    </row>
  </sheetData>
  <conditionalFormatting sqref="D20">
    <cfRule type="cellIs" dxfId="19" priority="1" operator="equal">
      <formula>"OK"</formula>
    </cfRule>
    <cfRule type="cellIs" dxfId="18" priority="2" operator="equal">
      <formula>"OUT"</formula>
    </cfRule>
  </conditionalFormatting>
  <conditionalFormatting sqref="D59:D62">
    <cfRule type="expression" dxfId="17" priority="3" stopIfTrue="1">
      <formula>ISNUMBER(SEARCH("EXCEED",D59))</formula>
    </cfRule>
    <cfRule type="expression" dxfId="16" priority="4" stopIfTrue="1">
      <formula>ISNUMBER(SEARCH("watch",D59))</formula>
    </cfRule>
    <cfRule type="expression" dxfId="15" priority="5" stopIfTrue="1">
      <formula>ISNUMBER(SEARCH("OK",D59))</formula>
    </cfRule>
  </conditionalFormatting>
  <conditionalFormatting sqref="D76">
    <cfRule type="expression" dxfId="14" priority="15" stopIfTrue="1">
      <formula>ISNUMBER(SEARCH("EXCEED",D76))</formula>
    </cfRule>
    <cfRule type="expression" dxfId="13" priority="16" stopIfTrue="1">
      <formula>ISNUMBER(SEARCH("watch",D76))</formula>
    </cfRule>
    <cfRule type="expression" dxfId="12" priority="17" stopIfTrue="1">
      <formula>ISNUMBER(SEARCH("OK",D76))</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C00"/>
  </sheetPr>
  <dimension ref="A1:G226"/>
  <sheetViews>
    <sheetView topLeftCell="A218" workbookViewId="0">
      <selection activeCell="E109" sqref="E109"/>
    </sheetView>
  </sheetViews>
  <sheetFormatPr baseColWidth="10" defaultColWidth="8.83203125" defaultRowHeight="15" x14ac:dyDescent="0.2"/>
  <cols>
    <col min="1" max="1" width="39.33203125" customWidth="1"/>
    <col min="2" max="2" width="12.33203125" bestFit="1" customWidth="1"/>
    <col min="3" max="3" width="13.83203125" bestFit="1" customWidth="1"/>
    <col min="4" max="4" width="15.33203125" customWidth="1"/>
    <col min="5" max="5" width="39.33203125" bestFit="1" customWidth="1"/>
  </cols>
  <sheetData>
    <row r="1" spans="1:6" ht="16" x14ac:dyDescent="0.2">
      <c r="A1" s="104" t="s">
        <v>834</v>
      </c>
    </row>
    <row r="2" spans="1:6" x14ac:dyDescent="0.2">
      <c r="A2" s="16" t="s">
        <v>835</v>
      </c>
      <c r="B2" s="16" t="s">
        <v>836</v>
      </c>
      <c r="C2" s="16" t="s">
        <v>837</v>
      </c>
      <c r="D2" s="16" t="s">
        <v>838</v>
      </c>
      <c r="E2" s="16" t="s">
        <v>839</v>
      </c>
    </row>
    <row r="3" spans="1:6" x14ac:dyDescent="0.2">
      <c r="A3" s="103" t="s">
        <v>840</v>
      </c>
    </row>
    <row r="4" spans="1:6" x14ac:dyDescent="0.2">
      <c r="A4" s="17" t="s">
        <v>841</v>
      </c>
      <c r="B4" s="18" t="s">
        <v>842</v>
      </c>
      <c r="C4" s="19" t="s">
        <v>843</v>
      </c>
      <c r="D4" s="64">
        <f>Biology!$D$18</f>
        <v>298.14999999999998</v>
      </c>
      <c r="E4" s="51" t="s">
        <v>844</v>
      </c>
    </row>
    <row r="5" spans="1:6" ht="36" x14ac:dyDescent="0.2">
      <c r="A5" s="17" t="s">
        <v>845</v>
      </c>
      <c r="B5" s="18" t="s">
        <v>846</v>
      </c>
      <c r="C5" s="19" t="s">
        <v>847</v>
      </c>
      <c r="D5" s="64">
        <f>'Mass Transfer'!$D$162</f>
        <v>9.7159947531633307E-3</v>
      </c>
      <c r="E5" s="51" t="s">
        <v>1158</v>
      </c>
    </row>
    <row r="6" spans="1:6" x14ac:dyDescent="0.2">
      <c r="A6" s="17" t="s">
        <v>848</v>
      </c>
      <c r="B6" s="18" t="s">
        <v>849</v>
      </c>
      <c r="C6" s="19" t="s">
        <v>850</v>
      </c>
      <c r="D6" s="64">
        <f>Electrochemistry!$D$19</f>
        <v>5.6899999999999997E-3</v>
      </c>
      <c r="E6" s="51" t="s">
        <v>851</v>
      </c>
    </row>
    <row r="7" spans="1:6" x14ac:dyDescent="0.2">
      <c r="A7" s="17" t="s">
        <v>852</v>
      </c>
      <c r="B7" s="18" t="s">
        <v>853</v>
      </c>
      <c r="C7" s="19" t="s">
        <v>854</v>
      </c>
      <c r="D7" s="64">
        <f>Electrochemistry!$D$15</f>
        <v>96485.332120000006</v>
      </c>
      <c r="E7" s="51" t="s">
        <v>855</v>
      </c>
    </row>
    <row r="8" spans="1:6" x14ac:dyDescent="0.2">
      <c r="A8" s="17" t="s">
        <v>856</v>
      </c>
      <c r="B8" s="18" t="s">
        <v>857</v>
      </c>
      <c r="C8" s="19" t="s">
        <v>858</v>
      </c>
      <c r="D8" s="64">
        <f>Biology!$D$6/1000</f>
        <v>1.4999999999999999E-2</v>
      </c>
      <c r="E8" s="51" t="s">
        <v>859</v>
      </c>
    </row>
    <row r="9" spans="1:6" x14ac:dyDescent="0.2">
      <c r="A9" s="17" t="s">
        <v>860</v>
      </c>
      <c r="B9" s="18" t="s">
        <v>861</v>
      </c>
      <c r="C9" s="19" t="s">
        <v>862</v>
      </c>
      <c r="D9" s="52">
        <f>'Mass Transfer'!$D$101</f>
        <v>8.3144626180000003</v>
      </c>
      <c r="E9" s="84" t="s">
        <v>1900</v>
      </c>
    </row>
    <row r="11" spans="1:6" ht="16" x14ac:dyDescent="0.2">
      <c r="A11" s="104" t="s">
        <v>863</v>
      </c>
      <c r="F11" s="101" t="s">
        <v>864</v>
      </c>
    </row>
    <row r="12" spans="1:6" x14ac:dyDescent="0.2">
      <c r="A12" s="16" t="s">
        <v>865</v>
      </c>
      <c r="B12" s="16" t="s">
        <v>866</v>
      </c>
      <c r="C12" s="16" t="s">
        <v>867</v>
      </c>
      <c r="D12" s="16" t="s">
        <v>868</v>
      </c>
      <c r="E12" s="16" t="s">
        <v>869</v>
      </c>
    </row>
    <row r="13" spans="1:6" x14ac:dyDescent="0.2">
      <c r="A13" s="17" t="s">
        <v>871</v>
      </c>
      <c r="B13" s="52">
        <v>4.4499999999999997E-7</v>
      </c>
      <c r="C13" s="52">
        <v>9.15</v>
      </c>
      <c r="D13" s="64">
        <f t="shared" ref="D13:D20" si="0">B13*EXP(-C13*1000/R_gas*(1/TKc-1/298.15))</f>
        <v>4.4499999999999997E-7</v>
      </c>
      <c r="E13" s="84" t="s">
        <v>870</v>
      </c>
    </row>
    <row r="14" spans="1:6" x14ac:dyDescent="0.2">
      <c r="A14" s="17" t="s">
        <v>872</v>
      </c>
      <c r="B14" s="52">
        <v>4.6900000000000001E-11</v>
      </c>
      <c r="C14" s="52">
        <v>14.9</v>
      </c>
      <c r="D14" s="64">
        <f t="shared" si="0"/>
        <v>4.6900000000000001E-11</v>
      </c>
      <c r="E14" s="84" t="s">
        <v>870</v>
      </c>
    </row>
    <row r="15" spans="1:6" x14ac:dyDescent="0.2">
      <c r="A15" s="17" t="s">
        <v>873</v>
      </c>
      <c r="B15" s="52">
        <v>7.1000000000000004E-3</v>
      </c>
      <c r="C15" s="52">
        <v>-8</v>
      </c>
      <c r="D15" s="64">
        <f t="shared" si="0"/>
        <v>7.1000000000000004E-3</v>
      </c>
      <c r="E15" s="84" t="s">
        <v>870</v>
      </c>
    </row>
    <row r="16" spans="1:6" x14ac:dyDescent="0.2">
      <c r="A16" s="17" t="s">
        <v>874</v>
      </c>
      <c r="B16" s="52">
        <v>6.3100000000000003E-8</v>
      </c>
      <c r="C16" s="52">
        <v>3.6</v>
      </c>
      <c r="D16" s="64">
        <f t="shared" si="0"/>
        <v>6.3100000000000003E-8</v>
      </c>
      <c r="E16" s="84" t="s">
        <v>870</v>
      </c>
    </row>
    <row r="17" spans="1:6" x14ac:dyDescent="0.2">
      <c r="A17" s="17" t="s">
        <v>1007</v>
      </c>
      <c r="B17" s="52">
        <v>4.1999999999999998E-13</v>
      </c>
      <c r="C17" s="52">
        <v>16</v>
      </c>
      <c r="D17" s="64">
        <f t="shared" si="0"/>
        <v>4.1999999999999998E-13</v>
      </c>
      <c r="E17" s="84" t="s">
        <v>870</v>
      </c>
    </row>
    <row r="18" spans="1:6" x14ac:dyDescent="0.2">
      <c r="A18" s="17" t="s">
        <v>875</v>
      </c>
      <c r="B18" s="52">
        <v>5.6000000000000003E-10</v>
      </c>
      <c r="C18" s="52">
        <v>52.2</v>
      </c>
      <c r="D18" s="64">
        <f t="shared" si="0"/>
        <v>5.6000000000000003E-10</v>
      </c>
      <c r="E18" s="84" t="s">
        <v>870</v>
      </c>
    </row>
    <row r="19" spans="1:6" x14ac:dyDescent="0.2">
      <c r="A19" s="17" t="s">
        <v>876</v>
      </c>
      <c r="B19" s="52">
        <v>1E-14</v>
      </c>
      <c r="C19" s="52">
        <v>55.8</v>
      </c>
      <c r="D19" s="64">
        <f t="shared" si="0"/>
        <v>1E-14</v>
      </c>
      <c r="E19" s="84" t="s">
        <v>870</v>
      </c>
    </row>
    <row r="20" spans="1:6" x14ac:dyDescent="0.2">
      <c r="A20" s="17" t="s">
        <v>877</v>
      </c>
      <c r="B20" s="52">
        <v>2.8840315031266057E-8</v>
      </c>
      <c r="C20" s="52">
        <v>13.8</v>
      </c>
      <c r="D20" s="64">
        <f t="shared" si="0"/>
        <v>2.8840315031266057E-8</v>
      </c>
      <c r="E20" s="84" t="s">
        <v>870</v>
      </c>
    </row>
    <row r="21" spans="1:6" x14ac:dyDescent="0.2">
      <c r="A21" s="17" t="s">
        <v>878</v>
      </c>
      <c r="B21" s="18" t="s">
        <v>879</v>
      </c>
      <c r="C21" s="19" t="s">
        <v>880</v>
      </c>
      <c r="D21" s="62">
        <f>-LOG10(Ka_HOCl)</f>
        <v>7.54</v>
      </c>
      <c r="E21" s="51" t="s">
        <v>881</v>
      </c>
    </row>
    <row r="23" spans="1:6" ht="16" x14ac:dyDescent="0.2">
      <c r="A23" s="104" t="s">
        <v>882</v>
      </c>
      <c r="F23" s="101" t="s">
        <v>883</v>
      </c>
    </row>
    <row r="24" spans="1:6" x14ac:dyDescent="0.2">
      <c r="A24" s="16" t="s">
        <v>886</v>
      </c>
      <c r="B24" s="16" t="s">
        <v>887</v>
      </c>
      <c r="C24" s="16" t="s">
        <v>888</v>
      </c>
      <c r="D24" s="16" t="s">
        <v>889</v>
      </c>
      <c r="E24" s="16" t="s">
        <v>890</v>
      </c>
    </row>
    <row r="25" spans="1:6" x14ac:dyDescent="0.2">
      <c r="A25" s="17" t="s">
        <v>891</v>
      </c>
      <c r="B25" s="52">
        <v>136.08600000000001</v>
      </c>
      <c r="C25" s="20">
        <v>0</v>
      </c>
      <c r="D25" s="52">
        <v>2.2999999999999998</v>
      </c>
      <c r="E25" s="51" t="s">
        <v>884</v>
      </c>
    </row>
    <row r="26" spans="1:6" x14ac:dyDescent="0.2">
      <c r="A26" s="17" t="s">
        <v>892</v>
      </c>
      <c r="B26" s="52">
        <v>141.96</v>
      </c>
      <c r="C26" s="52">
        <v>2.895</v>
      </c>
      <c r="D26" s="52">
        <v>2.9</v>
      </c>
      <c r="E26" s="51" t="s">
        <v>885</v>
      </c>
    </row>
    <row r="27" spans="1:6" x14ac:dyDescent="0.2">
      <c r="A27" s="17" t="s">
        <v>893</v>
      </c>
      <c r="B27" s="52">
        <v>156.01</v>
      </c>
      <c r="C27" s="52">
        <v>3.06</v>
      </c>
      <c r="D27" s="20">
        <v>0</v>
      </c>
      <c r="E27" s="51" t="s">
        <v>885</v>
      </c>
    </row>
    <row r="28" spans="1:6" x14ac:dyDescent="0.2">
      <c r="A28" s="17" t="s">
        <v>894</v>
      </c>
      <c r="B28" s="52">
        <v>84.007000000000005</v>
      </c>
      <c r="C28" s="20">
        <v>0</v>
      </c>
      <c r="D28" s="52">
        <v>1.05</v>
      </c>
      <c r="E28" s="51" t="s">
        <v>884</v>
      </c>
    </row>
    <row r="29" spans="1:6" x14ac:dyDescent="0.2">
      <c r="A29" s="17" t="s">
        <v>895</v>
      </c>
      <c r="B29" s="52">
        <v>174.26</v>
      </c>
      <c r="C29" s="52">
        <v>0.17</v>
      </c>
      <c r="D29" s="20">
        <v>0</v>
      </c>
      <c r="E29" s="51" t="s">
        <v>885</v>
      </c>
    </row>
    <row r="30" spans="1:6" x14ac:dyDescent="0.2">
      <c r="A30" s="17" t="s">
        <v>896</v>
      </c>
      <c r="B30" s="52">
        <v>172.17</v>
      </c>
      <c r="C30" s="52">
        <v>9.7000000000000003E-2</v>
      </c>
      <c r="D30" s="20">
        <v>0</v>
      </c>
      <c r="E30" s="51" t="s">
        <v>885</v>
      </c>
    </row>
    <row r="31" spans="1:6" x14ac:dyDescent="0.2">
      <c r="A31" s="17" t="s">
        <v>897</v>
      </c>
      <c r="B31" s="52">
        <v>246.48</v>
      </c>
      <c r="C31" s="52">
        <v>0.8</v>
      </c>
      <c r="D31" s="52">
        <v>0.5</v>
      </c>
      <c r="E31" s="51" t="s">
        <v>885</v>
      </c>
    </row>
    <row r="32" spans="1:6" x14ac:dyDescent="0.2">
      <c r="A32" s="17" t="s">
        <v>898</v>
      </c>
      <c r="B32" s="52">
        <v>132.13999999999999</v>
      </c>
      <c r="C32" s="52">
        <v>0.94299999999999995</v>
      </c>
      <c r="D32" s="52">
        <v>0.47</v>
      </c>
      <c r="E32" s="51" t="s">
        <v>885</v>
      </c>
    </row>
    <row r="33" spans="1:5" ht="24" x14ac:dyDescent="0.2">
      <c r="A33" s="17" t="s">
        <v>899</v>
      </c>
      <c r="B33" s="52">
        <v>110.98</v>
      </c>
      <c r="C33" s="20">
        <v>0</v>
      </c>
      <c r="D33" s="52">
        <v>0.01</v>
      </c>
      <c r="E33" s="51" t="s">
        <v>1062</v>
      </c>
    </row>
    <row r="35" spans="1:5" x14ac:dyDescent="0.2">
      <c r="A35" s="17" t="s">
        <v>900</v>
      </c>
      <c r="B35" s="18" t="s">
        <v>901</v>
      </c>
      <c r="C35" s="19" t="s">
        <v>902</v>
      </c>
      <c r="D35" s="62">
        <f>mc_Na2HPO4/MW_Na2HPO4+mc_NaH2PO4_2H2O/MW_NaH2PO4_2H2O</f>
        <v>4.0007195769523628E-2</v>
      </c>
      <c r="E35" s="51" t="s">
        <v>903</v>
      </c>
    </row>
    <row r="36" spans="1:5" x14ac:dyDescent="0.2">
      <c r="A36" s="17" t="s">
        <v>904</v>
      </c>
      <c r="B36" s="18" t="s">
        <v>905</v>
      </c>
      <c r="C36" s="19" t="s">
        <v>906</v>
      </c>
      <c r="D36" s="62">
        <f>(2*mc_Na2HPO4/MW_Na2HPO4+mc_NaH2PO4_2H2O/MW_NaH2PO4_2H2O+2*mc_K2SO4/MW_K2SO4+2*mc_MgSO4_7H2O/MW_MgSO4_7H2O+2*mc_CaSO4_2H2O/MW_CaSO4_2H2O)-2*(mc_NH42SO4/MW_NH42SO4+mc_MgSO4_7H2O/MW_MgSO4_7H2O+mc_K2SO4/MW_K2SO4+mc_CaSO4_2H2O/MW_CaSO4_2H2O)</f>
        <v>4.6127523207276644E-2</v>
      </c>
      <c r="E36" s="51" t="s">
        <v>907</v>
      </c>
    </row>
    <row r="37" spans="1:5" x14ac:dyDescent="0.2">
      <c r="A37" s="17" t="s">
        <v>908</v>
      </c>
      <c r="B37" s="18" t="s">
        <v>909</v>
      </c>
      <c r="C37" s="19" t="s">
        <v>910</v>
      </c>
      <c r="D37" s="62">
        <f>2*mc_NH42SO4/MW_NH42SO4</f>
        <v>1.4272741032238535E-2</v>
      </c>
      <c r="E37" s="51" t="s">
        <v>911</v>
      </c>
    </row>
    <row r="38" spans="1:5" x14ac:dyDescent="0.2">
      <c r="A38" s="17" t="s">
        <v>912</v>
      </c>
      <c r="B38" s="18" t="s">
        <v>913</v>
      </c>
      <c r="C38" s="19" t="s">
        <v>914</v>
      </c>
      <c r="D38" s="62">
        <f>0</f>
        <v>0</v>
      </c>
      <c r="E38" s="51" t="s">
        <v>915</v>
      </c>
    </row>
    <row r="39" spans="1:5" x14ac:dyDescent="0.2">
      <c r="A39" s="17" t="s">
        <v>916</v>
      </c>
      <c r="B39" s="18" t="s">
        <v>917</v>
      </c>
      <c r="C39" s="19" t="s">
        <v>918</v>
      </c>
      <c r="D39" s="62">
        <f>udg_KH2PO4/MW_KH2PO4+udg_Na2HPO4/MW_Na2HPO4</f>
        <v>3.7329366919026843E-2</v>
      </c>
      <c r="E39" s="51" t="s">
        <v>919</v>
      </c>
    </row>
    <row r="40" spans="1:5" x14ac:dyDescent="0.2">
      <c r="A40" s="17" t="s">
        <v>920</v>
      </c>
      <c r="B40" s="18" t="s">
        <v>921</v>
      </c>
      <c r="C40" s="19" t="s">
        <v>922</v>
      </c>
      <c r="D40" s="62">
        <f>(udg_NaHCO3/MW_NaHCO3+2*udg_Na2HPO4/MW_Na2HPO4+udg_KH2PO4/MW_KH2PO4+2*udg_MgSO4_7H2O/MW_MgSO4_7H2O+2*udg_CaCl2/MW_CaCl2)-(2*(udg_NH42SO4/MW_NH42SO4+udg_MgSO4_7H2O/MW_MgSO4_7H2O)+2*udg_CaCl2/MW_CaCl2)</f>
        <v>6.3142947675680683E-2</v>
      </c>
      <c r="E40" s="51" t="s">
        <v>923</v>
      </c>
    </row>
    <row r="41" spans="1:5" x14ac:dyDescent="0.2">
      <c r="A41" s="17" t="s">
        <v>924</v>
      </c>
      <c r="B41" s="18" t="s">
        <v>925</v>
      </c>
      <c r="C41" s="19" t="s">
        <v>926</v>
      </c>
      <c r="D41" s="62">
        <f>2*udg_NH42SO4/MW_NH42SO4</f>
        <v>7.1136673225367037E-3</v>
      </c>
      <c r="E41" s="51" t="s">
        <v>927</v>
      </c>
    </row>
    <row r="42" spans="1:5" x14ac:dyDescent="0.2">
      <c r="A42" s="17" t="s">
        <v>928</v>
      </c>
      <c r="B42" s="18" t="s">
        <v>929</v>
      </c>
      <c r="C42" s="19" t="s">
        <v>930</v>
      </c>
      <c r="D42" s="62">
        <f>2*udg_CaCl2/MW_CaCl2</f>
        <v>1.8021265092809516E-4</v>
      </c>
      <c r="E42" s="51" t="s">
        <v>931</v>
      </c>
    </row>
    <row r="44" spans="1:5" x14ac:dyDescent="0.2">
      <c r="A44" s="17" t="s">
        <v>932</v>
      </c>
      <c r="B44" s="18" t="s">
        <v>933</v>
      </c>
      <c r="C44" s="19" t="s">
        <v>934</v>
      </c>
      <c r="D44" s="62">
        <f>IF(Summary!$D$5="MC02",SID_mc02,IF(Summary!$D$5="UdG phosphate",SID_udg,NA()))</f>
        <v>4.6127523207276644E-2</v>
      </c>
      <c r="E44" s="51" t="s">
        <v>935</v>
      </c>
    </row>
    <row r="45" spans="1:5" x14ac:dyDescent="0.2">
      <c r="A45" s="17" t="s">
        <v>936</v>
      </c>
      <c r="B45" s="18" t="s">
        <v>937</v>
      </c>
      <c r="C45" s="19" t="s">
        <v>938</v>
      </c>
      <c r="D45" s="62">
        <f>IF(Summary!$D$5="MC02",PT_mc02,IF(Summary!$D$5="UdG phosphate",PT_udg,NA()))</f>
        <v>4.0007195769523628E-2</v>
      </c>
      <c r="E45" s="51" t="s">
        <v>939</v>
      </c>
    </row>
    <row r="46" spans="1:5" x14ac:dyDescent="0.2">
      <c r="A46" s="17" t="s">
        <v>940</v>
      </c>
      <c r="B46" s="18" t="s">
        <v>941</v>
      </c>
      <c r="C46" s="19" t="s">
        <v>942</v>
      </c>
      <c r="D46" s="62">
        <f>IF(Summary!$D$5="MC02",NT_mc02,IF(Summary!$D$5="UdG phosphate",NT_udg,NA()))</f>
        <v>1.4272741032238535E-2</v>
      </c>
      <c r="E46" s="51" t="s">
        <v>943</v>
      </c>
    </row>
    <row r="47" spans="1:5" x14ac:dyDescent="0.2">
      <c r="A47" s="17" t="s">
        <v>944</v>
      </c>
      <c r="B47" s="18" t="s">
        <v>945</v>
      </c>
      <c r="C47" s="19" t="s">
        <v>946</v>
      </c>
      <c r="D47" s="62">
        <f>IF(Summary!$D$5="MC02",Cl_mc02,IF(Summary!$D$5="UdG phosphate",Cl_udg,NA()))</f>
        <v>0</v>
      </c>
      <c r="E47" s="51" t="s">
        <v>947</v>
      </c>
    </row>
    <row r="49" spans="1:3" x14ac:dyDescent="0.2">
      <c r="A49" s="16" t="s">
        <v>1877</v>
      </c>
      <c r="B49" s="16" t="s">
        <v>948</v>
      </c>
      <c r="C49" s="16" t="s">
        <v>949</v>
      </c>
    </row>
    <row r="50" spans="1:3" x14ac:dyDescent="0.2">
      <c r="A50" s="20">
        <v>4</v>
      </c>
      <c r="B50" s="64" t="e">
        <f t="shared" ref="B50:B81" si="1">pH_SID + pH_NT*(10^-A50)/((10^-A50)+KaN_c) + (10^-A50) - (pH_PT*Ka1p_c*(10^-A50)^2 + 2*pH_PT*Ka1p_c*Ka2p_c*(10^-A50) + 3*pH_PT*Ka1p_c*Ka2p_c*Ka3p_c)/((10^-A50)^3 + Ka1p_c*(10^-A50)^2 + Ka1p_c*Ka2p_c*(10^-A50) + Ka1p_c*Ka2p_c*Ka3p_c) - Ka1c_c*CO2aqc/(10^-A50) - 2*Ka1c_c*Ka2c_c*CO2aqc/(10^-A50)^2 - Kw_c/(10^-A50)</f>
        <v>#DIV/0!</v>
      </c>
      <c r="C50" s="64" t="e">
        <f t="shared" ref="C50:C81" si="2">IF(AND(B50&gt;=0,B51&lt;0),A50+0.1*B50/(B50-B51),0)</f>
        <v>#DIV/0!</v>
      </c>
    </row>
    <row r="51" spans="1:3" x14ac:dyDescent="0.2">
      <c r="A51" s="20">
        <v>4.0999999999999996</v>
      </c>
      <c r="B51" s="64" t="e">
        <f t="shared" si="1"/>
        <v>#DIV/0!</v>
      </c>
      <c r="C51" s="64" t="e">
        <f t="shared" si="2"/>
        <v>#DIV/0!</v>
      </c>
    </row>
    <row r="52" spans="1:3" x14ac:dyDescent="0.2">
      <c r="A52" s="20">
        <v>4.2</v>
      </c>
      <c r="B52" s="64" t="e">
        <f t="shared" si="1"/>
        <v>#DIV/0!</v>
      </c>
      <c r="C52" s="64" t="e">
        <f t="shared" si="2"/>
        <v>#DIV/0!</v>
      </c>
    </row>
    <row r="53" spans="1:3" x14ac:dyDescent="0.2">
      <c r="A53" s="20">
        <v>4.3</v>
      </c>
      <c r="B53" s="64" t="e">
        <f t="shared" si="1"/>
        <v>#DIV/0!</v>
      </c>
      <c r="C53" s="64" t="e">
        <f t="shared" si="2"/>
        <v>#DIV/0!</v>
      </c>
    </row>
    <row r="54" spans="1:3" x14ac:dyDescent="0.2">
      <c r="A54" s="20">
        <v>4.4000000000000004</v>
      </c>
      <c r="B54" s="64" t="e">
        <f t="shared" si="1"/>
        <v>#DIV/0!</v>
      </c>
      <c r="C54" s="64" t="e">
        <f t="shared" si="2"/>
        <v>#DIV/0!</v>
      </c>
    </row>
    <row r="55" spans="1:3" x14ac:dyDescent="0.2">
      <c r="A55" s="20">
        <v>4.5</v>
      </c>
      <c r="B55" s="64" t="e">
        <f t="shared" si="1"/>
        <v>#DIV/0!</v>
      </c>
      <c r="C55" s="64" t="e">
        <f t="shared" si="2"/>
        <v>#DIV/0!</v>
      </c>
    </row>
    <row r="56" spans="1:3" x14ac:dyDescent="0.2">
      <c r="A56" s="20">
        <v>4.5999999999999996</v>
      </c>
      <c r="B56" s="64" t="e">
        <f t="shared" si="1"/>
        <v>#DIV/0!</v>
      </c>
      <c r="C56" s="64" t="e">
        <f t="shared" si="2"/>
        <v>#DIV/0!</v>
      </c>
    </row>
    <row r="57" spans="1:3" x14ac:dyDescent="0.2">
      <c r="A57" s="20">
        <v>4.7</v>
      </c>
      <c r="B57" s="64" t="e">
        <f t="shared" si="1"/>
        <v>#DIV/0!</v>
      </c>
      <c r="C57" s="64" t="e">
        <f t="shared" si="2"/>
        <v>#DIV/0!</v>
      </c>
    </row>
    <row r="58" spans="1:3" x14ac:dyDescent="0.2">
      <c r="A58" s="20">
        <v>4.8</v>
      </c>
      <c r="B58" s="64" t="e">
        <f t="shared" si="1"/>
        <v>#DIV/0!</v>
      </c>
      <c r="C58" s="64" t="e">
        <f t="shared" si="2"/>
        <v>#DIV/0!</v>
      </c>
    </row>
    <row r="59" spans="1:3" x14ac:dyDescent="0.2">
      <c r="A59" s="20">
        <v>4.9000000000000004</v>
      </c>
      <c r="B59" s="64" t="e">
        <f t="shared" si="1"/>
        <v>#DIV/0!</v>
      </c>
      <c r="C59" s="64" t="e">
        <f t="shared" si="2"/>
        <v>#DIV/0!</v>
      </c>
    </row>
    <row r="60" spans="1:3" x14ac:dyDescent="0.2">
      <c r="A60" s="20">
        <v>5</v>
      </c>
      <c r="B60" s="64" t="e">
        <f t="shared" si="1"/>
        <v>#DIV/0!</v>
      </c>
      <c r="C60" s="64" t="e">
        <f t="shared" si="2"/>
        <v>#DIV/0!</v>
      </c>
    </row>
    <row r="61" spans="1:3" x14ac:dyDescent="0.2">
      <c r="A61" s="20">
        <v>5.0999999999999996</v>
      </c>
      <c r="B61" s="64" t="e">
        <f t="shared" si="1"/>
        <v>#DIV/0!</v>
      </c>
      <c r="C61" s="64" t="e">
        <f t="shared" si="2"/>
        <v>#DIV/0!</v>
      </c>
    </row>
    <row r="62" spans="1:3" x14ac:dyDescent="0.2">
      <c r="A62" s="20">
        <v>5.2</v>
      </c>
      <c r="B62" s="64" t="e">
        <f t="shared" si="1"/>
        <v>#DIV/0!</v>
      </c>
      <c r="C62" s="64" t="e">
        <f t="shared" si="2"/>
        <v>#DIV/0!</v>
      </c>
    </row>
    <row r="63" spans="1:3" x14ac:dyDescent="0.2">
      <c r="A63" s="20">
        <v>5.3</v>
      </c>
      <c r="B63" s="64" t="e">
        <f t="shared" si="1"/>
        <v>#DIV/0!</v>
      </c>
      <c r="C63" s="64" t="e">
        <f t="shared" si="2"/>
        <v>#DIV/0!</v>
      </c>
    </row>
    <row r="64" spans="1:3" x14ac:dyDescent="0.2">
      <c r="A64" s="20">
        <v>5.4</v>
      </c>
      <c r="B64" s="64" t="e">
        <f t="shared" si="1"/>
        <v>#DIV/0!</v>
      </c>
      <c r="C64" s="64" t="e">
        <f t="shared" si="2"/>
        <v>#DIV/0!</v>
      </c>
    </row>
    <row r="65" spans="1:3" x14ac:dyDescent="0.2">
      <c r="A65" s="20">
        <v>5.5</v>
      </c>
      <c r="B65" s="64" t="e">
        <f t="shared" si="1"/>
        <v>#DIV/0!</v>
      </c>
      <c r="C65" s="64" t="e">
        <f t="shared" si="2"/>
        <v>#DIV/0!</v>
      </c>
    </row>
    <row r="66" spans="1:3" x14ac:dyDescent="0.2">
      <c r="A66" s="20">
        <v>5.6</v>
      </c>
      <c r="B66" s="64" t="e">
        <f t="shared" si="1"/>
        <v>#DIV/0!</v>
      </c>
      <c r="C66" s="64" t="e">
        <f t="shared" si="2"/>
        <v>#DIV/0!</v>
      </c>
    </row>
    <row r="67" spans="1:3" x14ac:dyDescent="0.2">
      <c r="A67" s="20">
        <v>5.7</v>
      </c>
      <c r="B67" s="64" t="e">
        <f t="shared" si="1"/>
        <v>#DIV/0!</v>
      </c>
      <c r="C67" s="64" t="e">
        <f t="shared" si="2"/>
        <v>#DIV/0!</v>
      </c>
    </row>
    <row r="68" spans="1:3" x14ac:dyDescent="0.2">
      <c r="A68" s="20">
        <v>5.8</v>
      </c>
      <c r="B68" s="64" t="e">
        <f t="shared" si="1"/>
        <v>#DIV/0!</v>
      </c>
      <c r="C68" s="64" t="e">
        <f t="shared" si="2"/>
        <v>#DIV/0!</v>
      </c>
    </row>
    <row r="69" spans="1:3" x14ac:dyDescent="0.2">
      <c r="A69" s="20">
        <v>5.9</v>
      </c>
      <c r="B69" s="64" t="e">
        <f t="shared" si="1"/>
        <v>#DIV/0!</v>
      </c>
      <c r="C69" s="64" t="e">
        <f t="shared" si="2"/>
        <v>#DIV/0!</v>
      </c>
    </row>
    <row r="70" spans="1:3" x14ac:dyDescent="0.2">
      <c r="A70" s="20">
        <v>6</v>
      </c>
      <c r="B70" s="64" t="e">
        <f t="shared" si="1"/>
        <v>#DIV/0!</v>
      </c>
      <c r="C70" s="64" t="e">
        <f t="shared" si="2"/>
        <v>#DIV/0!</v>
      </c>
    </row>
    <row r="71" spans="1:3" x14ac:dyDescent="0.2">
      <c r="A71" s="20">
        <v>6.1</v>
      </c>
      <c r="B71" s="64" t="e">
        <f t="shared" si="1"/>
        <v>#DIV/0!</v>
      </c>
      <c r="C71" s="64" t="e">
        <f t="shared" si="2"/>
        <v>#DIV/0!</v>
      </c>
    </row>
    <row r="72" spans="1:3" x14ac:dyDescent="0.2">
      <c r="A72" s="20">
        <v>6.2</v>
      </c>
      <c r="B72" s="64" t="e">
        <f t="shared" si="1"/>
        <v>#DIV/0!</v>
      </c>
      <c r="C72" s="64" t="e">
        <f t="shared" si="2"/>
        <v>#DIV/0!</v>
      </c>
    </row>
    <row r="73" spans="1:3" x14ac:dyDescent="0.2">
      <c r="A73" s="20">
        <v>6.3</v>
      </c>
      <c r="B73" s="64" t="e">
        <f t="shared" si="1"/>
        <v>#DIV/0!</v>
      </c>
      <c r="C73" s="64" t="e">
        <f t="shared" si="2"/>
        <v>#DIV/0!</v>
      </c>
    </row>
    <row r="74" spans="1:3" x14ac:dyDescent="0.2">
      <c r="A74" s="20">
        <v>6.4</v>
      </c>
      <c r="B74" s="64" t="e">
        <f t="shared" si="1"/>
        <v>#DIV/0!</v>
      </c>
      <c r="C74" s="64" t="e">
        <f t="shared" si="2"/>
        <v>#DIV/0!</v>
      </c>
    </row>
    <row r="75" spans="1:3" x14ac:dyDescent="0.2">
      <c r="A75" s="20">
        <v>6.5</v>
      </c>
      <c r="B75" s="64" t="e">
        <f t="shared" si="1"/>
        <v>#DIV/0!</v>
      </c>
      <c r="C75" s="64" t="e">
        <f t="shared" si="2"/>
        <v>#DIV/0!</v>
      </c>
    </row>
    <row r="76" spans="1:3" x14ac:dyDescent="0.2">
      <c r="A76" s="20">
        <v>6.6</v>
      </c>
      <c r="B76" s="64" t="e">
        <f t="shared" si="1"/>
        <v>#DIV/0!</v>
      </c>
      <c r="C76" s="64" t="e">
        <f t="shared" si="2"/>
        <v>#DIV/0!</v>
      </c>
    </row>
    <row r="77" spans="1:3" x14ac:dyDescent="0.2">
      <c r="A77" s="20">
        <v>6.7</v>
      </c>
      <c r="B77" s="64" t="e">
        <f t="shared" si="1"/>
        <v>#DIV/0!</v>
      </c>
      <c r="C77" s="64" t="e">
        <f t="shared" si="2"/>
        <v>#DIV/0!</v>
      </c>
    </row>
    <row r="78" spans="1:3" x14ac:dyDescent="0.2">
      <c r="A78" s="20">
        <v>6.8</v>
      </c>
      <c r="B78" s="64" t="e">
        <f t="shared" si="1"/>
        <v>#DIV/0!</v>
      </c>
      <c r="C78" s="64" t="e">
        <f t="shared" si="2"/>
        <v>#DIV/0!</v>
      </c>
    </row>
    <row r="79" spans="1:3" x14ac:dyDescent="0.2">
      <c r="A79" s="20">
        <v>6.9</v>
      </c>
      <c r="B79" s="64" t="e">
        <f t="shared" si="1"/>
        <v>#DIV/0!</v>
      </c>
      <c r="C79" s="64" t="e">
        <f t="shared" si="2"/>
        <v>#DIV/0!</v>
      </c>
    </row>
    <row r="80" spans="1:3" x14ac:dyDescent="0.2">
      <c r="A80" s="20">
        <v>7</v>
      </c>
      <c r="B80" s="64" t="e">
        <f t="shared" si="1"/>
        <v>#DIV/0!</v>
      </c>
      <c r="C80" s="64" t="e">
        <f t="shared" si="2"/>
        <v>#DIV/0!</v>
      </c>
    </row>
    <row r="81" spans="1:3" x14ac:dyDescent="0.2">
      <c r="A81" s="20">
        <v>7.1</v>
      </c>
      <c r="B81" s="64" t="e">
        <f t="shared" si="1"/>
        <v>#DIV/0!</v>
      </c>
      <c r="C81" s="64" t="e">
        <f t="shared" si="2"/>
        <v>#DIV/0!</v>
      </c>
    </row>
    <row r="82" spans="1:3" x14ac:dyDescent="0.2">
      <c r="A82" s="20">
        <v>7.2</v>
      </c>
      <c r="B82" s="64" t="e">
        <f t="shared" ref="B82:B113" si="3">pH_SID + pH_NT*(10^-A82)/((10^-A82)+KaN_c) + (10^-A82) - (pH_PT*Ka1p_c*(10^-A82)^2 + 2*pH_PT*Ka1p_c*Ka2p_c*(10^-A82) + 3*pH_PT*Ka1p_c*Ka2p_c*Ka3p_c)/((10^-A82)^3 + Ka1p_c*(10^-A82)^2 + Ka1p_c*Ka2p_c*(10^-A82) + Ka1p_c*Ka2p_c*Ka3p_c) - Ka1c_c*CO2aqc/(10^-A82) - 2*Ka1c_c*Ka2c_c*CO2aqc/(10^-A82)^2 - Kw_c/(10^-A82)</f>
        <v>#DIV/0!</v>
      </c>
      <c r="C82" s="64" t="e">
        <f t="shared" ref="C82:C99" si="4">IF(AND(B82&gt;=0,B83&lt;0),A82+0.1*B82/(B82-B83),0)</f>
        <v>#DIV/0!</v>
      </c>
    </row>
    <row r="83" spans="1:3" x14ac:dyDescent="0.2">
      <c r="A83" s="20">
        <v>7.3</v>
      </c>
      <c r="B83" s="64" t="e">
        <f t="shared" si="3"/>
        <v>#DIV/0!</v>
      </c>
      <c r="C83" s="64" t="e">
        <f t="shared" si="4"/>
        <v>#DIV/0!</v>
      </c>
    </row>
    <row r="84" spans="1:3" x14ac:dyDescent="0.2">
      <c r="A84" s="20">
        <v>7.4</v>
      </c>
      <c r="B84" s="64" t="e">
        <f t="shared" si="3"/>
        <v>#DIV/0!</v>
      </c>
      <c r="C84" s="64" t="e">
        <f t="shared" si="4"/>
        <v>#DIV/0!</v>
      </c>
    </row>
    <row r="85" spans="1:3" x14ac:dyDescent="0.2">
      <c r="A85" s="20">
        <v>7.5</v>
      </c>
      <c r="B85" s="64" t="e">
        <f t="shared" si="3"/>
        <v>#DIV/0!</v>
      </c>
      <c r="C85" s="64" t="e">
        <f t="shared" si="4"/>
        <v>#DIV/0!</v>
      </c>
    </row>
    <row r="86" spans="1:3" x14ac:dyDescent="0.2">
      <c r="A86" s="20">
        <v>7.6</v>
      </c>
      <c r="B86" s="64" t="e">
        <f t="shared" si="3"/>
        <v>#DIV/0!</v>
      </c>
      <c r="C86" s="64" t="e">
        <f t="shared" si="4"/>
        <v>#DIV/0!</v>
      </c>
    </row>
    <row r="87" spans="1:3" x14ac:dyDescent="0.2">
      <c r="A87" s="20">
        <v>7.7</v>
      </c>
      <c r="B87" s="64" t="e">
        <f t="shared" si="3"/>
        <v>#DIV/0!</v>
      </c>
      <c r="C87" s="64" t="e">
        <f t="shared" si="4"/>
        <v>#DIV/0!</v>
      </c>
    </row>
    <row r="88" spans="1:3" x14ac:dyDescent="0.2">
      <c r="A88" s="20">
        <v>7.8</v>
      </c>
      <c r="B88" s="64" t="e">
        <f t="shared" si="3"/>
        <v>#DIV/0!</v>
      </c>
      <c r="C88" s="64" t="e">
        <f t="shared" si="4"/>
        <v>#DIV/0!</v>
      </c>
    </row>
    <row r="89" spans="1:3" x14ac:dyDescent="0.2">
      <c r="A89" s="20">
        <v>7.9</v>
      </c>
      <c r="B89" s="64" t="e">
        <f t="shared" si="3"/>
        <v>#DIV/0!</v>
      </c>
      <c r="C89" s="64" t="e">
        <f t="shared" si="4"/>
        <v>#DIV/0!</v>
      </c>
    </row>
    <row r="90" spans="1:3" x14ac:dyDescent="0.2">
      <c r="A90" s="20">
        <v>8</v>
      </c>
      <c r="B90" s="64" t="e">
        <f t="shared" si="3"/>
        <v>#DIV/0!</v>
      </c>
      <c r="C90" s="64" t="e">
        <f t="shared" si="4"/>
        <v>#DIV/0!</v>
      </c>
    </row>
    <row r="91" spans="1:3" x14ac:dyDescent="0.2">
      <c r="A91" s="20">
        <v>8.1</v>
      </c>
      <c r="B91" s="64" t="e">
        <f t="shared" si="3"/>
        <v>#DIV/0!</v>
      </c>
      <c r="C91" s="64" t="e">
        <f t="shared" si="4"/>
        <v>#DIV/0!</v>
      </c>
    </row>
    <row r="92" spans="1:3" x14ac:dyDescent="0.2">
      <c r="A92" s="20">
        <v>8.1999999999999993</v>
      </c>
      <c r="B92" s="64" t="e">
        <f t="shared" si="3"/>
        <v>#DIV/0!</v>
      </c>
      <c r="C92" s="64" t="e">
        <f t="shared" si="4"/>
        <v>#DIV/0!</v>
      </c>
    </row>
    <row r="93" spans="1:3" x14ac:dyDescent="0.2">
      <c r="A93" s="20">
        <v>8.3000000000000007</v>
      </c>
      <c r="B93" s="64" t="e">
        <f t="shared" si="3"/>
        <v>#DIV/0!</v>
      </c>
      <c r="C93" s="64" t="e">
        <f t="shared" si="4"/>
        <v>#DIV/0!</v>
      </c>
    </row>
    <row r="94" spans="1:3" x14ac:dyDescent="0.2">
      <c r="A94" s="20">
        <v>8.4</v>
      </c>
      <c r="B94" s="64" t="e">
        <f t="shared" si="3"/>
        <v>#DIV/0!</v>
      </c>
      <c r="C94" s="64" t="e">
        <f t="shared" si="4"/>
        <v>#DIV/0!</v>
      </c>
    </row>
    <row r="95" spans="1:3" x14ac:dyDescent="0.2">
      <c r="A95" s="20">
        <v>8.5</v>
      </c>
      <c r="B95" s="64" t="e">
        <f t="shared" si="3"/>
        <v>#DIV/0!</v>
      </c>
      <c r="C95" s="64" t="e">
        <f t="shared" si="4"/>
        <v>#DIV/0!</v>
      </c>
    </row>
    <row r="96" spans="1:3" x14ac:dyDescent="0.2">
      <c r="A96" s="20">
        <v>8.6</v>
      </c>
      <c r="B96" s="64" t="e">
        <f t="shared" si="3"/>
        <v>#DIV/0!</v>
      </c>
      <c r="C96" s="64" t="e">
        <f t="shared" si="4"/>
        <v>#DIV/0!</v>
      </c>
    </row>
    <row r="97" spans="1:7" x14ac:dyDescent="0.2">
      <c r="A97" s="20">
        <v>8.6999999999999993</v>
      </c>
      <c r="B97" s="64" t="e">
        <f t="shared" si="3"/>
        <v>#DIV/0!</v>
      </c>
      <c r="C97" s="64" t="e">
        <f t="shared" si="4"/>
        <v>#DIV/0!</v>
      </c>
    </row>
    <row r="98" spans="1:7" x14ac:dyDescent="0.2">
      <c r="A98" s="20">
        <v>8.8000000000000007</v>
      </c>
      <c r="B98" s="64" t="e">
        <f t="shared" si="3"/>
        <v>#DIV/0!</v>
      </c>
      <c r="C98" s="64" t="e">
        <f t="shared" si="4"/>
        <v>#DIV/0!</v>
      </c>
    </row>
    <row r="99" spans="1:7" x14ac:dyDescent="0.2">
      <c r="A99" s="20">
        <v>8.9</v>
      </c>
      <c r="B99" s="64" t="e">
        <f t="shared" si="3"/>
        <v>#DIV/0!</v>
      </c>
      <c r="C99" s="64" t="e">
        <f t="shared" si="4"/>
        <v>#DIV/0!</v>
      </c>
    </row>
    <row r="100" spans="1:7" x14ac:dyDescent="0.2">
      <c r="A100" s="20">
        <v>9</v>
      </c>
      <c r="B100" s="64" t="e">
        <f t="shared" si="3"/>
        <v>#DIV/0!</v>
      </c>
      <c r="C100" s="64">
        <f>0</f>
        <v>0</v>
      </c>
    </row>
    <row r="101" spans="1:7" s="97" customFormat="1" x14ac:dyDescent="0.2">
      <c r="B101" s="120"/>
      <c r="C101" s="120"/>
    </row>
    <row r="102" spans="1:7" x14ac:dyDescent="0.2">
      <c r="A102" s="16" t="s">
        <v>24</v>
      </c>
      <c r="B102" s="16" t="s">
        <v>25</v>
      </c>
      <c r="C102" s="16" t="s">
        <v>26</v>
      </c>
      <c r="D102" s="16" t="s">
        <v>27</v>
      </c>
      <c r="E102" s="16" t="s">
        <v>131</v>
      </c>
    </row>
    <row r="103" spans="1:7" ht="48" x14ac:dyDescent="0.2">
      <c r="A103" s="17" t="s">
        <v>950</v>
      </c>
      <c r="B103" s="18" t="s">
        <v>951</v>
      </c>
      <c r="C103" s="19" t="s">
        <v>952</v>
      </c>
      <c r="D103" s="62" t="e">
        <f>IF(n_cross=1,SUM(C50:C100),NA())</f>
        <v>#DIV/0!</v>
      </c>
      <c r="E103" s="51" t="s">
        <v>1878</v>
      </c>
      <c r="F103" s="101" t="s">
        <v>953</v>
      </c>
    </row>
    <row r="104" spans="1:7" ht="36" x14ac:dyDescent="0.2">
      <c r="A104" s="17" t="s">
        <v>954</v>
      </c>
      <c r="B104" s="18" t="s">
        <v>955</v>
      </c>
      <c r="C104" s="19" t="s">
        <v>956</v>
      </c>
      <c r="D104" s="62" t="e">
        <f>1/(1+10^(pH_meas-pKa_HOCl))</f>
        <v>#DIV/0!</v>
      </c>
      <c r="E104" s="51" t="s">
        <v>1879</v>
      </c>
    </row>
    <row r="105" spans="1:7" ht="36" x14ac:dyDescent="0.2">
      <c r="A105" s="17" t="s">
        <v>1003</v>
      </c>
      <c r="B105" s="18" t="s">
        <v>1004</v>
      </c>
      <c r="C105" s="19" t="s">
        <v>1005</v>
      </c>
      <c r="D105" s="62" t="e">
        <f>SUMPRODUCT((B50:B99&gt;=0)*(B51:B100&lt;0))</f>
        <v>#DIV/0!</v>
      </c>
      <c r="E105" s="51" t="s">
        <v>1006</v>
      </c>
      <c r="F105" s="20"/>
    </row>
    <row r="106" spans="1:7" ht="48" x14ac:dyDescent="0.2">
      <c r="A106" s="104" t="s">
        <v>957</v>
      </c>
      <c r="G106" s="69" t="s">
        <v>1008</v>
      </c>
    </row>
    <row r="107" spans="1:7" ht="328" x14ac:dyDescent="0.2">
      <c r="A107" s="17" t="s">
        <v>1060</v>
      </c>
      <c r="B107" s="18" t="s">
        <v>958</v>
      </c>
      <c r="C107" s="19" t="s">
        <v>959</v>
      </c>
      <c r="D107" s="62">
        <f>Iappc/(2*Fcc)*M_HOCl*3600/VLc</f>
        <v>371.24490544791416</v>
      </c>
      <c r="E107" s="51" t="s">
        <v>1459</v>
      </c>
      <c r="G107" s="69" t="s">
        <v>1009</v>
      </c>
    </row>
    <row r="108" spans="1:7" ht="284" x14ac:dyDescent="0.2">
      <c r="A108" s="17" t="s">
        <v>960</v>
      </c>
      <c r="B108" s="18" t="s">
        <v>961</v>
      </c>
      <c r="C108" s="19" t="s">
        <v>962</v>
      </c>
      <c r="D108" s="62">
        <f>1/(bleach_rate)*60</f>
        <v>0.16161837945657148</v>
      </c>
      <c r="E108" s="51" t="s">
        <v>963</v>
      </c>
      <c r="G108" s="69" t="s">
        <v>1010</v>
      </c>
    </row>
    <row r="109" spans="1:7" ht="204" x14ac:dyDescent="0.2">
      <c r="A109" s="17" t="s">
        <v>964</v>
      </c>
      <c r="B109" s="18" t="s">
        <v>965</v>
      </c>
      <c r="C109" s="19" t="s">
        <v>966</v>
      </c>
      <c r="D109" s="64" t="e">
        <f>IF(C_eff&lt;Cl_onset,"negligible free chlorine ("&amp;TEXT(C_eff,"0.00")&amp;" mg/L &lt; onset); does NOT account for the Exp-2 death - see metal_flag",IF(C_eff&lt;Cl_kill,"sub-lethal "&amp;TEXT(C_eff,"0.00")&amp;" mg/L (band "&amp;TEXT(C_eff_lo,"0.00")&amp;"-"&amp;TEXT(C_eff_hi,"0.00")&amp;"); chloride-pool-bounded, cannot reach the kill threshold in this medium; does NOT explain the death - see metal_flag","SEVERE free chlorine: "&amp;TEXT(C_eff,"0.0")&amp;" mg/L biofilm/electrode damage (Baek 2021)"))</f>
        <v>#DIV/0!</v>
      </c>
      <c r="E109" s="51" t="s">
        <v>1127</v>
      </c>
      <c r="G109" s="69" t="s">
        <v>1011</v>
      </c>
    </row>
    <row r="110" spans="1:7" ht="328" x14ac:dyDescent="0.2">
      <c r="A110" s="17" t="s">
        <v>967</v>
      </c>
      <c r="B110" s="18" t="s">
        <v>968</v>
      </c>
      <c r="C110" s="19" t="s">
        <v>969</v>
      </c>
      <c r="D110" s="64" t="e">
        <f>IF(pH_meas&lt;6.5,"pH BELOW HOB optimum (&lt;6.5) — reduce the CO₂ dose or lengthen the interval",IF(pH_meas&gt;7.5,"pH above optimum (&gt;7.5)","pH in HOB band 6.5–7.5"))</f>
        <v>#DIV/0!</v>
      </c>
      <c r="E110" s="51" t="s">
        <v>1880</v>
      </c>
      <c r="G110" s="69" t="s">
        <v>1012</v>
      </c>
    </row>
    <row r="112" spans="1:7" ht="16" x14ac:dyDescent="0.2">
      <c r="A112" s="104" t="s">
        <v>970</v>
      </c>
    </row>
    <row r="113" spans="1:5" x14ac:dyDescent="0.2">
      <c r="A113" s="16" t="s">
        <v>971</v>
      </c>
      <c r="B113" s="16" t="s">
        <v>972</v>
      </c>
      <c r="C113" s="16" t="s">
        <v>973</v>
      </c>
      <c r="D113" s="16" t="s">
        <v>974</v>
      </c>
      <c r="E113" s="16" t="s">
        <v>975</v>
      </c>
    </row>
    <row r="114" spans="1:5" x14ac:dyDescent="0.2">
      <c r="A114" s="20" t="s">
        <v>976</v>
      </c>
      <c r="B114" s="20" t="s">
        <v>977</v>
      </c>
      <c r="C114" s="62">
        <f>PT_mc02*1000</f>
        <v>40.007195769523626</v>
      </c>
      <c r="D114" s="20" t="s">
        <v>978</v>
      </c>
      <c r="E114" s="20" t="s">
        <v>979</v>
      </c>
    </row>
    <row r="115" spans="1:5" x14ac:dyDescent="0.2">
      <c r="A115" s="20" t="s">
        <v>980</v>
      </c>
      <c r="B115" s="20" t="s">
        <v>981</v>
      </c>
      <c r="C115" s="62">
        <f>PT_udg*1000</f>
        <v>37.329366919026846</v>
      </c>
      <c r="D115" s="20" t="s">
        <v>982</v>
      </c>
      <c r="E115" s="20" t="s">
        <v>983</v>
      </c>
    </row>
    <row r="123" spans="1:5" ht="16" x14ac:dyDescent="0.2">
      <c r="A123" s="104"/>
    </row>
    <row r="125" spans="1:5" ht="48" x14ac:dyDescent="0.2">
      <c r="A125" s="17" t="s">
        <v>1061</v>
      </c>
      <c r="B125" s="18" t="s">
        <v>984</v>
      </c>
      <c r="C125" s="19" t="s">
        <v>985</v>
      </c>
      <c r="D125" s="62" t="e">
        <f>pH_Cl*pH_fHOCl*M_HOCl</f>
        <v>#DIV/0!</v>
      </c>
      <c r="E125" s="51" t="s">
        <v>1460</v>
      </c>
    </row>
    <row r="127" spans="1:5" ht="16" x14ac:dyDescent="0.2">
      <c r="A127" s="104" t="s">
        <v>1064</v>
      </c>
    </row>
    <row r="128" spans="1:5" ht="60" x14ac:dyDescent="0.2">
      <c r="A128" s="17" t="s">
        <v>1065</v>
      </c>
      <c r="B128" s="18" t="s">
        <v>1066</v>
      </c>
      <c r="C128" s="19" t="s">
        <v>1067</v>
      </c>
      <c r="D128" s="52">
        <v>0.5</v>
      </c>
      <c r="E128" s="51" t="s">
        <v>1461</v>
      </c>
    </row>
    <row r="129" spans="1:5" ht="48" x14ac:dyDescent="0.2">
      <c r="A129" s="17" t="s">
        <v>1068</v>
      </c>
      <c r="B129" s="18" t="s">
        <v>1069</v>
      </c>
      <c r="C129" s="19" t="s">
        <v>1070</v>
      </c>
      <c r="D129" s="52">
        <v>4.0499999999999998E-3</v>
      </c>
      <c r="E129" s="51" t="s">
        <v>1756</v>
      </c>
    </row>
    <row r="130" spans="1:5" ht="24" x14ac:dyDescent="0.2">
      <c r="A130" s="17" t="s">
        <v>1071</v>
      </c>
      <c r="B130" s="18" t="s">
        <v>1072</v>
      </c>
      <c r="C130" s="19" t="s">
        <v>1073</v>
      </c>
      <c r="D130" s="22">
        <f>Electrochemistry!$D$46</f>
        <v>2.013378394640164</v>
      </c>
      <c r="E130" s="51" t="s">
        <v>1392</v>
      </c>
    </row>
    <row r="131" spans="1:5" x14ac:dyDescent="0.2">
      <c r="A131" s="17" t="s">
        <v>1074</v>
      </c>
      <c r="B131" s="18" t="s">
        <v>1075</v>
      </c>
      <c r="C131" s="19" t="s">
        <v>1076</v>
      </c>
      <c r="D131" s="62">
        <f>Iappc*FE_CER</f>
        <v>2.8449999999999999E-3</v>
      </c>
      <c r="E131" s="51" t="s">
        <v>1077</v>
      </c>
    </row>
    <row r="132" spans="1:5" ht="48" x14ac:dyDescent="0.2">
      <c r="A132" s="17" t="s">
        <v>1078</v>
      </c>
      <c r="B132" s="18" t="s">
        <v>1079</v>
      </c>
      <c r="C132" s="19" t="s">
        <v>1076</v>
      </c>
      <c r="D132" s="62">
        <f>Fcc*km_Cl*(pH_Cl/1000)*A_anode</f>
        <v>0</v>
      </c>
      <c r="E132" s="51" t="s">
        <v>1462</v>
      </c>
    </row>
    <row r="133" spans="1:5" x14ac:dyDescent="0.2">
      <c r="A133" s="17" t="s">
        <v>1080</v>
      </c>
      <c r="B133" s="18" t="s">
        <v>1081</v>
      </c>
      <c r="C133" s="19" t="s">
        <v>1076</v>
      </c>
      <c r="D133" s="62">
        <f>MIN(I_Cl_FE,I_Cl_mt)</f>
        <v>0</v>
      </c>
      <c r="E133" s="51" t="s">
        <v>1082</v>
      </c>
    </row>
    <row r="134" spans="1:5" x14ac:dyDescent="0.2">
      <c r="A134" s="17" t="s">
        <v>1083</v>
      </c>
      <c r="B134" s="18" t="s">
        <v>1084</v>
      </c>
      <c r="C134" s="19" t="s">
        <v>1085</v>
      </c>
      <c r="D134" s="62">
        <f>I_Cl/(n_e_Cl*Fcc*VLc)</f>
        <v>0</v>
      </c>
      <c r="E134" s="51" t="s">
        <v>1463</v>
      </c>
    </row>
    <row r="135" spans="1:5" x14ac:dyDescent="0.2">
      <c r="A135" s="17" t="s">
        <v>1086</v>
      </c>
      <c r="B135" s="18" t="s">
        <v>1087</v>
      </c>
      <c r="C135" s="19" t="s">
        <v>1088</v>
      </c>
      <c r="D135" s="62">
        <f>pH_NT*MW_N</f>
        <v>199.91828363856516</v>
      </c>
      <c r="E135" s="51" t="s">
        <v>1089</v>
      </c>
    </row>
    <row r="136" spans="1:5" ht="36" x14ac:dyDescent="0.2">
      <c r="A136" s="17" t="s">
        <v>1090</v>
      </c>
      <c r="B136" s="18" t="s">
        <v>1091</v>
      </c>
      <c r="C136" s="19" t="s">
        <v>1092</v>
      </c>
      <c r="D136" s="52">
        <v>4200000</v>
      </c>
      <c r="E136" s="51" t="s">
        <v>1093</v>
      </c>
    </row>
    <row r="137" spans="1:5" ht="48" x14ac:dyDescent="0.2">
      <c r="A137" s="17" t="s">
        <v>1094</v>
      </c>
      <c r="B137" s="18" t="s">
        <v>1095</v>
      </c>
      <c r="C137" s="19" t="s">
        <v>1067</v>
      </c>
      <c r="D137" s="52">
        <f>-LOG10(Ka_NH4)</f>
        <v>9.2518119729937993</v>
      </c>
      <c r="E137" s="51" t="s">
        <v>1481</v>
      </c>
    </row>
    <row r="138" spans="1:5" ht="24" x14ac:dyDescent="0.2">
      <c r="A138" s="17" t="s">
        <v>1096</v>
      </c>
      <c r="B138" s="18" t="s">
        <v>1097</v>
      </c>
      <c r="C138" s="19" t="s">
        <v>1098</v>
      </c>
      <c r="D138" s="62" t="e">
        <f>pH_NT/(1+10^(pKa_NH4-pH_meas))</f>
        <v>#DIV/0!</v>
      </c>
      <c r="E138" s="51" t="s">
        <v>1099</v>
      </c>
    </row>
    <row r="139" spans="1:5" ht="24" x14ac:dyDescent="0.2">
      <c r="A139" s="17" t="s">
        <v>1100</v>
      </c>
      <c r="B139" s="18" t="s">
        <v>1101</v>
      </c>
      <c r="C139" s="19" t="s">
        <v>1098</v>
      </c>
      <c r="D139" s="62" t="e">
        <f>P_HOCl/(k1_NH2Cl*NH3_free)</f>
        <v>#DIV/0!</v>
      </c>
      <c r="E139" s="51" t="s">
        <v>1102</v>
      </c>
    </row>
    <row r="140" spans="1:5" ht="24" x14ac:dyDescent="0.2">
      <c r="A140" s="17" t="s">
        <v>1103</v>
      </c>
      <c r="B140" s="18" t="s">
        <v>1104</v>
      </c>
      <c r="C140" s="19" t="s">
        <v>1088</v>
      </c>
      <c r="D140" s="62" t="e">
        <f>HOCl_ss*M_HOCl</f>
        <v>#DIV/0!</v>
      </c>
      <c r="E140" s="51" t="s">
        <v>1105</v>
      </c>
    </row>
    <row r="141" spans="1:5" ht="48" x14ac:dyDescent="0.2">
      <c r="A141" s="17" t="s">
        <v>1106</v>
      </c>
      <c r="B141" s="18" t="s">
        <v>1107</v>
      </c>
      <c r="C141" s="19" t="s">
        <v>1067</v>
      </c>
      <c r="D141" s="52">
        <v>10</v>
      </c>
      <c r="E141" s="51" t="s">
        <v>1108</v>
      </c>
    </row>
    <row r="142" spans="1:5" ht="36" x14ac:dyDescent="0.2">
      <c r="A142" s="17" t="s">
        <v>1109</v>
      </c>
      <c r="B142" s="18" t="s">
        <v>1110</v>
      </c>
      <c r="C142" s="19" t="s">
        <v>1111</v>
      </c>
      <c r="D142" s="52">
        <v>1</v>
      </c>
      <c r="E142" s="51" t="s">
        <v>1112</v>
      </c>
    </row>
    <row r="143" spans="1:5" ht="36" x14ac:dyDescent="0.2">
      <c r="A143" s="17" t="s">
        <v>1113</v>
      </c>
      <c r="B143" s="18" t="s">
        <v>1114</v>
      </c>
      <c r="C143" s="19" t="s">
        <v>1088</v>
      </c>
      <c r="D143" s="62">
        <f>MIN(P_HOCl*tau_NH2Cl*3600*M_HOCl,cl_per_N*NH3_N,Cl_pool_mgL)</f>
        <v>0</v>
      </c>
      <c r="E143" s="51" t="s">
        <v>1115</v>
      </c>
    </row>
    <row r="144" spans="1:5" ht="36" x14ac:dyDescent="0.2">
      <c r="A144" s="17" t="s">
        <v>1116</v>
      </c>
      <c r="B144" s="18" t="s">
        <v>1117</v>
      </c>
      <c r="C144" s="19" t="s">
        <v>1067</v>
      </c>
      <c r="D144" s="52">
        <v>25</v>
      </c>
      <c r="E144" s="51" t="s">
        <v>1118</v>
      </c>
    </row>
    <row r="145" spans="1:5" ht="60" x14ac:dyDescent="0.2">
      <c r="A145" s="17" t="s">
        <v>1119</v>
      </c>
      <c r="B145" s="18" t="s">
        <v>1120</v>
      </c>
      <c r="C145" s="19" t="s">
        <v>1088</v>
      </c>
      <c r="D145" s="62" t="e">
        <f>f_local*HOCl_ss_mgL+NH2Cl_mgL/R_chloramine</f>
        <v>#DIV/0!</v>
      </c>
      <c r="E145" s="51" t="s">
        <v>1464</v>
      </c>
    </row>
    <row r="146" spans="1:5" ht="36" x14ac:dyDescent="0.2">
      <c r="A146" s="17" t="s">
        <v>1121</v>
      </c>
      <c r="B146" s="18" t="s">
        <v>1122</v>
      </c>
      <c r="C146" s="19" t="s">
        <v>1088</v>
      </c>
      <c r="D146" s="52">
        <v>0.1</v>
      </c>
      <c r="E146" s="51" t="s">
        <v>1123</v>
      </c>
    </row>
    <row r="147" spans="1:5" ht="24" x14ac:dyDescent="0.2">
      <c r="A147" s="17" t="s">
        <v>1124</v>
      </c>
      <c r="B147" s="18" t="s">
        <v>1125</v>
      </c>
      <c r="C147" s="19" t="s">
        <v>1088</v>
      </c>
      <c r="D147" s="52">
        <v>2</v>
      </c>
      <c r="E147" s="51" t="s">
        <v>1126</v>
      </c>
    </row>
    <row r="148" spans="1:5" ht="72" x14ac:dyDescent="0.2">
      <c r="A148" s="17" t="s">
        <v>1213</v>
      </c>
      <c r="B148" s="18" t="s">
        <v>1214</v>
      </c>
      <c r="C148" s="19" t="s">
        <v>1215</v>
      </c>
      <c r="D148" s="62">
        <f>2</f>
        <v>2</v>
      </c>
      <c r="E148" s="51" t="s">
        <v>1480</v>
      </c>
    </row>
    <row r="149" spans="1:5" ht="36" x14ac:dyDescent="0.2">
      <c r="A149" s="17" t="s">
        <v>1216</v>
      </c>
      <c r="B149" s="18" t="s">
        <v>1217</v>
      </c>
      <c r="C149" s="19" t="s">
        <v>1218</v>
      </c>
      <c r="D149" s="62">
        <f>pH_Cl*M_HOCl</f>
        <v>0</v>
      </c>
      <c r="E149" s="51" t="s">
        <v>1219</v>
      </c>
    </row>
    <row r="150" spans="1:5" ht="24" x14ac:dyDescent="0.2">
      <c r="A150" s="17" t="s">
        <v>1220</v>
      </c>
      <c r="B150" s="18" t="s">
        <v>1221</v>
      </c>
      <c r="C150" s="19" t="s">
        <v>1222</v>
      </c>
      <c r="D150" s="52">
        <v>1.6666666666666666E-2</v>
      </c>
      <c r="E150" s="75" t="s">
        <v>1223</v>
      </c>
    </row>
    <row r="151" spans="1:5" ht="24" x14ac:dyDescent="0.2">
      <c r="A151" s="17" t="s">
        <v>1224</v>
      </c>
      <c r="B151" s="18" t="s">
        <v>1225</v>
      </c>
      <c r="C151" s="19" t="s">
        <v>1226</v>
      </c>
      <c r="D151" s="52">
        <v>5</v>
      </c>
      <c r="E151" s="75" t="s">
        <v>1227</v>
      </c>
    </row>
    <row r="152" spans="1:5" ht="24" x14ac:dyDescent="0.2">
      <c r="A152" s="17" t="s">
        <v>1228</v>
      </c>
      <c r="B152" s="18" t="s">
        <v>1229</v>
      </c>
      <c r="C152" s="19" t="s">
        <v>1230</v>
      </c>
      <c r="D152" s="52">
        <v>18</v>
      </c>
      <c r="E152" s="75" t="s">
        <v>1231</v>
      </c>
    </row>
    <row r="153" spans="1:5" x14ac:dyDescent="0.2">
      <c r="A153" s="17" t="s">
        <v>1232</v>
      </c>
      <c r="B153" s="18" t="s">
        <v>1233</v>
      </c>
      <c r="C153" s="19" t="s">
        <v>1234</v>
      </c>
      <c r="D153" s="52">
        <v>70</v>
      </c>
      <c r="E153" s="75" t="s">
        <v>1235</v>
      </c>
    </row>
    <row r="154" spans="1:5" x14ac:dyDescent="0.2">
      <c r="A154" s="17" t="s">
        <v>1236</v>
      </c>
      <c r="B154" s="18" t="s">
        <v>1237</v>
      </c>
      <c r="C154" s="19" t="s">
        <v>1238</v>
      </c>
      <c r="D154" s="62">
        <f>MIN(P_HOCl*tau_NH2Cl_lo*3600*M_HOCl,cl_per_N*NH3_N,Cl_pool_mgL)</f>
        <v>0</v>
      </c>
      <c r="E154" s="51" t="s">
        <v>1239</v>
      </c>
    </row>
    <row r="155" spans="1:5" x14ac:dyDescent="0.2">
      <c r="A155" s="17" t="s">
        <v>1240</v>
      </c>
      <c r="B155" s="18" t="s">
        <v>1241</v>
      </c>
      <c r="C155" s="19" t="s">
        <v>1242</v>
      </c>
      <c r="D155" s="62">
        <f>MIN(P_HOCl*tau_NH2Cl_hi*3600*M_HOCl,cl_per_N*NH3_N,Cl_pool_mgL)</f>
        <v>0</v>
      </c>
      <c r="E155" s="51" t="s">
        <v>1243</v>
      </c>
    </row>
    <row r="156" spans="1:5" x14ac:dyDescent="0.2">
      <c r="A156" s="17" t="s">
        <v>1244</v>
      </c>
      <c r="B156" s="18" t="s">
        <v>1245</v>
      </c>
      <c r="C156" s="19" t="s">
        <v>1246</v>
      </c>
      <c r="D156" s="62" t="e">
        <f>f_local*HOCl_ss_mgL+NH2Cl_lo/R_chloramine_hi</f>
        <v>#DIV/0!</v>
      </c>
      <c r="E156" s="51" t="s">
        <v>1247</v>
      </c>
    </row>
    <row r="157" spans="1:5" ht="24" x14ac:dyDescent="0.2">
      <c r="A157" s="17" t="s">
        <v>1248</v>
      </c>
      <c r="B157" s="18" t="s">
        <v>1249</v>
      </c>
      <c r="C157" s="19" t="s">
        <v>1250</v>
      </c>
      <c r="D157" s="62" t="e">
        <f>f_local*HOCl_ss_mgL+NH2Cl_hi/R_chloramine_lo</f>
        <v>#DIV/0!</v>
      </c>
      <c r="E157" s="51" t="s">
        <v>1251</v>
      </c>
    </row>
    <row r="158" spans="1:5" ht="24" x14ac:dyDescent="0.2">
      <c r="A158" s="17" t="s">
        <v>1252</v>
      </c>
      <c r="B158" s="18" t="s">
        <v>1253</v>
      </c>
      <c r="C158" s="19" t="s">
        <v>1254</v>
      </c>
      <c r="D158" s="52"/>
      <c r="E158" s="57" t="s">
        <v>1255</v>
      </c>
    </row>
    <row r="159" spans="1:5" x14ac:dyDescent="0.2">
      <c r="A159" s="17" t="s">
        <v>1256</v>
      </c>
      <c r="B159" s="18" t="s">
        <v>1257</v>
      </c>
      <c r="C159" s="19" t="s">
        <v>1258</v>
      </c>
      <c r="D159" s="52">
        <v>63.55</v>
      </c>
      <c r="E159" s="51" t="s">
        <v>1259</v>
      </c>
    </row>
    <row r="160" spans="1:5" x14ac:dyDescent="0.2">
      <c r="A160" s="17" t="s">
        <v>1260</v>
      </c>
      <c r="B160" s="18" t="s">
        <v>1261</v>
      </c>
      <c r="C160" s="19" t="s">
        <v>1262</v>
      </c>
      <c r="D160" s="52">
        <v>2</v>
      </c>
      <c r="E160" s="51" t="s">
        <v>1263</v>
      </c>
    </row>
    <row r="161" spans="1:5" ht="24" x14ac:dyDescent="0.2">
      <c r="A161" s="17" t="s">
        <v>1264</v>
      </c>
      <c r="B161" s="18" t="s">
        <v>1265</v>
      </c>
      <c r="C161" s="19" t="s">
        <v>1266</v>
      </c>
      <c r="D161" s="62" t="e">
        <f>IF(ISNUMBER(corr_I_frac),corr_I_frac*Iappc/(metal_z*Fcc)*metal_MW*1000*3600/VLc,NA())</f>
        <v>#N/A</v>
      </c>
      <c r="E161" s="57" t="s">
        <v>1267</v>
      </c>
    </row>
    <row r="162" spans="1:5" ht="24" x14ac:dyDescent="0.2">
      <c r="A162" s="17" t="s">
        <v>1268</v>
      </c>
      <c r="B162" s="18" t="s">
        <v>1269</v>
      </c>
      <c r="C162" s="19" t="s">
        <v>1270</v>
      </c>
      <c r="D162" s="52">
        <v>0.5</v>
      </c>
      <c r="E162" s="51" t="s">
        <v>1271</v>
      </c>
    </row>
    <row r="163" spans="1:5" x14ac:dyDescent="0.2">
      <c r="A163" s="17" t="s">
        <v>1272</v>
      </c>
      <c r="B163" s="18" t="s">
        <v>1273</v>
      </c>
      <c r="C163" s="19" t="s">
        <v>1274</v>
      </c>
      <c r="D163" s="64" t="str">
        <f>IF(ISNUMBER(corr_I_frac),"metal leach "&amp;TEXT(metal_leach_rate,"0.00")&amp;" mg/L/h vs ~"&amp;TEXT(metal_tox_thresh,"0.0")&amp;" mg/L bactericidal threshold","DATA GAP - measure dissolved Cu/Ni/Fe in spent medium; the green anode implicates electrode corrosion / metal leaching as the unmodelled prime suspect for the Exp-2 death")</f>
        <v>DATA GAP - measure dissolved Cu/Ni/Fe in spent medium; the green anode implicates electrode corrosion / metal leaching as the unmodelled prime suspect for the Exp-2 death</v>
      </c>
      <c r="E163" s="57" t="s">
        <v>1275</v>
      </c>
    </row>
    <row r="165" spans="1:5" x14ac:dyDescent="0.2">
      <c r="A165" s="5" t="s">
        <v>1482</v>
      </c>
    </row>
    <row r="166" spans="1:5" ht="36" x14ac:dyDescent="0.2">
      <c r="A166" t="s">
        <v>1483</v>
      </c>
      <c r="B166" s="18" t="s">
        <v>1484</v>
      </c>
      <c r="C166" s="19" t="s">
        <v>1485</v>
      </c>
      <c r="D166" s="52">
        <v>50.08</v>
      </c>
      <c r="E166" s="99" t="s">
        <v>1486</v>
      </c>
    </row>
    <row r="167" spans="1:5" ht="36" x14ac:dyDescent="0.2">
      <c r="A167" t="s">
        <v>1487</v>
      </c>
      <c r="B167" s="18" t="s">
        <v>1488</v>
      </c>
      <c r="C167" s="19" t="s">
        <v>1485</v>
      </c>
      <c r="D167" s="52">
        <v>73.48</v>
      </c>
      <c r="E167" s="99" t="s">
        <v>1486</v>
      </c>
    </row>
    <row r="168" spans="1:5" ht="36" x14ac:dyDescent="0.2">
      <c r="A168" t="s">
        <v>1489</v>
      </c>
      <c r="B168" s="18" t="s">
        <v>1490</v>
      </c>
      <c r="C168" s="19" t="s">
        <v>1485</v>
      </c>
      <c r="D168" s="52">
        <v>73.5</v>
      </c>
      <c r="E168" s="99" t="s">
        <v>1486</v>
      </c>
    </row>
    <row r="169" spans="1:5" ht="36" x14ac:dyDescent="0.2">
      <c r="A169" t="s">
        <v>1491</v>
      </c>
      <c r="B169" s="18" t="s">
        <v>1492</v>
      </c>
      <c r="C169" s="19" t="s">
        <v>1485</v>
      </c>
      <c r="D169" s="52">
        <v>106</v>
      </c>
      <c r="E169" s="99" t="s">
        <v>1486</v>
      </c>
    </row>
    <row r="170" spans="1:5" ht="36" x14ac:dyDescent="0.2">
      <c r="A170" t="s">
        <v>1493</v>
      </c>
      <c r="B170" s="18" t="s">
        <v>1494</v>
      </c>
      <c r="C170" s="19" t="s">
        <v>1485</v>
      </c>
      <c r="D170" s="52">
        <v>118.94</v>
      </c>
      <c r="E170" s="99" t="s">
        <v>1486</v>
      </c>
    </row>
    <row r="171" spans="1:5" ht="36" x14ac:dyDescent="0.2">
      <c r="A171" t="s">
        <v>1495</v>
      </c>
      <c r="B171" s="18" t="s">
        <v>1496</v>
      </c>
      <c r="C171" s="19" t="s">
        <v>1485</v>
      </c>
      <c r="D171" s="52">
        <v>36</v>
      </c>
      <c r="E171" s="99" t="s">
        <v>1486</v>
      </c>
    </row>
    <row r="172" spans="1:5" ht="36" x14ac:dyDescent="0.2">
      <c r="A172" t="s">
        <v>1497</v>
      </c>
      <c r="B172" s="18" t="s">
        <v>1498</v>
      </c>
      <c r="C172" s="19" t="s">
        <v>1485</v>
      </c>
      <c r="D172" s="52">
        <v>114</v>
      </c>
      <c r="E172" s="99" t="s">
        <v>1486</v>
      </c>
    </row>
    <row r="173" spans="1:5" ht="36" x14ac:dyDescent="0.2">
      <c r="A173" t="s">
        <v>1499</v>
      </c>
      <c r="B173" s="18" t="s">
        <v>1500</v>
      </c>
      <c r="C173" s="19" t="s">
        <v>1485</v>
      </c>
      <c r="D173" s="52">
        <v>160</v>
      </c>
      <c r="E173" s="99" t="s">
        <v>1486</v>
      </c>
    </row>
    <row r="174" spans="1:5" ht="36" x14ac:dyDescent="0.2">
      <c r="A174" t="s">
        <v>1501</v>
      </c>
      <c r="B174" s="18" t="s">
        <v>1502</v>
      </c>
      <c r="C174" s="19" t="s">
        <v>1485</v>
      </c>
      <c r="D174" s="52">
        <v>44.5</v>
      </c>
      <c r="E174" s="99" t="s">
        <v>1486</v>
      </c>
    </row>
    <row r="175" spans="1:5" ht="36" x14ac:dyDescent="0.2">
      <c r="A175" t="s">
        <v>1503</v>
      </c>
      <c r="B175" s="18" t="s">
        <v>1504</v>
      </c>
      <c r="C175" s="19" t="s">
        <v>1485</v>
      </c>
      <c r="D175" s="52">
        <v>76.31</v>
      </c>
      <c r="E175" s="99" t="s">
        <v>1486</v>
      </c>
    </row>
    <row r="176" spans="1:5" ht="36" x14ac:dyDescent="0.2">
      <c r="A176" t="s">
        <v>1505</v>
      </c>
      <c r="B176" s="18" t="s">
        <v>1506</v>
      </c>
      <c r="C176" s="19" t="s">
        <v>1507</v>
      </c>
      <c r="D176" s="22">
        <f>(2*mc_Na2HPO4/MW_Na2HPO4*lam_Na+mc_NaH2PO4_2H2O/MW_NaH2PO4_2H2O*lam_Na+2*mc_K2SO4/MW_K2SO4*lam_K+2*mc_NH42SO4/MW_NH42SO4*lam_NH4+mc_MgSO4_7H2O/MW_MgSO4_7H2O*lam_Mg+mc_CaSO4_2H2O/MW_CaSO4_2H2O*lam_Ca+mc_Na2HPO4/MW_Na2HPO4*lam_HPO4+mc_NaH2PO4_2H2O/MW_NaH2PO4_2H2O*lam_H2PO4+(mc_K2SO4/MW_K2SO4+mc_MgSO4_7H2O/MW_MgSO4_7H2O+mc_CaSO4_2H2O/MW_CaSO4_2H2O+mc_NH42SO4/MW_NH42SO4)*lam_SO4)/10</f>
        <v>0.95665952680219191</v>
      </c>
      <c r="E176" s="67" t="s">
        <v>1508</v>
      </c>
    </row>
    <row r="177" spans="1:5" x14ac:dyDescent="0.2">
      <c r="A177" t="s">
        <v>1509</v>
      </c>
      <c r="B177" s="18" t="s">
        <v>1510</v>
      </c>
      <c r="C177" s="19" t="s">
        <v>1507</v>
      </c>
      <c r="D177" s="22">
        <f>((udg_NaHCO3/MW_NaHCO3+2*udg_Na2HPO4/MW_Na2HPO4)*lam_Na+udg_KH2PO4/MW_KH2PO4*lam_K+2*udg_NH42SO4/MW_NH42SO4*lam_NH4+udg_MgSO4_7H2O/MW_MgSO4_7H2O*lam_Mg+udg_CaCl2/MW_CaCl2*lam_Ca+udg_Na2HPO4/MW_Na2HPO4*lam_HPO4+udg_KH2PO4/MW_KH2PO4*lam_H2PO4+(udg_MgSO4_7H2O/MW_MgSO4_7H2O+udg_NH42SO4/MW_NH42SO4)*lam_SO4+udg_NaHCO3/MW_NaHCO3*lam_HCO3+2*udg_CaCl2/MW_CaCl2*lam_Cl)/10</f>
        <v>0.90634186802022165</v>
      </c>
      <c r="E177" s="67" t="s">
        <v>1511</v>
      </c>
    </row>
    <row r="178" spans="1:5" ht="72" x14ac:dyDescent="0.2">
      <c r="A178" t="s">
        <v>1512</v>
      </c>
      <c r="B178" s="18" t="s">
        <v>1513</v>
      </c>
      <c r="C178" s="19" t="s">
        <v>1274</v>
      </c>
      <c r="D178" s="52">
        <v>0.78</v>
      </c>
      <c r="E178" s="75" t="s">
        <v>1514</v>
      </c>
    </row>
    <row r="179" spans="1:5" ht="48" x14ac:dyDescent="0.2">
      <c r="A179" t="s">
        <v>1515</v>
      </c>
      <c r="B179" s="18" t="s">
        <v>1516</v>
      </c>
      <c r="C179" s="19" t="s">
        <v>1517</v>
      </c>
      <c r="D179" s="52">
        <v>0.02</v>
      </c>
      <c r="E179" s="67" t="s">
        <v>1518</v>
      </c>
    </row>
    <row r="180" spans="1:5" ht="24" x14ac:dyDescent="0.2">
      <c r="A180" t="s">
        <v>1519</v>
      </c>
      <c r="B180" s="18" t="s">
        <v>1520</v>
      </c>
      <c r="C180" s="19" t="s">
        <v>1507</v>
      </c>
      <c r="D180" s="22">
        <f>IF(Summary!$D$5="MC02",kappa0_mc02,IF(Summary!$D$5="UdG phosphate",kappa0_udg,NA()))*kappa_fI*(1+kappa_TC*(TKc-298.15))</f>
        <v>0.74619443090570969</v>
      </c>
      <c r="E180" s="67" t="s">
        <v>1521</v>
      </c>
    </row>
    <row r="182" spans="1:5" x14ac:dyDescent="0.2">
      <c r="A182" s="5" t="s">
        <v>1522</v>
      </c>
    </row>
    <row r="183" spans="1:5" ht="36" x14ac:dyDescent="0.2">
      <c r="A183" t="s">
        <v>1523</v>
      </c>
      <c r="B183" s="18" t="s">
        <v>1524</v>
      </c>
      <c r="C183" s="19" t="s">
        <v>1098</v>
      </c>
      <c r="D183" s="22">
        <f>0.5*(2*mc_Na2HPO4/MW_Na2HPO4+mc_NaH2PO4_2H2O/MW_NaH2PO4_2H2O+2*mc_K2SO4/MW_K2SO4+2*mc_NH42SO4/MW_NH42SO4+4*mc_MgSO4_7H2O/MW_MgSO4_7H2O+4*mc_CaSO4_2H2O/MW_CaSO4_2H2O+mc_NaH2PO4_2H2O/MW_NaH2PO4_2H2O+4*mc_Na2HPO4/MW_Na2HPO4+4*(mc_K2SO4/MW_K2SO4+mc_MgSO4_7H2O/MW_MgSO4_7H2O+mc_CaSO4_2H2O/MW_CaSO4_2H2O+mc_NH42SO4/MW_NH42SO4))</f>
        <v>0.12036548993288605</v>
      </c>
      <c r="E183" s="67" t="s">
        <v>1525</v>
      </c>
    </row>
    <row r="184" spans="1:5" x14ac:dyDescent="0.2">
      <c r="A184" t="s">
        <v>1526</v>
      </c>
      <c r="B184" s="18" t="s">
        <v>1527</v>
      </c>
      <c r="C184" s="19" t="s">
        <v>1098</v>
      </c>
      <c r="D184" s="22">
        <f>0.5*((udg_NaHCO3/MW_NaHCO3+2*udg_Na2HPO4/MW_Na2HPO4)+udg_KH2PO4/MW_KH2PO4+2*udg_NH42SO4/MW_NH42SO4+4*udg_MgSO4_7H2O/MW_MgSO4_7H2O+4*udg_CaCl2/MW_CaCl2+udg_KH2PO4/MW_KH2PO4+4*udg_Na2HPO4/MW_Na2HPO4+4*(udg_MgSO4_7H2O/MW_MgSO4_7H2O+udg_NH42SO4/MW_NH42SO4)+udg_NaHCO3/MW_NaHCO3+2*udg_CaCl2/MW_CaCl2)</f>
        <v>0.10973997323805122</v>
      </c>
      <c r="E184" s="67" t="s">
        <v>1511</v>
      </c>
    </row>
    <row r="185" spans="1:5" x14ac:dyDescent="0.2">
      <c r="A185" t="s">
        <v>1528</v>
      </c>
      <c r="B185" s="18" t="s">
        <v>1529</v>
      </c>
      <c r="C185" s="19" t="s">
        <v>1098</v>
      </c>
      <c r="D185" s="22">
        <f>IF(Summary!$D$5="MC02",I_mc02,IF(Summary!$D$5="UdG phosphate",I_udg,NA()))</f>
        <v>0.12036548993288605</v>
      </c>
      <c r="E185" s="67" t="s">
        <v>947</v>
      </c>
    </row>
    <row r="186" spans="1:5" ht="36" x14ac:dyDescent="0.2">
      <c r="A186" t="s">
        <v>1530</v>
      </c>
      <c r="B186" s="18" t="s">
        <v>1531</v>
      </c>
      <c r="C186" s="19" t="s">
        <v>1274</v>
      </c>
      <c r="D186" s="22">
        <f>1820000*(78.54*(298.15/TKc)^1.368)^-1.5*TKc^-1.5</f>
        <v>0.50790539044720939</v>
      </c>
      <c r="E186" s="67" t="s">
        <v>1532</v>
      </c>
    </row>
    <row r="187" spans="1:5" ht="36" x14ac:dyDescent="0.2">
      <c r="A187" t="s">
        <v>1533</v>
      </c>
      <c r="B187" s="18" t="s">
        <v>1534</v>
      </c>
      <c r="C187" s="19" t="s">
        <v>1274</v>
      </c>
      <c r="D187" s="22">
        <f>10^(-A_DH*1*(SQRT(I_ionic)/(1+SQRT(I_ionic))-0.3*I_ionic))</f>
        <v>0.77182098389322318</v>
      </c>
      <c r="E187" s="67" t="s">
        <v>1535</v>
      </c>
    </row>
    <row r="188" spans="1:5" ht="36" x14ac:dyDescent="0.2">
      <c r="A188" t="s">
        <v>1536</v>
      </c>
      <c r="B188" s="18" t="s">
        <v>1537</v>
      </c>
      <c r="C188" s="19" t="s">
        <v>1274</v>
      </c>
      <c r="D188" s="22">
        <f>10^(-A_DH*4*(SQRT(I_ionic)/(1+SQRT(I_ionic))-0.3*I_ionic))</f>
        <v>0.35486758184358852</v>
      </c>
      <c r="E188" s="67" t="s">
        <v>1535</v>
      </c>
    </row>
    <row r="189" spans="1:5" ht="36" x14ac:dyDescent="0.2">
      <c r="A189" t="s">
        <v>1538</v>
      </c>
      <c r="B189" s="18" t="s">
        <v>1539</v>
      </c>
      <c r="C189" s="19" t="s">
        <v>1274</v>
      </c>
      <c r="D189" s="22">
        <f>10^(-A_DH*9*(SQRT(I_ionic)/(1+SQRT(I_ionic))-0.3*I_ionic))</f>
        <v>9.7196188819336574E-2</v>
      </c>
      <c r="E189" s="67" t="s">
        <v>1535</v>
      </c>
    </row>
    <row r="190" spans="1:5" ht="36" x14ac:dyDescent="0.2">
      <c r="A190" t="s">
        <v>1540</v>
      </c>
      <c r="B190" s="18" t="s">
        <v>1541</v>
      </c>
      <c r="C190" s="19" t="s">
        <v>1098</v>
      </c>
      <c r="D190" s="22" t="e">
        <f>Ka1c/GAM1^2</f>
        <v>#DIV/0!</v>
      </c>
      <c r="E190" s="67" t="s">
        <v>1542</v>
      </c>
    </row>
    <row r="191" spans="1:5" ht="36" x14ac:dyDescent="0.2">
      <c r="A191" t="s">
        <v>1543</v>
      </c>
      <c r="B191" s="18" t="s">
        <v>1544</v>
      </c>
      <c r="C191" s="19" t="s">
        <v>1098</v>
      </c>
      <c r="D191" s="22" t="e">
        <f>Ka2c/GAM2</f>
        <v>#DIV/0!</v>
      </c>
      <c r="E191" s="67" t="s">
        <v>1545</v>
      </c>
    </row>
    <row r="192" spans="1:5" ht="36" x14ac:dyDescent="0.2">
      <c r="A192" t="s">
        <v>1546</v>
      </c>
      <c r="B192" s="18" t="s">
        <v>1547</v>
      </c>
      <c r="C192" s="19" t="s">
        <v>1098</v>
      </c>
      <c r="D192" s="22" t="e">
        <f>Ka1p/GAM1^2</f>
        <v>#DIV/0!</v>
      </c>
      <c r="E192" s="67" t="s">
        <v>1548</v>
      </c>
    </row>
    <row r="193" spans="1:5" ht="60" x14ac:dyDescent="0.2">
      <c r="A193" t="s">
        <v>1549</v>
      </c>
      <c r="B193" s="18" t="s">
        <v>1550</v>
      </c>
      <c r="C193" s="19" t="s">
        <v>1098</v>
      </c>
      <c r="D193" s="22" t="e">
        <f>Ka2p/GAM2</f>
        <v>#DIV/0!</v>
      </c>
      <c r="E193" s="67" t="s">
        <v>1551</v>
      </c>
    </row>
    <row r="194" spans="1:5" ht="36" x14ac:dyDescent="0.2">
      <c r="A194" t="s">
        <v>1552</v>
      </c>
      <c r="B194" s="18" t="s">
        <v>1553</v>
      </c>
      <c r="C194" s="19" t="s">
        <v>1098</v>
      </c>
      <c r="D194" s="22" t="e">
        <f>Ka3p*GAM2/(GAM1*GAM3)</f>
        <v>#DIV/0!</v>
      </c>
      <c r="E194" s="67" t="s">
        <v>1554</v>
      </c>
    </row>
    <row r="195" spans="1:5" ht="24" x14ac:dyDescent="0.2">
      <c r="A195" t="s">
        <v>1555</v>
      </c>
      <c r="B195" s="18" t="s">
        <v>1556</v>
      </c>
      <c r="C195" s="19" t="s">
        <v>1098</v>
      </c>
      <c r="D195" s="22" t="e">
        <f>Kw_w/GAM1^2</f>
        <v>#DIV/0!</v>
      </c>
      <c r="E195" s="67" t="s">
        <v>1557</v>
      </c>
    </row>
    <row r="196" spans="1:5" ht="36" x14ac:dyDescent="0.2">
      <c r="A196" t="s">
        <v>1558</v>
      </c>
      <c r="B196" s="18" t="s">
        <v>1559</v>
      </c>
      <c r="C196" s="19" t="s">
        <v>1098</v>
      </c>
      <c r="D196" s="22" t="e">
        <f>Ka_HOCl/GAM1^2</f>
        <v>#DIV/0!</v>
      </c>
      <c r="E196" s="67" t="s">
        <v>1560</v>
      </c>
    </row>
    <row r="197" spans="1:5" ht="36" x14ac:dyDescent="0.2">
      <c r="A197" t="s">
        <v>1561</v>
      </c>
      <c r="B197" s="18" t="s">
        <v>1562</v>
      </c>
      <c r="C197" s="19" t="s">
        <v>1098</v>
      </c>
      <c r="D197" s="22">
        <f>Ka_NH4</f>
        <v>5.6000000000000003E-10</v>
      </c>
      <c r="E197" s="99" t="s">
        <v>1563</v>
      </c>
    </row>
    <row r="199" spans="1:5" x14ac:dyDescent="0.2">
      <c r="A199" s="5" t="s">
        <v>1564</v>
      </c>
    </row>
    <row r="200" spans="1:5" x14ac:dyDescent="0.2">
      <c r="A200" t="s">
        <v>1565</v>
      </c>
      <c r="B200" s="18" t="s">
        <v>1566</v>
      </c>
      <c r="C200" s="19" t="s">
        <v>1567</v>
      </c>
      <c r="D200" s="22">
        <f>R_gas*TKc/Fcc*LN(10)</f>
        <v>5.9159349685721507E-2</v>
      </c>
      <c r="E200" s="99" t="s">
        <v>1568</v>
      </c>
    </row>
    <row r="201" spans="1:5" ht="36" x14ac:dyDescent="0.2">
      <c r="A201" t="s">
        <v>1569</v>
      </c>
      <c r="B201" s="18" t="s">
        <v>1570</v>
      </c>
      <c r="C201" s="19" t="s">
        <v>1571</v>
      </c>
      <c r="D201" s="52">
        <v>1.2290000000000001</v>
      </c>
      <c r="E201" s="99" t="s">
        <v>1572</v>
      </c>
    </row>
    <row r="202" spans="1:5" ht="24" x14ac:dyDescent="0.2">
      <c r="A202" t="s">
        <v>1573</v>
      </c>
      <c r="B202" s="18" t="s">
        <v>1574</v>
      </c>
      <c r="C202" s="19" t="s">
        <v>1571</v>
      </c>
      <c r="D202" s="52">
        <v>0</v>
      </c>
      <c r="E202" s="99" t="s">
        <v>1575</v>
      </c>
    </row>
    <row r="203" spans="1:5" x14ac:dyDescent="0.2">
      <c r="A203" t="s">
        <v>1576</v>
      </c>
      <c r="B203" s="18" t="s">
        <v>1577</v>
      </c>
      <c r="C203" s="19" t="s">
        <v>1571</v>
      </c>
      <c r="D203" s="52">
        <v>1.3580000000000001</v>
      </c>
      <c r="E203" s="99" t="s">
        <v>1578</v>
      </c>
    </row>
    <row r="204" spans="1:5" x14ac:dyDescent="0.2">
      <c r="A204" t="s">
        <v>1579</v>
      </c>
      <c r="B204" s="18" t="s">
        <v>1580</v>
      </c>
      <c r="C204" s="19" t="s">
        <v>1571</v>
      </c>
      <c r="D204" s="52">
        <v>0.69499999999999995</v>
      </c>
      <c r="E204" s="99" t="s">
        <v>1581</v>
      </c>
    </row>
    <row r="205" spans="1:5" x14ac:dyDescent="0.2">
      <c r="A205" t="s">
        <v>1582</v>
      </c>
      <c r="B205" s="18" t="s">
        <v>1583</v>
      </c>
      <c r="C205" s="19" t="s">
        <v>1571</v>
      </c>
      <c r="D205" s="52">
        <v>0.34189999999999998</v>
      </c>
      <c r="E205" s="99" t="s">
        <v>1578</v>
      </c>
    </row>
    <row r="206" spans="1:5" ht="24" x14ac:dyDescent="0.2">
      <c r="A206" t="s">
        <v>1584</v>
      </c>
      <c r="B206" s="18" t="s">
        <v>1585</v>
      </c>
      <c r="C206" s="19" t="s">
        <v>1571</v>
      </c>
      <c r="D206" s="22" t="e">
        <f>E0_OER-nernst_slope*pH_meas</f>
        <v>#DIV/0!</v>
      </c>
      <c r="E206" s="99" t="s">
        <v>1586</v>
      </c>
    </row>
    <row r="207" spans="1:5" x14ac:dyDescent="0.2">
      <c r="A207" t="s">
        <v>1587</v>
      </c>
      <c r="B207" s="18" t="s">
        <v>1588</v>
      </c>
      <c r="C207" s="19" t="s">
        <v>1571</v>
      </c>
      <c r="D207" s="22" t="e">
        <f>E0_HER-nernst_slope*pH_meas</f>
        <v>#DIV/0!</v>
      </c>
      <c r="E207" s="99" t="s">
        <v>1589</v>
      </c>
    </row>
    <row r="208" spans="1:5" ht="24" x14ac:dyDescent="0.2">
      <c r="A208" t="s">
        <v>1590</v>
      </c>
      <c r="B208" s="18" t="s">
        <v>1591</v>
      </c>
      <c r="C208" s="19" t="s">
        <v>1571</v>
      </c>
      <c r="D208" s="22">
        <f>E0_Cl2+nernst_slope*(-LOG10(MAX(pH_Cl,0.000000000001)))</f>
        <v>2.067912196228658</v>
      </c>
      <c r="E208" s="67" t="s">
        <v>1592</v>
      </c>
    </row>
    <row r="209" spans="1:5" ht="60" x14ac:dyDescent="0.2">
      <c r="A209" t="s">
        <v>1593</v>
      </c>
      <c r="B209" s="18" t="s">
        <v>1594</v>
      </c>
      <c r="C209" s="19" t="s">
        <v>1595</v>
      </c>
      <c r="D209" s="22" t="e">
        <f>E_Cl2-E_OER</f>
        <v>#DIV/0!</v>
      </c>
      <c r="E209" s="67" t="s">
        <v>1596</v>
      </c>
    </row>
    <row r="210" spans="1:5" ht="48" x14ac:dyDescent="0.2">
      <c r="A210" t="s">
        <v>1597</v>
      </c>
      <c r="B210" s="18" t="s">
        <v>1598</v>
      </c>
      <c r="C210" s="19" t="s">
        <v>1571</v>
      </c>
      <c r="D210" s="22" t="e">
        <f>E0_ORR2-nernst_slope*pH_meas</f>
        <v>#DIV/0!</v>
      </c>
      <c r="E210" s="67" t="s">
        <v>1599</v>
      </c>
    </row>
    <row r="211" spans="1:5" ht="48" x14ac:dyDescent="0.2">
      <c r="A211" t="s">
        <v>1600</v>
      </c>
      <c r="B211" s="18" t="s">
        <v>1601</v>
      </c>
      <c r="C211" s="19" t="s">
        <v>1595</v>
      </c>
      <c r="D211" s="22" t="e">
        <f>E_OER-E0_Cu</f>
        <v>#DIV/0!</v>
      </c>
      <c r="E211" s="67" t="s">
        <v>1602</v>
      </c>
    </row>
    <row r="213" spans="1:5" x14ac:dyDescent="0.2">
      <c r="A213" s="5" t="s">
        <v>1603</v>
      </c>
    </row>
    <row r="214" spans="1:5" ht="24" x14ac:dyDescent="0.2">
      <c r="A214" t="s">
        <v>1604</v>
      </c>
      <c r="B214" s="18" t="s">
        <v>1605</v>
      </c>
      <c r="C214" s="19" t="s">
        <v>577</v>
      </c>
      <c r="D214" s="52">
        <v>7.5899999999999996E-10</v>
      </c>
      <c r="E214" s="99" t="s">
        <v>1606</v>
      </c>
    </row>
    <row r="215" spans="1:5" ht="60" x14ac:dyDescent="0.2">
      <c r="A215" t="s">
        <v>1607</v>
      </c>
      <c r="B215" s="18" t="s">
        <v>1608</v>
      </c>
      <c r="C215" s="19" t="s">
        <v>580</v>
      </c>
      <c r="D215" s="36">
        <v>40</v>
      </c>
      <c r="E215" s="75" t="s">
        <v>1609</v>
      </c>
    </row>
    <row r="216" spans="1:5" ht="60" x14ac:dyDescent="0.2">
      <c r="A216" t="s">
        <v>1610</v>
      </c>
      <c r="B216" s="18" t="s">
        <v>1611</v>
      </c>
      <c r="C216" s="19" t="s">
        <v>1282</v>
      </c>
      <c r="D216" s="22" t="e">
        <f>Fcc*D_HPO4*(pH_PT*(1-1/(1+10^(pH_meas-(-LOG10(Ka2p_c))))))*1000/(delta_diff/1000000)/10</f>
        <v>#DIV/0!</v>
      </c>
      <c r="E216" s="67" t="s">
        <v>1612</v>
      </c>
    </row>
    <row r="217" spans="1:5" x14ac:dyDescent="0.2">
      <c r="A217" t="s">
        <v>1613</v>
      </c>
      <c r="B217" s="18" t="s">
        <v>1614</v>
      </c>
      <c r="C217" s="19" t="s">
        <v>1282</v>
      </c>
      <c r="D217" s="22">
        <f>Electrochemistry!$D$48</f>
        <v>2.8260956882955579</v>
      </c>
      <c r="E217" s="67" t="s">
        <v>1615</v>
      </c>
    </row>
    <row r="218" spans="1:5" ht="48" x14ac:dyDescent="0.2">
      <c r="A218" t="s">
        <v>1616</v>
      </c>
      <c r="B218" s="18" t="s">
        <v>1617</v>
      </c>
      <c r="C218" s="19" t="s">
        <v>1274</v>
      </c>
      <c r="D218" s="22" t="e">
        <f>j_anode_c/j_buffer_lim</f>
        <v>#DIV/0!</v>
      </c>
      <c r="E218" s="67" t="s">
        <v>1618</v>
      </c>
    </row>
    <row r="219" spans="1:5" ht="48" x14ac:dyDescent="0.2">
      <c r="A219" t="s">
        <v>1619</v>
      </c>
      <c r="B219" s="18" t="s">
        <v>1620</v>
      </c>
      <c r="C219" s="19" t="s">
        <v>1274</v>
      </c>
      <c r="D219" s="22" t="e">
        <f>IF(j_buffer_ratio&gt;1,"BUFFER EXCEEDED — anode surface acidifies (local pH ~1 unit below bulk); the pH solved above is the bulk value only",IF(j_buffer_ratio&gt;0.5,"watch — running at "&amp;TEXT(j_buffer_ratio,"0%")&amp;" of the phosphate buffer limit; expect a 0.4–1.0 unit excursion at each electrode surface","OK — buffer holds the electrode surfaces at the bulk pH"))</f>
        <v>#DIV/0!</v>
      </c>
      <c r="E219" s="67" t="s">
        <v>1621</v>
      </c>
    </row>
    <row r="220" spans="1:5" ht="60" x14ac:dyDescent="0.2">
      <c r="A220" t="s">
        <v>1622</v>
      </c>
      <c r="B220" s="18" t="s">
        <v>1623</v>
      </c>
      <c r="C220" s="19" t="s">
        <v>1274</v>
      </c>
      <c r="D220" s="22" t="e">
        <f>pH_op-LOG10(GAM1)</f>
        <v>#DIV/0!</v>
      </c>
      <c r="E220" s="67" t="s">
        <v>1624</v>
      </c>
    </row>
    <row r="221" spans="1:5" x14ac:dyDescent="0.2">
      <c r="A221" s="5" t="s">
        <v>1882</v>
      </c>
    </row>
    <row r="222" spans="1:5" ht="48" x14ac:dyDescent="0.2">
      <c r="A222" t="s">
        <v>1883</v>
      </c>
      <c r="B222" s="18" t="s">
        <v>1884</v>
      </c>
      <c r="C222" s="19" t="s">
        <v>1885</v>
      </c>
      <c r="D222" s="52">
        <v>52460</v>
      </c>
      <c r="E222" s="99" t="s">
        <v>1886</v>
      </c>
    </row>
    <row r="223" spans="1:5" x14ac:dyDescent="0.2">
      <c r="A223" t="s">
        <v>1887</v>
      </c>
      <c r="B223" s="18" t="s">
        <v>1888</v>
      </c>
      <c r="C223" s="19" t="s">
        <v>1885</v>
      </c>
      <c r="D223" s="52">
        <v>70906</v>
      </c>
      <c r="E223" s="99" t="s">
        <v>1889</v>
      </c>
    </row>
    <row r="224" spans="1:5" ht="48" x14ac:dyDescent="0.2">
      <c r="A224" t="s">
        <v>1890</v>
      </c>
      <c r="B224" s="18" t="s">
        <v>1891</v>
      </c>
      <c r="C224" s="19" t="s">
        <v>1892</v>
      </c>
      <c r="D224" s="52">
        <v>5.0599999999999996</v>
      </c>
      <c r="E224" s="67" t="s">
        <v>1893</v>
      </c>
    </row>
    <row r="225" spans="1:5" x14ac:dyDescent="0.2">
      <c r="A225" t="s">
        <v>1894</v>
      </c>
      <c r="B225" s="18" t="s">
        <v>1895</v>
      </c>
      <c r="C225" s="19" t="s">
        <v>1885</v>
      </c>
      <c r="D225" s="52">
        <v>14007</v>
      </c>
      <c r="E225" s="99" t="s">
        <v>1896</v>
      </c>
    </row>
    <row r="226" spans="1:5" ht="48" x14ac:dyDescent="0.2">
      <c r="A226" t="s">
        <v>1897</v>
      </c>
      <c r="B226" s="18" t="s">
        <v>1898</v>
      </c>
      <c r="C226" s="19" t="s">
        <v>1270</v>
      </c>
      <c r="D226" s="22" t="e">
        <f>C_eff*M_Cl2/M_HOCl</f>
        <v>#DIV/0!</v>
      </c>
      <c r="E226" s="67" t="s">
        <v>1899</v>
      </c>
    </row>
  </sheetData>
  <conditionalFormatting sqref="D109:D110 D163">
    <cfRule type="expression" dxfId="11" priority="101" stopIfTrue="1">
      <formula>OR(ISNUMBER(SEARCH("SEVERE",D109)),ISNUMBER(SEARCH("BELOW",D109)),ISNUMBER(SEARCH("DATA GAP",D109)))</formula>
    </cfRule>
    <cfRule type="expression" dxfId="10" priority="102" stopIfTrue="1">
      <formula>OR(ISNUMBER(SEARCH("sub-lethal",D109)),ISNUMBER(SEARCH("above optimum",D109)),ISNUMBER(SEARCH("watch",D109)))</formula>
    </cfRule>
    <cfRule type="expression" dxfId="9" priority="103" stopIfTrue="1">
      <formula>OR(ISNUMBER(SEARCH("negligible",D109)),ISNUMBER(SEARCH("in HOB band",D109)))</formula>
    </cfRule>
  </conditionalFormatting>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F61"/>
  <sheetViews>
    <sheetView zoomScale="89" workbookViewId="0"/>
  </sheetViews>
  <sheetFormatPr baseColWidth="10" defaultColWidth="8.83203125" defaultRowHeight="15" x14ac:dyDescent="0.2"/>
  <cols>
    <col min="1" max="1" width="30" customWidth="1"/>
    <col min="2" max="2" width="15" customWidth="1"/>
    <col min="4" max="4" width="12" bestFit="1" customWidth="1"/>
    <col min="5" max="5" width="60" customWidth="1"/>
  </cols>
  <sheetData>
    <row r="1" spans="1:6" ht="16" customHeight="1" x14ac:dyDescent="0.2">
      <c r="A1" s="104" t="s">
        <v>402</v>
      </c>
      <c r="B1" s="20"/>
      <c r="C1" s="20"/>
      <c r="D1" s="20"/>
      <c r="E1" s="20"/>
      <c r="F1" s="20"/>
    </row>
    <row r="2" spans="1:6" x14ac:dyDescent="0.2">
      <c r="A2" s="16" t="s">
        <v>24</v>
      </c>
      <c r="B2" s="16" t="s">
        <v>25</v>
      </c>
      <c r="C2" s="16" t="s">
        <v>26</v>
      </c>
      <c r="D2" s="16" t="s">
        <v>27</v>
      </c>
      <c r="E2" s="16" t="s">
        <v>131</v>
      </c>
      <c r="F2" s="20"/>
    </row>
    <row r="3" spans="1:6" ht="16" customHeight="1" x14ac:dyDescent="0.2">
      <c r="A3" s="104" t="s">
        <v>132</v>
      </c>
      <c r="B3" s="18"/>
      <c r="C3" s="19"/>
      <c r="D3" s="105"/>
      <c r="E3" s="20"/>
      <c r="F3" s="20"/>
    </row>
    <row r="4" spans="1:6" x14ac:dyDescent="0.2">
      <c r="A4" s="20" t="s">
        <v>403</v>
      </c>
      <c r="B4" s="18" t="s">
        <v>353</v>
      </c>
      <c r="C4" s="20" t="s">
        <v>354</v>
      </c>
      <c r="D4" s="27">
        <f>Electrochemistry!$D$21</f>
        <v>1.0375983363301247E-4</v>
      </c>
      <c r="E4" s="23" t="str">
        <f>HYPERLINK("#Electrochemistry!D21","→ Electrochemistry")</f>
        <v>→ Electrochemistry</v>
      </c>
      <c r="F4" s="20"/>
    </row>
    <row r="5" spans="1:6" x14ac:dyDescent="0.2">
      <c r="A5" s="20" t="s">
        <v>404</v>
      </c>
      <c r="B5" s="18" t="s">
        <v>378</v>
      </c>
      <c r="C5" s="20" t="s">
        <v>354</v>
      </c>
      <c r="D5" s="27">
        <f>Electrochemistry!$D$29</f>
        <v>5.0684408721473073E-5</v>
      </c>
      <c r="E5" s="23" t="str">
        <f>HYPERLINK("#Electrochemistry!D29","→ Electrochemistry")</f>
        <v>→ Electrochemistry</v>
      </c>
      <c r="F5" s="20"/>
    </row>
    <row r="6" spans="1:6" x14ac:dyDescent="0.2">
      <c r="A6" s="20" t="s">
        <v>405</v>
      </c>
      <c r="B6" s="18" t="s">
        <v>228</v>
      </c>
      <c r="C6" s="20" t="s">
        <v>57</v>
      </c>
      <c r="D6" s="25">
        <f>Geometry!$D$41</f>
        <v>15</v>
      </c>
      <c r="E6" s="23" t="str">
        <f>HYPERLINK("#Geometry!D41","→ Geometry")</f>
        <v>→ Geometry</v>
      </c>
      <c r="F6" s="20"/>
    </row>
    <row r="7" spans="1:6" x14ac:dyDescent="0.2">
      <c r="A7" s="20" t="s">
        <v>406</v>
      </c>
      <c r="B7" s="18" t="s">
        <v>38</v>
      </c>
      <c r="C7" s="20"/>
      <c r="D7" s="38" t="str">
        <f>Summary!$D$4</f>
        <v>UdG (mixed)</v>
      </c>
      <c r="E7" s="23" t="str">
        <f>HYPERLINK("#Summary!D4","→ Summary")</f>
        <v>→ Summary</v>
      </c>
      <c r="F7" s="20"/>
    </row>
    <row r="8" spans="1:6" s="15" customFormat="1" x14ac:dyDescent="0.2">
      <c r="A8" s="20" t="s">
        <v>406</v>
      </c>
      <c r="B8" s="18" t="s">
        <v>38</v>
      </c>
      <c r="C8" s="20"/>
      <c r="D8" s="38" t="str">
        <f>Summary!$D$4</f>
        <v>UdG (mixed)</v>
      </c>
      <c r="E8" s="23" t="str">
        <f>HYPERLINK("#Summary!D4","→ Summary")</f>
        <v>→ Summary</v>
      </c>
      <c r="F8" s="20"/>
    </row>
    <row r="9" spans="1:6" x14ac:dyDescent="0.2">
      <c r="A9" s="113"/>
      <c r="B9" s="18"/>
      <c r="C9" s="19"/>
      <c r="D9" s="60"/>
      <c r="E9" s="20"/>
      <c r="F9" s="20"/>
    </row>
    <row r="10" spans="1:6" ht="36" customHeight="1" x14ac:dyDescent="0.2">
      <c r="A10" s="17" t="s">
        <v>407</v>
      </c>
      <c r="B10" s="18" t="s">
        <v>408</v>
      </c>
      <c r="C10" s="19" t="s">
        <v>135</v>
      </c>
      <c r="D10" s="105">
        <f>IF(ISNUMBER(cal_knall_H2),cal_knall_H2,6)</f>
        <v>6</v>
      </c>
      <c r="E10" s="61" t="s">
        <v>409</v>
      </c>
      <c r="F10" s="20"/>
    </row>
    <row r="11" spans="1:6" x14ac:dyDescent="0.2">
      <c r="A11" s="17" t="s">
        <v>410</v>
      </c>
      <c r="B11" s="18" t="s">
        <v>411</v>
      </c>
      <c r="C11" s="19" t="s">
        <v>135</v>
      </c>
      <c r="D11" s="105">
        <f>IF(ISNUMBER(cal_knall_O2),cal_knall_O2,2)</f>
        <v>2</v>
      </c>
      <c r="E11" s="61" t="s">
        <v>412</v>
      </c>
      <c r="F11" s="20"/>
    </row>
    <row r="12" spans="1:6" x14ac:dyDescent="0.2">
      <c r="A12" s="17" t="s">
        <v>413</v>
      </c>
      <c r="B12" s="18" t="s">
        <v>414</v>
      </c>
      <c r="C12" s="19" t="s">
        <v>135</v>
      </c>
      <c r="D12" s="105">
        <f>IF(ISNUMBER(cal_knall_CO2),cal_knall_CO2,1)</f>
        <v>1</v>
      </c>
      <c r="E12" s="61" t="s">
        <v>415</v>
      </c>
      <c r="F12" s="20"/>
    </row>
    <row r="13" spans="1:6" x14ac:dyDescent="0.2">
      <c r="A13" s="17" t="s">
        <v>416</v>
      </c>
      <c r="B13" s="18" t="s">
        <v>417</v>
      </c>
      <c r="C13" s="19" t="s">
        <v>354</v>
      </c>
      <c r="D13" s="48">
        <f>rH2_gen</f>
        <v>1.0375983363301247E-4</v>
      </c>
      <c r="E13" s="37" t="s">
        <v>418</v>
      </c>
      <c r="F13" s="20"/>
    </row>
    <row r="14" spans="1:6" ht="26" customHeight="1" x14ac:dyDescent="0.2">
      <c r="A14" s="17" t="s">
        <v>419</v>
      </c>
      <c r="B14" s="18" t="s">
        <v>420</v>
      </c>
      <c r="C14" s="19" t="s">
        <v>354</v>
      </c>
      <c r="D14" s="48">
        <f>H2_cons*bio_O2/bio_H2</f>
        <v>3.4586611211004156E-5</v>
      </c>
      <c r="E14" s="107" t="s">
        <v>421</v>
      </c>
      <c r="F14" s="20"/>
    </row>
    <row r="15" spans="1:6" x14ac:dyDescent="0.2">
      <c r="A15" s="17" t="s">
        <v>422</v>
      </c>
      <c r="B15" s="18" t="s">
        <v>423</v>
      </c>
      <c r="C15" s="19" t="s">
        <v>354</v>
      </c>
      <c r="D15" s="48">
        <f>H2_cons*bio_CO2/bio_H2</f>
        <v>1.7293305605502078E-5</v>
      </c>
      <c r="E15" s="37" t="s">
        <v>424</v>
      </c>
      <c r="F15" s="20"/>
    </row>
    <row r="16" spans="1:6" ht="52" x14ac:dyDescent="0.2">
      <c r="A16" s="113" t="s">
        <v>425</v>
      </c>
      <c r="B16" s="18" t="s">
        <v>426</v>
      </c>
      <c r="C16" s="19" t="s">
        <v>354</v>
      </c>
      <c r="D16" s="48">
        <f>MAX(0,O2_net_gen-O2_cons)</f>
        <v>1.6097797510468917E-5</v>
      </c>
      <c r="E16" s="115" t="s">
        <v>1926</v>
      </c>
      <c r="F16" s="20"/>
    </row>
    <row r="17" spans="1:6" x14ac:dyDescent="0.2">
      <c r="A17" s="17" t="s">
        <v>427</v>
      </c>
      <c r="B17" s="18" t="s">
        <v>428</v>
      </c>
      <c r="C17" s="19" t="s">
        <v>53</v>
      </c>
      <c r="D17" s="62">
        <f>Summary!$D$8</f>
        <v>25</v>
      </c>
      <c r="E17" s="37" t="s">
        <v>429</v>
      </c>
      <c r="F17" s="20"/>
    </row>
    <row r="18" spans="1:6" ht="24" customHeight="1" x14ac:dyDescent="0.2">
      <c r="A18" s="17" t="s">
        <v>430</v>
      </c>
      <c r="B18" s="18" t="s">
        <v>308</v>
      </c>
      <c r="C18" s="19" t="s">
        <v>309</v>
      </c>
      <c r="D18" s="42">
        <f>T_C+273.15</f>
        <v>298.14999999999998</v>
      </c>
      <c r="E18" s="99" t="s">
        <v>431</v>
      </c>
      <c r="F18" s="20"/>
    </row>
    <row r="19" spans="1:6" x14ac:dyDescent="0.2">
      <c r="A19" s="17" t="s">
        <v>432</v>
      </c>
      <c r="B19" s="18" t="s">
        <v>311</v>
      </c>
      <c r="C19" s="19" t="s">
        <v>62</v>
      </c>
      <c r="D19" s="63">
        <f>IF(Summary!$D$10&gt;0,Summary!$D$10,101325)</f>
        <v>101325</v>
      </c>
      <c r="E19" s="37" t="s">
        <v>433</v>
      </c>
      <c r="F19" s="20"/>
    </row>
    <row r="20" spans="1:6" x14ac:dyDescent="0.2">
      <c r="A20" s="17" t="s">
        <v>434</v>
      </c>
      <c r="B20" s="18" t="s">
        <v>435</v>
      </c>
      <c r="C20" s="19" t="s">
        <v>436</v>
      </c>
      <c r="D20" s="52">
        <v>101325</v>
      </c>
      <c r="E20" s="99" t="s">
        <v>437</v>
      </c>
      <c r="F20" s="20"/>
    </row>
    <row r="21" spans="1:6" x14ac:dyDescent="0.2">
      <c r="A21" s="17" t="s">
        <v>438</v>
      </c>
      <c r="B21" s="18" t="s">
        <v>439</v>
      </c>
      <c r="C21" s="19" t="s">
        <v>440</v>
      </c>
      <c r="D21" s="52">
        <v>1.2E-5</v>
      </c>
      <c r="E21" s="51" t="s">
        <v>441</v>
      </c>
      <c r="F21" s="20"/>
    </row>
    <row r="22" spans="1:6" x14ac:dyDescent="0.2">
      <c r="A22" s="17" t="s">
        <v>442</v>
      </c>
      <c r="B22" s="18" t="s">
        <v>443</v>
      </c>
      <c r="C22" s="19" t="s">
        <v>309</v>
      </c>
      <c r="D22" s="52">
        <v>1500</v>
      </c>
      <c r="E22" s="51" t="s">
        <v>444</v>
      </c>
      <c r="F22" s="20"/>
    </row>
    <row r="23" spans="1:6" x14ac:dyDescent="0.2">
      <c r="A23" s="17" t="s">
        <v>445</v>
      </c>
      <c r="B23" s="18" t="s">
        <v>446</v>
      </c>
      <c r="C23" s="19" t="s">
        <v>309</v>
      </c>
      <c r="D23" s="52">
        <v>298.14999999999998</v>
      </c>
      <c r="E23" s="99" t="s">
        <v>447</v>
      </c>
      <c r="F23" s="20"/>
    </row>
    <row r="24" spans="1:6" x14ac:dyDescent="0.2">
      <c r="A24" s="17" t="s">
        <v>448</v>
      </c>
      <c r="B24" s="18" t="s">
        <v>449</v>
      </c>
      <c r="C24" s="19" t="s">
        <v>440</v>
      </c>
      <c r="D24" s="64">
        <f>H_O2ref*EXP(H_O2T*(1/T_K-1/T_ref))</f>
        <v>1.2E-5</v>
      </c>
      <c r="E24" s="99" t="s">
        <v>450</v>
      </c>
      <c r="F24" s="20"/>
    </row>
    <row r="25" spans="1:6" ht="24" customHeight="1" x14ac:dyDescent="0.2">
      <c r="A25" s="17" t="s">
        <v>451</v>
      </c>
      <c r="B25" s="18" t="s">
        <v>452</v>
      </c>
      <c r="C25" s="19" t="s">
        <v>453</v>
      </c>
      <c r="D25" s="52">
        <v>0.3</v>
      </c>
      <c r="E25" s="51" t="s">
        <v>454</v>
      </c>
      <c r="F25" s="20"/>
    </row>
    <row r="26" spans="1:6" x14ac:dyDescent="0.2">
      <c r="A26" s="17" t="s">
        <v>455</v>
      </c>
      <c r="B26" s="18" t="s">
        <v>456</v>
      </c>
      <c r="C26" s="19" t="s">
        <v>62</v>
      </c>
      <c r="D26" s="43">
        <f>O2_ceil_atm*Pa_per_atm</f>
        <v>30397.5</v>
      </c>
      <c r="E26" s="99" t="s">
        <v>457</v>
      </c>
      <c r="F26" s="20"/>
    </row>
    <row r="27" spans="1:6" x14ac:dyDescent="0.2">
      <c r="A27" s="17" t="s">
        <v>458</v>
      </c>
      <c r="B27" s="18" t="s">
        <v>459</v>
      </c>
      <c r="C27" s="19" t="s">
        <v>460</v>
      </c>
      <c r="D27" s="46">
        <f>H_O2_T*O2_ceil_Pa</f>
        <v>0.36476999999999998</v>
      </c>
      <c r="E27" s="99" t="s">
        <v>461</v>
      </c>
      <c r="F27" s="20"/>
    </row>
    <row r="28" spans="1:6" x14ac:dyDescent="0.2">
      <c r="A28" s="113" t="s">
        <v>458</v>
      </c>
      <c r="B28" s="18" t="s">
        <v>462</v>
      </c>
      <c r="C28" s="19" t="s">
        <v>463</v>
      </c>
      <c r="D28" s="43">
        <f>O2_ceil_C*1000</f>
        <v>364.77</v>
      </c>
      <c r="E28" s="65" t="s">
        <v>464</v>
      </c>
      <c r="F28" s="20"/>
    </row>
    <row r="29" spans="1:6" x14ac:dyDescent="0.2">
      <c r="A29" s="17" t="s">
        <v>465</v>
      </c>
      <c r="B29" s="18" t="s">
        <v>466</v>
      </c>
      <c r="C29" s="19" t="s">
        <v>440</v>
      </c>
      <c r="D29" s="66">
        <v>3.3E-4</v>
      </c>
      <c r="E29" s="67" t="s">
        <v>1054</v>
      </c>
      <c r="F29" s="20"/>
    </row>
    <row r="30" spans="1:6" ht="24" customHeight="1" x14ac:dyDescent="0.2">
      <c r="A30" s="17" t="s">
        <v>467</v>
      </c>
      <c r="B30" s="18" t="s">
        <v>468</v>
      </c>
      <c r="C30" s="19" t="s">
        <v>309</v>
      </c>
      <c r="D30" s="66">
        <v>2400</v>
      </c>
      <c r="E30" s="67" t="s">
        <v>469</v>
      </c>
      <c r="F30" s="20"/>
    </row>
    <row r="31" spans="1:6" x14ac:dyDescent="0.2">
      <c r="A31" s="17" t="s">
        <v>470</v>
      </c>
      <c r="B31" s="18" t="s">
        <v>471</v>
      </c>
      <c r="C31" s="19" t="s">
        <v>440</v>
      </c>
      <c r="D31" s="48">
        <f>H_CO2ref*EXP(H_CO2T*(1/T_K-1/T_ref))</f>
        <v>3.3E-4</v>
      </c>
      <c r="E31" s="99" t="s">
        <v>472</v>
      </c>
      <c r="F31" s="20"/>
    </row>
    <row r="32" spans="1:6" x14ac:dyDescent="0.2">
      <c r="A32" s="17" t="s">
        <v>473</v>
      </c>
      <c r="B32" s="18" t="s">
        <v>474</v>
      </c>
      <c r="C32" s="19" t="s">
        <v>62</v>
      </c>
      <c r="D32" s="48">
        <f>P_atm</f>
        <v>101325</v>
      </c>
      <c r="E32" s="68" t="s">
        <v>475</v>
      </c>
      <c r="F32" s="20"/>
    </row>
    <row r="33" spans="1:6" x14ac:dyDescent="0.2">
      <c r="A33" s="17" t="s">
        <v>476</v>
      </c>
      <c r="B33" s="18" t="s">
        <v>477</v>
      </c>
      <c r="C33" s="19" t="s">
        <v>460</v>
      </c>
      <c r="D33" s="48">
        <f>H_CO2_T*p_CO2_sparge</f>
        <v>33.437249999999999</v>
      </c>
      <c r="E33" s="99" t="s">
        <v>478</v>
      </c>
      <c r="F33" s="20"/>
    </row>
    <row r="34" spans="1:6" x14ac:dyDescent="0.2">
      <c r="A34" s="17" t="s">
        <v>479</v>
      </c>
      <c r="B34" s="18" t="s">
        <v>480</v>
      </c>
      <c r="C34" s="19" t="s">
        <v>463</v>
      </c>
      <c r="D34" s="36">
        <v>50</v>
      </c>
      <c r="E34" s="69" t="s">
        <v>481</v>
      </c>
      <c r="F34" s="20"/>
    </row>
    <row r="35" spans="1:6" ht="24" customHeight="1" x14ac:dyDescent="0.2">
      <c r="A35" s="17" t="s">
        <v>482</v>
      </c>
      <c r="B35" s="18" t="s">
        <v>483</v>
      </c>
      <c r="C35" s="19" t="s">
        <v>110</v>
      </c>
      <c r="D35" s="48">
        <f>CO2_diss*1000/Km_CO2</f>
        <v>668.745</v>
      </c>
      <c r="E35" s="99" t="s">
        <v>484</v>
      </c>
      <c r="F35" s="20"/>
    </row>
    <row r="36" spans="1:6" x14ac:dyDescent="0.2">
      <c r="A36" s="17" t="s">
        <v>485</v>
      </c>
      <c r="B36" s="18" t="s">
        <v>486</v>
      </c>
      <c r="C36" s="19" t="s">
        <v>487</v>
      </c>
      <c r="D36" s="66">
        <v>4.4499999999999997E-7</v>
      </c>
      <c r="E36" s="67" t="s">
        <v>488</v>
      </c>
      <c r="F36" s="20"/>
    </row>
    <row r="37" spans="1:6" ht="24" customHeight="1" x14ac:dyDescent="0.2">
      <c r="A37" s="17" t="s">
        <v>489</v>
      </c>
      <c r="B37" s="18" t="s">
        <v>490</v>
      </c>
      <c r="C37" s="19" t="s">
        <v>135</v>
      </c>
      <c r="D37" s="48">
        <f>-LOG10(SQRT(Ka1_carb*(CO2_diss/1000)))</f>
        <v>3.913704718363725</v>
      </c>
      <c r="E37" s="69" t="s">
        <v>491</v>
      </c>
      <c r="F37" s="20"/>
    </row>
    <row r="38" spans="1:6" x14ac:dyDescent="0.2">
      <c r="A38" s="17" t="s">
        <v>492</v>
      </c>
      <c r="B38" s="18" t="s">
        <v>493</v>
      </c>
      <c r="C38" s="19" t="s">
        <v>440</v>
      </c>
      <c r="D38" s="66">
        <v>7.7999999999999999E-6</v>
      </c>
      <c r="E38" s="67" t="s">
        <v>1055</v>
      </c>
      <c r="F38" s="20"/>
    </row>
    <row r="39" spans="1:6" x14ac:dyDescent="0.2">
      <c r="A39" s="17" t="s">
        <v>494</v>
      </c>
      <c r="B39" s="18" t="s">
        <v>495</v>
      </c>
      <c r="C39" s="19" t="s">
        <v>309</v>
      </c>
      <c r="D39" s="66">
        <v>500</v>
      </c>
      <c r="E39" s="67" t="s">
        <v>496</v>
      </c>
      <c r="F39" s="20"/>
    </row>
    <row r="40" spans="1:6" x14ac:dyDescent="0.2">
      <c r="A40" s="17" t="s">
        <v>497</v>
      </c>
      <c r="B40" s="18" t="s">
        <v>498</v>
      </c>
      <c r="C40" s="19" t="s">
        <v>440</v>
      </c>
      <c r="D40" s="48">
        <f>H_H2ref*EXP(H_H2T*(1/T_K-1/T_ref))</f>
        <v>7.7999999999999999E-6</v>
      </c>
      <c r="E40" s="99" t="s">
        <v>472</v>
      </c>
      <c r="F40" s="20"/>
    </row>
    <row r="41" spans="1:6" x14ac:dyDescent="0.2">
      <c r="A41" s="17" t="s">
        <v>499</v>
      </c>
      <c r="B41" s="18" t="s">
        <v>500</v>
      </c>
      <c r="C41" s="19" t="s">
        <v>460</v>
      </c>
      <c r="D41" s="48">
        <f>H_H2_T*P_atm</f>
        <v>0.79033500000000001</v>
      </c>
      <c r="E41" s="99" t="s">
        <v>501</v>
      </c>
      <c r="F41" s="20"/>
    </row>
    <row r="42" spans="1:6" ht="24" customHeight="1" x14ac:dyDescent="0.2">
      <c r="A42" s="17" t="s">
        <v>502</v>
      </c>
      <c r="B42" s="18" t="s">
        <v>503</v>
      </c>
      <c r="C42" s="19" t="s">
        <v>67</v>
      </c>
      <c r="D42" s="48">
        <f>C_H2_sat*(V_charge/1000000)/rH2_gen*60</f>
        <v>6.8552683162137482</v>
      </c>
      <c r="E42" s="99" t="s">
        <v>504</v>
      </c>
      <c r="F42" s="20"/>
    </row>
    <row r="43" spans="1:6" x14ac:dyDescent="0.2">
      <c r="A43" s="17" t="s">
        <v>505</v>
      </c>
      <c r="B43" s="18" t="s">
        <v>506</v>
      </c>
      <c r="C43" s="19" t="s">
        <v>507</v>
      </c>
      <c r="D43" s="48">
        <f>rH2_gen/(V_charge/1000000)/C_H2_sat</f>
        <v>8.7523926464104864</v>
      </c>
      <c r="E43" s="69" t="s">
        <v>508</v>
      </c>
      <c r="F43" s="20"/>
    </row>
    <row r="44" spans="1:6" ht="24" customHeight="1" x14ac:dyDescent="0.2">
      <c r="A44" s="17" t="s">
        <v>509</v>
      </c>
      <c r="B44" s="18" t="s">
        <v>510</v>
      </c>
      <c r="C44" s="19" t="s">
        <v>135</v>
      </c>
      <c r="D44" s="48" t="str">
        <f>IF(H2_turnover&gt;1,"EXPLOSIVE","watch")</f>
        <v>EXPLOSIVE</v>
      </c>
      <c r="E44" s="70" t="s">
        <v>511</v>
      </c>
      <c r="F44" s="101" t="s">
        <v>512</v>
      </c>
    </row>
    <row r="45" spans="1:6" x14ac:dyDescent="0.2">
      <c r="A45" s="20" t="s">
        <v>513</v>
      </c>
      <c r="B45" s="20" t="s">
        <v>514</v>
      </c>
      <c r="C45" s="20" t="s">
        <v>102</v>
      </c>
      <c r="D45" s="71" t="e">
        <f>IF(ISNUMBER(cal_DO_min),cal_DO_min,IF(ISNUMBER(VLOOKUP(organism_sel,$A$52:$F$57,2,FALSE)),VLOOKUP(organism_sel,$A$52:$F$57,2,FALSE),NA()))</f>
        <v>#N/A</v>
      </c>
      <c r="E45" s="20"/>
      <c r="F45" s="20"/>
    </row>
    <row r="46" spans="1:6" x14ac:dyDescent="0.2">
      <c r="A46" s="20" t="s">
        <v>515</v>
      </c>
      <c r="B46" s="20" t="s">
        <v>516</v>
      </c>
      <c r="C46" s="20" t="s">
        <v>102</v>
      </c>
      <c r="D46" s="24" t="e">
        <f>IF(ISNUMBER(cal_DO_opt),cal_DO_opt,IF(ISNUMBER(VLOOKUP(organism_sel,$A$52:$F$57,3,FALSE)),VLOOKUP(organism_sel,$A$52:$F$57,3,FALSE),NA()))</f>
        <v>#N/A</v>
      </c>
      <c r="E46" s="20"/>
      <c r="F46" s="20"/>
    </row>
    <row r="47" spans="1:6" x14ac:dyDescent="0.2">
      <c r="A47" s="20" t="s">
        <v>517</v>
      </c>
      <c r="B47" s="20" t="s">
        <v>518</v>
      </c>
      <c r="C47" s="20" t="s">
        <v>102</v>
      </c>
      <c r="D47" s="24" t="e">
        <f>IF(ISNUMBER(cal_DO_impair),cal_DO_impair,IF(ISNUMBER(VLOOKUP(organism_sel,$A$52:$F$57,4,FALSE)),VLOOKUP(organism_sel,$A$52:$F$57,4,FALSE),NA()))</f>
        <v>#N/A</v>
      </c>
      <c r="E47" s="20"/>
      <c r="F47" s="20"/>
    </row>
    <row r="48" spans="1:6" x14ac:dyDescent="0.2">
      <c r="A48" s="20" t="s">
        <v>519</v>
      </c>
      <c r="B48" s="20" t="s">
        <v>520</v>
      </c>
      <c r="C48" s="20" t="s">
        <v>102</v>
      </c>
      <c r="D48" s="24" t="e">
        <f>IF(ISNUMBER(cal_DO_toxic),cal_DO_toxic,IF(ISNUMBER(VLOOKUP(organism_sel,$A$52:$F$57,5,FALSE)),VLOOKUP(organism_sel,$A$52:$F$57,5,FALSE),NA()))</f>
        <v>#N/A</v>
      </c>
      <c r="E48" s="20"/>
      <c r="F48" s="20"/>
    </row>
    <row r="49" spans="1:6" x14ac:dyDescent="0.2">
      <c r="A49" s="20"/>
      <c r="B49" s="59"/>
      <c r="C49" s="59"/>
      <c r="D49" s="59"/>
      <c r="E49" s="59"/>
      <c r="F49" s="20"/>
    </row>
    <row r="50" spans="1:6" x14ac:dyDescent="0.2">
      <c r="A50" s="103" t="s">
        <v>521</v>
      </c>
      <c r="B50" s="20"/>
      <c r="C50" s="20"/>
      <c r="D50" s="20"/>
      <c r="E50" s="20"/>
      <c r="F50" s="20"/>
    </row>
    <row r="51" spans="1:6" x14ac:dyDescent="0.2">
      <c r="A51" s="103" t="s">
        <v>522</v>
      </c>
      <c r="B51" s="103" t="s">
        <v>523</v>
      </c>
      <c r="C51" s="103" t="s">
        <v>524</v>
      </c>
      <c r="D51" s="103" t="s">
        <v>525</v>
      </c>
      <c r="E51" s="103" t="s">
        <v>526</v>
      </c>
      <c r="F51" s="103" t="s">
        <v>527</v>
      </c>
    </row>
    <row r="52" spans="1:6" x14ac:dyDescent="0.2">
      <c r="A52" s="20" t="s">
        <v>39</v>
      </c>
      <c r="B52" s="59" t="s">
        <v>398</v>
      </c>
      <c r="C52" s="20">
        <v>2.6</v>
      </c>
      <c r="D52" s="20">
        <v>3</v>
      </c>
      <c r="E52" s="20">
        <v>11.5</v>
      </c>
      <c r="F52" s="101" t="s">
        <v>528</v>
      </c>
    </row>
    <row r="53" spans="1:6" x14ac:dyDescent="0.2">
      <c r="A53" s="20" t="s">
        <v>529</v>
      </c>
      <c r="B53" s="59" t="s">
        <v>398</v>
      </c>
      <c r="C53" s="59" t="s">
        <v>398</v>
      </c>
      <c r="D53" s="59" t="s">
        <v>398</v>
      </c>
      <c r="E53" s="20">
        <v>11.5</v>
      </c>
      <c r="F53" s="20" t="s">
        <v>530</v>
      </c>
    </row>
    <row r="54" spans="1:6" x14ac:dyDescent="0.2">
      <c r="A54" s="20" t="s">
        <v>531</v>
      </c>
      <c r="B54" s="59" t="s">
        <v>398</v>
      </c>
      <c r="C54" s="59" t="s">
        <v>398</v>
      </c>
      <c r="D54" s="59" t="s">
        <v>398</v>
      </c>
      <c r="E54" s="59" t="s">
        <v>398</v>
      </c>
      <c r="F54" s="20" t="s">
        <v>532</v>
      </c>
    </row>
    <row r="55" spans="1:6" x14ac:dyDescent="0.2">
      <c r="A55" s="20" t="s">
        <v>533</v>
      </c>
      <c r="B55" s="59" t="s">
        <v>398</v>
      </c>
      <c r="C55" s="59" t="s">
        <v>398</v>
      </c>
      <c r="D55" s="59" t="s">
        <v>398</v>
      </c>
      <c r="E55" s="59" t="s">
        <v>398</v>
      </c>
      <c r="F55" s="20" t="s">
        <v>532</v>
      </c>
    </row>
    <row r="56" spans="1:6" x14ac:dyDescent="0.2">
      <c r="A56" s="20" t="s">
        <v>534</v>
      </c>
      <c r="B56" s="59" t="s">
        <v>398</v>
      </c>
      <c r="C56" s="59" t="s">
        <v>398</v>
      </c>
      <c r="D56" s="59" t="s">
        <v>398</v>
      </c>
      <c r="E56" s="59" t="s">
        <v>398</v>
      </c>
      <c r="F56" s="20" t="s">
        <v>532</v>
      </c>
    </row>
    <row r="57" spans="1:6" x14ac:dyDescent="0.2">
      <c r="A57" s="20" t="s">
        <v>535</v>
      </c>
      <c r="B57" s="59" t="s">
        <v>398</v>
      </c>
      <c r="C57" s="59" t="s">
        <v>398</v>
      </c>
      <c r="D57" s="59" t="s">
        <v>398</v>
      </c>
      <c r="E57" s="59" t="s">
        <v>398</v>
      </c>
      <c r="F57" s="20" t="s">
        <v>536</v>
      </c>
    </row>
    <row r="58" spans="1:6" x14ac:dyDescent="0.2">
      <c r="A58" s="20"/>
      <c r="B58" s="20"/>
      <c r="C58" s="20"/>
      <c r="D58" s="32"/>
      <c r="E58" s="20"/>
      <c r="F58" s="20"/>
    </row>
    <row r="59" spans="1:6" x14ac:dyDescent="0.2">
      <c r="A59" s="5" t="s">
        <v>1473</v>
      </c>
    </row>
    <row r="60" spans="1:6" ht="24" x14ac:dyDescent="0.2">
      <c r="A60" t="s">
        <v>1474</v>
      </c>
      <c r="B60" s="18" t="s">
        <v>1475</v>
      </c>
      <c r="C60" s="19" t="s">
        <v>1274</v>
      </c>
      <c r="D60" s="22">
        <f>IF(AND(ISNUMBER(DO_opt),ISNUMBER(DO_toxic)),DO_opt/DO_toxic,DO_frac_fallback)</f>
        <v>0.22608695652173899</v>
      </c>
      <c r="E60" s="67" t="s">
        <v>1476</v>
      </c>
    </row>
    <row r="61" spans="1:6" ht="48" x14ac:dyDescent="0.2">
      <c r="A61" t="s">
        <v>1477</v>
      </c>
      <c r="B61" s="18" t="s">
        <v>1478</v>
      </c>
      <c r="C61" s="19" t="s">
        <v>1274</v>
      </c>
      <c r="D61" s="52">
        <v>0.22608695652173899</v>
      </c>
      <c r="E61" s="68" t="s">
        <v>1928</v>
      </c>
    </row>
  </sheetData>
  <conditionalFormatting sqref="D9">
    <cfRule type="colorScale" priority="2">
      <colorScale>
        <cfvo type="num" val="0"/>
        <cfvo type="num" val="1.5E-5"/>
        <cfvo type="num" val="4.0000000000000003E-5"/>
        <color rgb="FF63BE7B"/>
        <color rgb="FFFFEB84"/>
        <color rgb="FFF8696B"/>
      </colorScale>
    </cfRule>
  </conditionalFormatting>
  <conditionalFormatting sqref="D44">
    <cfRule type="cellIs" dxfId="8" priority="1" operator="equal">
      <formula>"EXPLOSIVE"</formula>
    </cfRule>
    <cfRule type="expression" dxfId="7" priority="3" stopIfTrue="1">
      <formula>ISNUMBER(SEARCH("EXPLOSIVE",D44))</formula>
    </cfRule>
  </conditionalFormatting>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F206"/>
  <sheetViews>
    <sheetView topLeftCell="A101" zoomScale="137" workbookViewId="0">
      <selection activeCell="D113" sqref="D113"/>
    </sheetView>
  </sheetViews>
  <sheetFormatPr baseColWidth="10" defaultColWidth="8.83203125" defaultRowHeight="15" x14ac:dyDescent="0.2"/>
  <cols>
    <col min="1" max="1" width="30" customWidth="1"/>
    <col min="2" max="2" width="15" customWidth="1"/>
    <col min="4" max="4" width="14.5" customWidth="1"/>
    <col min="5" max="5" width="60" customWidth="1"/>
  </cols>
  <sheetData>
    <row r="1" spans="1:6" ht="16" customHeight="1" x14ac:dyDescent="0.2">
      <c r="A1" s="104" t="s">
        <v>537</v>
      </c>
      <c r="B1" s="20"/>
      <c r="C1" s="20"/>
      <c r="D1" s="20"/>
      <c r="E1" s="20"/>
      <c r="F1" s="20"/>
    </row>
    <row r="2" spans="1:6" x14ac:dyDescent="0.2">
      <c r="A2" s="16" t="s">
        <v>24</v>
      </c>
      <c r="B2" s="16" t="s">
        <v>25</v>
      </c>
      <c r="C2" s="16" t="s">
        <v>26</v>
      </c>
      <c r="D2" s="16" t="s">
        <v>27</v>
      </c>
      <c r="E2" s="16" t="s">
        <v>131</v>
      </c>
      <c r="F2" s="20"/>
    </row>
    <row r="3" spans="1:6" x14ac:dyDescent="0.2">
      <c r="A3" s="17"/>
      <c r="B3" s="18"/>
      <c r="C3" s="19"/>
      <c r="D3" s="105"/>
      <c r="E3" s="37"/>
      <c r="F3" s="20"/>
    </row>
    <row r="4" spans="1:6" ht="16" customHeight="1" x14ac:dyDescent="0.2">
      <c r="A4" s="104" t="s">
        <v>132</v>
      </c>
      <c r="B4" s="18"/>
      <c r="C4" s="19"/>
      <c r="D4" s="105"/>
      <c r="E4" s="37"/>
      <c r="F4" s="20"/>
    </row>
    <row r="5" spans="1:6" x14ac:dyDescent="0.2">
      <c r="A5" s="17" t="s">
        <v>538</v>
      </c>
      <c r="B5" s="18" t="s">
        <v>539</v>
      </c>
      <c r="C5" s="19" t="s">
        <v>146</v>
      </c>
      <c r="D5" s="72">
        <f>Geometry!$D$52</f>
        <v>12</v>
      </c>
      <c r="E5" s="73" t="str">
        <f>HYPERLINK("#Geometry!D52","→ Geometry")</f>
        <v>→ Geometry</v>
      </c>
      <c r="F5" s="101" t="s">
        <v>540</v>
      </c>
    </row>
    <row r="6" spans="1:6" x14ac:dyDescent="0.2">
      <c r="A6" s="20" t="s">
        <v>541</v>
      </c>
      <c r="B6" s="20" t="s">
        <v>459</v>
      </c>
      <c r="C6" s="20" t="s">
        <v>460</v>
      </c>
      <c r="D6" s="26">
        <f>Biology!$D$27</f>
        <v>0.36476999999999998</v>
      </c>
      <c r="E6" s="23" t="str">
        <f>HYPERLINK("#Biology!D27","→ Biology")</f>
        <v>→ Biology</v>
      </c>
      <c r="F6" s="20"/>
    </row>
    <row r="7" spans="1:6" x14ac:dyDescent="0.2">
      <c r="A7" s="20" t="s">
        <v>542</v>
      </c>
      <c r="B7" s="20" t="s">
        <v>456</v>
      </c>
      <c r="C7" s="20" t="s">
        <v>62</v>
      </c>
      <c r="D7" s="26">
        <f>Biology!$D$26</f>
        <v>30397.5</v>
      </c>
      <c r="E7" s="23" t="str">
        <f>HYPERLINK("#Biology!D26","→ Biology")</f>
        <v>→ Biology</v>
      </c>
      <c r="F7" s="20"/>
    </row>
    <row r="8" spans="1:6" ht="24" customHeight="1" x14ac:dyDescent="0.2">
      <c r="A8" s="20" t="s">
        <v>307</v>
      </c>
      <c r="B8" s="20" t="s">
        <v>308</v>
      </c>
      <c r="C8" s="20" t="s">
        <v>309</v>
      </c>
      <c r="D8" s="26">
        <f>Biology!$D$18</f>
        <v>298.14999999999998</v>
      </c>
      <c r="E8" s="23" t="str">
        <f>HYPERLINK("#Biology!D18","→ Biology")</f>
        <v>→ Biology</v>
      </c>
      <c r="F8" s="20"/>
    </row>
    <row r="9" spans="1:6" x14ac:dyDescent="0.2">
      <c r="A9" s="20" t="s">
        <v>310</v>
      </c>
      <c r="B9" s="20" t="s">
        <v>311</v>
      </c>
      <c r="C9" s="20" t="s">
        <v>62</v>
      </c>
      <c r="D9" s="26">
        <f>Biology!$D$19</f>
        <v>101325</v>
      </c>
      <c r="E9" s="23" t="str">
        <f>HYPERLINK("#Biology!D19","→ Biology")</f>
        <v>→ Biology</v>
      </c>
      <c r="F9" s="20"/>
    </row>
    <row r="10" spans="1:6" x14ac:dyDescent="0.2">
      <c r="A10" s="20" t="s">
        <v>543</v>
      </c>
      <c r="B10" s="20" t="s">
        <v>423</v>
      </c>
      <c r="C10" s="20" t="s">
        <v>354</v>
      </c>
      <c r="D10" s="26">
        <f>Biology!$D$15</f>
        <v>1.7293305605502078E-5</v>
      </c>
      <c r="E10" s="23" t="str">
        <f>HYPERLINK("#Biology!D15","→ Biology")</f>
        <v>→ Biology</v>
      </c>
      <c r="F10" s="20"/>
    </row>
    <row r="11" spans="1:6" x14ac:dyDescent="0.2">
      <c r="A11" s="20" t="s">
        <v>544</v>
      </c>
      <c r="B11" s="20" t="s">
        <v>426</v>
      </c>
      <c r="C11" s="20" t="s">
        <v>354</v>
      </c>
      <c r="D11" s="26">
        <f>Biology!$D$16</f>
        <v>1.6097797510468917E-5</v>
      </c>
      <c r="E11" s="23" t="str">
        <f>HYPERLINK("#Biology!D16","→ Biology")</f>
        <v>→ Biology</v>
      </c>
      <c r="F11" s="20"/>
    </row>
    <row r="12" spans="1:6" x14ac:dyDescent="0.2">
      <c r="A12" s="20" t="s">
        <v>545</v>
      </c>
      <c r="B12" s="20" t="s">
        <v>449</v>
      </c>
      <c r="C12" s="20" t="s">
        <v>440</v>
      </c>
      <c r="D12" s="26">
        <f>Biology!$D$24</f>
        <v>1.2E-5</v>
      </c>
      <c r="E12" s="23" t="str">
        <f>HYPERLINK("#Biology!D24","→ Biology")</f>
        <v>→ Biology</v>
      </c>
      <c r="F12" s="20"/>
    </row>
    <row r="13" spans="1:6" x14ac:dyDescent="0.2">
      <c r="A13" s="20" t="s">
        <v>404</v>
      </c>
      <c r="B13" s="20" t="s">
        <v>378</v>
      </c>
      <c r="C13" s="20" t="s">
        <v>354</v>
      </c>
      <c r="D13" s="27">
        <f>Electrochemistry!$D$29</f>
        <v>5.0684408721473073E-5</v>
      </c>
      <c r="E13" s="23" t="str">
        <f>HYPERLINK("#Electrochemistry!D29","→ Electrochemistry")</f>
        <v>→ Electrochemistry</v>
      </c>
      <c r="F13" s="20"/>
    </row>
    <row r="14" spans="1:6" x14ac:dyDescent="0.2">
      <c r="A14" s="20" t="s">
        <v>546</v>
      </c>
      <c r="B14" s="20" t="s">
        <v>237</v>
      </c>
      <c r="C14" s="20" t="s">
        <v>172</v>
      </c>
      <c r="D14" s="25">
        <f>Geometry!$D$44</f>
        <v>429.5477251405668</v>
      </c>
      <c r="E14" s="23" t="str">
        <f>HYPERLINK("#Geometry!D44","→ Geometry")</f>
        <v>→ Geometry</v>
      </c>
      <c r="F14" s="20"/>
    </row>
    <row r="15" spans="1:6" x14ac:dyDescent="0.2">
      <c r="A15" s="20" t="s">
        <v>547</v>
      </c>
      <c r="B15" s="20" t="s">
        <v>168</v>
      </c>
      <c r="C15" s="20" t="s">
        <v>146</v>
      </c>
      <c r="D15" s="25">
        <f>Geometry!$D$20</f>
        <v>25.28</v>
      </c>
      <c r="E15" s="23" t="str">
        <f>HYPERLINK("#Geometry!D20","→ Geometry")</f>
        <v>→ Geometry</v>
      </c>
      <c r="F15" s="20"/>
    </row>
    <row r="16" spans="1:6" x14ac:dyDescent="0.2">
      <c r="A16" s="20" t="s">
        <v>405</v>
      </c>
      <c r="B16" s="20" t="s">
        <v>228</v>
      </c>
      <c r="C16" s="20" t="s">
        <v>57</v>
      </c>
      <c r="D16" s="25">
        <f>Geometry!$D$41</f>
        <v>15</v>
      </c>
      <c r="E16" s="23" t="str">
        <f>HYPERLINK("#Geometry!D41","→ Geometry")</f>
        <v>→ Geometry</v>
      </c>
      <c r="F16" s="20"/>
    </row>
    <row r="17" spans="1:6" x14ac:dyDescent="0.2">
      <c r="A17" s="20" t="s">
        <v>548</v>
      </c>
      <c r="B17" s="20" t="s">
        <v>171</v>
      </c>
      <c r="C17" s="20" t="s">
        <v>172</v>
      </c>
      <c r="D17" s="25">
        <f>Geometry!$D$21</f>
        <v>501.93100162697988</v>
      </c>
      <c r="E17" s="23" t="str">
        <f>HYPERLINK("#Geometry!D21","→ Geometry")</f>
        <v>→ Geometry</v>
      </c>
      <c r="F17" s="20"/>
    </row>
    <row r="18" spans="1:6" ht="24" customHeight="1" x14ac:dyDescent="0.2">
      <c r="A18" s="20" t="s">
        <v>549</v>
      </c>
      <c r="B18" s="20" t="s">
        <v>200</v>
      </c>
      <c r="C18" s="20" t="s">
        <v>146</v>
      </c>
      <c r="D18" s="25">
        <f>Geometry!$D$31</f>
        <v>1.5874999999999999</v>
      </c>
      <c r="E18" s="23" t="str">
        <f>HYPERLINK("#Geometry!D31","→ Geometry")</f>
        <v>→ Geometry</v>
      </c>
      <c r="F18" s="20"/>
    </row>
    <row r="19" spans="1:6" x14ac:dyDescent="0.2">
      <c r="A19" s="20" t="s">
        <v>550</v>
      </c>
      <c r="B19" s="20" t="s">
        <v>252</v>
      </c>
      <c r="C19" s="20" t="s">
        <v>57</v>
      </c>
      <c r="D19" s="25">
        <f>Geometry!$D$49</f>
        <v>2.6124284559171356</v>
      </c>
      <c r="E19" s="23" t="str">
        <f>HYPERLINK("#Geometry!D49","→ Geometry")</f>
        <v>→ Geometry</v>
      </c>
      <c r="F19" s="20"/>
    </row>
    <row r="20" spans="1:6" x14ac:dyDescent="0.2">
      <c r="A20" s="20" t="s">
        <v>551</v>
      </c>
      <c r="B20" s="20" t="s">
        <v>552</v>
      </c>
      <c r="C20" s="20" t="s">
        <v>553</v>
      </c>
      <c r="D20" s="27">
        <f>Electrochemistry!$D$32</f>
        <v>0</v>
      </c>
      <c r="E20" s="23" t="str">
        <f>HYPERLINK("#Electrochemistry!D32","→ Electrochemistry")</f>
        <v>→ Electrochemistry</v>
      </c>
      <c r="F20" s="20"/>
    </row>
    <row r="21" spans="1:6" x14ac:dyDescent="0.2">
      <c r="A21" s="20" t="s">
        <v>554</v>
      </c>
      <c r="B21" s="20" t="s">
        <v>389</v>
      </c>
      <c r="C21" s="20" t="s">
        <v>135</v>
      </c>
      <c r="D21" s="27" t="str">
        <f>Electrochemistry!$D$31</f>
        <v>Tube</v>
      </c>
      <c r="E21" s="23" t="str">
        <f>HYPERLINK("#Electrochemistry!D31","→ Electrochemistry")</f>
        <v>→ Electrochemistry</v>
      </c>
      <c r="F21" s="20"/>
    </row>
    <row r="22" spans="1:6" ht="36" customHeight="1" x14ac:dyDescent="0.2">
      <c r="A22" s="20" t="s">
        <v>555</v>
      </c>
      <c r="B22" s="20" t="s">
        <v>516</v>
      </c>
      <c r="C22" s="20"/>
      <c r="D22" s="26" t="e">
        <f>Biology!$D$46</f>
        <v>#N/A</v>
      </c>
      <c r="E22" s="23" t="str">
        <f>HYPERLINK("#Biology!D46","→ Biology")</f>
        <v>→ Biology</v>
      </c>
      <c r="F22" s="20"/>
    </row>
    <row r="23" spans="1:6" x14ac:dyDescent="0.2">
      <c r="A23" s="20" t="s">
        <v>556</v>
      </c>
      <c r="B23" s="20" t="s">
        <v>518</v>
      </c>
      <c r="C23" s="20"/>
      <c r="D23" s="26" t="e">
        <f>Biology!$D$47</f>
        <v>#N/A</v>
      </c>
      <c r="E23" s="23" t="str">
        <f>HYPERLINK("#Biology!D47","→ Biology")</f>
        <v>→ Biology</v>
      </c>
      <c r="F23" s="20"/>
    </row>
    <row r="24" spans="1:6" x14ac:dyDescent="0.2">
      <c r="A24" s="20" t="s">
        <v>557</v>
      </c>
      <c r="B24" s="20" t="s">
        <v>520</v>
      </c>
      <c r="C24" s="20"/>
      <c r="D24" s="26" t="e">
        <f>Biology!$D$48</f>
        <v>#N/A</v>
      </c>
      <c r="E24" s="23" t="str">
        <f>HYPERLINK("#Biology!D48","→ Biology")</f>
        <v>→ Biology</v>
      </c>
      <c r="F24" s="20"/>
    </row>
    <row r="25" spans="1:6" x14ac:dyDescent="0.2">
      <c r="A25" s="20" t="s">
        <v>558</v>
      </c>
      <c r="B25" s="20" t="s">
        <v>514</v>
      </c>
      <c r="C25" s="20"/>
      <c r="D25" s="26" t="e">
        <f>Biology!$D$45</f>
        <v>#N/A</v>
      </c>
      <c r="E25" s="23" t="str">
        <f>HYPERLINK("#Biology!D45","→ Biology")</f>
        <v>→ Biology</v>
      </c>
      <c r="F25" s="20"/>
    </row>
    <row r="26" spans="1:6" x14ac:dyDescent="0.2">
      <c r="A26" s="17"/>
      <c r="B26" s="18"/>
      <c r="C26" s="19"/>
      <c r="D26" s="74"/>
      <c r="E26" s="75"/>
      <c r="F26" s="20"/>
    </row>
    <row r="27" spans="1:6" x14ac:dyDescent="0.2">
      <c r="A27" s="17" t="s">
        <v>559</v>
      </c>
      <c r="B27" s="18" t="s">
        <v>560</v>
      </c>
      <c r="C27" s="19" t="s">
        <v>135</v>
      </c>
      <c r="D27" s="36" t="s">
        <v>395</v>
      </c>
      <c r="E27" s="37" t="s">
        <v>561</v>
      </c>
      <c r="F27" s="20"/>
    </row>
    <row r="28" spans="1:6" x14ac:dyDescent="0.2">
      <c r="A28" s="17" t="s">
        <v>562</v>
      </c>
      <c r="B28" s="18" t="s">
        <v>563</v>
      </c>
      <c r="C28" s="19" t="s">
        <v>135</v>
      </c>
      <c r="D28" s="36" t="s">
        <v>401</v>
      </c>
      <c r="E28" s="37" t="s">
        <v>564</v>
      </c>
      <c r="F28" s="20"/>
    </row>
    <row r="29" spans="1:6" ht="24" x14ac:dyDescent="0.2">
      <c r="A29" s="17" t="s">
        <v>565</v>
      </c>
      <c r="B29" s="18" t="s">
        <v>566</v>
      </c>
      <c r="C29" s="19" t="s">
        <v>567</v>
      </c>
      <c r="D29" s="22">
        <f>sigma_0+sigma_k*(T_K-273.15)</f>
        <v>7.1965000000000001E-2</v>
      </c>
      <c r="E29" s="51" t="s">
        <v>1785</v>
      </c>
      <c r="F29" s="20"/>
    </row>
    <row r="30" spans="1:6" ht="24" customHeight="1" x14ac:dyDescent="0.2">
      <c r="A30" s="17" t="s">
        <v>568</v>
      </c>
      <c r="B30" s="18" t="s">
        <v>569</v>
      </c>
      <c r="C30" s="19" t="s">
        <v>570</v>
      </c>
      <c r="D30" s="22">
        <f>rho_0+rho_k*(T_K-273.15)</f>
        <v>996.94</v>
      </c>
      <c r="E30" s="51" t="s">
        <v>1786</v>
      </c>
      <c r="F30" s="20"/>
    </row>
    <row r="31" spans="1:6" x14ac:dyDescent="0.2">
      <c r="A31" s="17" t="s">
        <v>571</v>
      </c>
      <c r="B31" s="18" t="s">
        <v>572</v>
      </c>
      <c r="C31" s="19" t="s">
        <v>573</v>
      </c>
      <c r="D31" s="56">
        <v>9.8066499999999994</v>
      </c>
      <c r="E31" s="100" t="s">
        <v>574</v>
      </c>
      <c r="F31" s="20"/>
    </row>
    <row r="32" spans="1:6" ht="24" customHeight="1" x14ac:dyDescent="0.2">
      <c r="A32" s="17" t="s">
        <v>575</v>
      </c>
      <c r="B32" s="18" t="s">
        <v>576</v>
      </c>
      <c r="C32" s="19" t="s">
        <v>577</v>
      </c>
      <c r="D32" s="22">
        <f>10^(HB_a+HB_b/T_K-(HB_c/T_K)^2)/10000</f>
        <v>1.9976723184042195E-9</v>
      </c>
      <c r="E32" s="37" t="s">
        <v>1787</v>
      </c>
      <c r="F32" s="20"/>
    </row>
    <row r="33" spans="1:6" x14ac:dyDescent="0.2">
      <c r="A33" s="17" t="s">
        <v>578</v>
      </c>
      <c r="B33" s="18" t="s">
        <v>579</v>
      </c>
      <c r="C33" s="19" t="s">
        <v>580</v>
      </c>
      <c r="D33" s="52">
        <v>205</v>
      </c>
      <c r="E33" s="51" t="s">
        <v>581</v>
      </c>
      <c r="F33" s="20"/>
    </row>
    <row r="34" spans="1:6" ht="24" customHeight="1" x14ac:dyDescent="0.2">
      <c r="A34" s="17" t="s">
        <v>582</v>
      </c>
      <c r="B34" s="18" t="s">
        <v>583</v>
      </c>
      <c r="C34" s="19" t="s">
        <v>580</v>
      </c>
      <c r="D34" s="52">
        <v>130</v>
      </c>
      <c r="E34" s="51" t="s">
        <v>584</v>
      </c>
      <c r="F34" s="20"/>
    </row>
    <row r="35" spans="1:6" x14ac:dyDescent="0.2">
      <c r="A35" s="17" t="s">
        <v>585</v>
      </c>
      <c r="B35" s="18" t="s">
        <v>586</v>
      </c>
      <c r="C35" s="19" t="s">
        <v>580</v>
      </c>
      <c r="D35" s="52">
        <v>70</v>
      </c>
      <c r="E35" s="51" t="s">
        <v>587</v>
      </c>
      <c r="F35" s="20"/>
    </row>
    <row r="36" spans="1:6" x14ac:dyDescent="0.2">
      <c r="A36" s="17" t="s">
        <v>588</v>
      </c>
      <c r="B36" s="18" t="s">
        <v>589</v>
      </c>
      <c r="C36" s="19" t="s">
        <v>580</v>
      </c>
      <c r="D36" s="52">
        <v>28</v>
      </c>
      <c r="E36" s="51" t="s">
        <v>590</v>
      </c>
      <c r="F36" s="20"/>
    </row>
    <row r="37" spans="1:6" x14ac:dyDescent="0.2">
      <c r="A37" s="17" t="s">
        <v>591</v>
      </c>
      <c r="B37" s="18" t="s">
        <v>592</v>
      </c>
      <c r="C37" s="19" t="s">
        <v>580</v>
      </c>
      <c r="D37" s="52">
        <v>13</v>
      </c>
      <c r="E37" s="51" t="s">
        <v>593</v>
      </c>
      <c r="F37" s="20"/>
    </row>
    <row r="38" spans="1:6" x14ac:dyDescent="0.2">
      <c r="A38" s="17" t="s">
        <v>594</v>
      </c>
      <c r="B38" s="18" t="s">
        <v>595</v>
      </c>
      <c r="C38" s="19" t="s">
        <v>580</v>
      </c>
      <c r="D38" s="54">
        <v>1.3</v>
      </c>
      <c r="E38" s="51" t="s">
        <v>596</v>
      </c>
      <c r="F38" s="20"/>
    </row>
    <row r="39" spans="1:6" x14ac:dyDescent="0.2">
      <c r="A39" s="17" t="s">
        <v>597</v>
      </c>
      <c r="B39" s="18" t="s">
        <v>598</v>
      </c>
      <c r="C39" s="19" t="s">
        <v>599</v>
      </c>
      <c r="D39" s="76">
        <f>CHOOSE(por_grade+1,por0_um,por1_um,por2_um,por3_um,por4_um,por5_um)/1000000</f>
        <v>2.05E-4</v>
      </c>
      <c r="E39" s="99" t="s">
        <v>600</v>
      </c>
      <c r="F39" s="20"/>
    </row>
    <row r="40" spans="1:6" ht="24" customHeight="1" x14ac:dyDescent="0.2">
      <c r="A40" s="17" t="s">
        <v>601</v>
      </c>
      <c r="B40" s="18" t="s">
        <v>602</v>
      </c>
      <c r="C40" s="19" t="s">
        <v>599</v>
      </c>
      <c r="D40" s="76">
        <f>spg_ID/1000</f>
        <v>1.5874999999999999E-3</v>
      </c>
      <c r="E40" s="99" t="s">
        <v>603</v>
      </c>
      <c r="F40" s="20"/>
    </row>
    <row r="41" spans="1:6" x14ac:dyDescent="0.2">
      <c r="A41" s="17" t="s">
        <v>604</v>
      </c>
      <c r="B41" s="18" t="s">
        <v>605</v>
      </c>
      <c r="C41" s="19" t="s">
        <v>599</v>
      </c>
      <c r="D41" s="76">
        <f>IF(sparger=spg_name_1,tube_d_m,IF(sparger=spg_name_2,por_pore,NA()))</f>
        <v>1.5874999999999999E-3</v>
      </c>
      <c r="E41" s="99" t="s">
        <v>606</v>
      </c>
      <c r="F41" s="20"/>
    </row>
    <row r="42" spans="1:6" ht="24" customHeight="1" x14ac:dyDescent="0.2">
      <c r="A42" s="113" t="s">
        <v>607</v>
      </c>
      <c r="B42" s="18" t="s">
        <v>608</v>
      </c>
      <c r="C42" s="19" t="s">
        <v>599</v>
      </c>
      <c r="D42" s="48">
        <f>(6*d_orifice*sigma/(rho_L*g_const))^(1/3)</f>
        <v>4.1234956335550665E-3</v>
      </c>
      <c r="E42" s="75" t="s">
        <v>609</v>
      </c>
      <c r="F42" s="20"/>
    </row>
    <row r="43" spans="1:6" x14ac:dyDescent="0.2">
      <c r="A43" s="113" t="s">
        <v>610</v>
      </c>
      <c r="B43" s="18" t="s">
        <v>611</v>
      </c>
      <c r="C43" s="19" t="s">
        <v>146</v>
      </c>
      <c r="D43" s="45">
        <f>d_bubble*1000</f>
        <v>4.1234956335550663</v>
      </c>
      <c r="E43" s="75"/>
      <c r="F43" s="20"/>
    </row>
    <row r="44" spans="1:6" x14ac:dyDescent="0.2">
      <c r="A44" s="17" t="s">
        <v>612</v>
      </c>
      <c r="B44" s="18" t="s">
        <v>613</v>
      </c>
      <c r="C44" s="19" t="s">
        <v>135</v>
      </c>
      <c r="D44" s="50">
        <v>2.14</v>
      </c>
      <c r="E44" s="75" t="s">
        <v>614</v>
      </c>
      <c r="F44" s="20"/>
    </row>
    <row r="45" spans="1:6" x14ac:dyDescent="0.2">
      <c r="A45" s="17" t="s">
        <v>615</v>
      </c>
      <c r="B45" s="18" t="s">
        <v>616</v>
      </c>
      <c r="C45" s="19" t="s">
        <v>135</v>
      </c>
      <c r="D45" s="77">
        <v>0.505</v>
      </c>
      <c r="E45" s="75" t="s">
        <v>617</v>
      </c>
      <c r="F45" s="20"/>
    </row>
    <row r="46" spans="1:6" ht="36" customHeight="1" x14ac:dyDescent="0.2">
      <c r="A46" s="17" t="s">
        <v>618</v>
      </c>
      <c r="B46" s="18" t="s">
        <v>619</v>
      </c>
      <c r="C46" s="19" t="s">
        <v>107</v>
      </c>
      <c r="D46" s="46">
        <f>SQRT(mend_a*sigma/(rho_L*d_bubble)+mend_b*g_const*d_bubble)</f>
        <v>0.24059063626950894</v>
      </c>
      <c r="E46" s="75" t="s">
        <v>620</v>
      </c>
      <c r="F46" s="20"/>
    </row>
    <row r="47" spans="1:6" x14ac:dyDescent="0.2">
      <c r="A47" s="17" t="s">
        <v>621</v>
      </c>
      <c r="B47" s="18" t="s">
        <v>622</v>
      </c>
      <c r="C47" s="19" t="s">
        <v>107</v>
      </c>
      <c r="D47" s="48">
        <f>(Q_CO2/1000000/60)/(A_x/1000000)</f>
        <v>6.6343780105353137E-3</v>
      </c>
      <c r="E47" s="99" t="s">
        <v>623</v>
      </c>
      <c r="F47" s="20"/>
    </row>
    <row r="48" spans="1:6" x14ac:dyDescent="0.2">
      <c r="A48" s="17" t="s">
        <v>624</v>
      </c>
      <c r="B48" s="18" t="s">
        <v>625</v>
      </c>
      <c r="C48" s="19" t="s">
        <v>135</v>
      </c>
      <c r="D48" s="48">
        <f>u_sg/u_rise</f>
        <v>2.7575379131145831E-2</v>
      </c>
      <c r="E48" s="75" t="s">
        <v>626</v>
      </c>
      <c r="F48" s="20"/>
    </row>
    <row r="49" spans="1:6" x14ac:dyDescent="0.2">
      <c r="A49" s="17" t="s">
        <v>627</v>
      </c>
      <c r="B49" s="18" t="s">
        <v>628</v>
      </c>
      <c r="C49" s="19" t="s">
        <v>629</v>
      </c>
      <c r="D49" s="42">
        <f>6*holdup/d_bubble</f>
        <v>40.12427549104266</v>
      </c>
      <c r="E49" s="75" t="s">
        <v>630</v>
      </c>
      <c r="F49" s="20"/>
    </row>
    <row r="50" spans="1:6" x14ac:dyDescent="0.2">
      <c r="A50" s="17" t="s">
        <v>631</v>
      </c>
      <c r="B50" s="18" t="s">
        <v>632</v>
      </c>
      <c r="C50" s="19" t="s">
        <v>13</v>
      </c>
      <c r="D50" s="46">
        <f>d_bubble/u_rise</f>
        <v>1.713905286378618E-2</v>
      </c>
      <c r="E50" s="75" t="s">
        <v>633</v>
      </c>
      <c r="F50" s="20"/>
    </row>
    <row r="51" spans="1:6" x14ac:dyDescent="0.2">
      <c r="A51" s="17" t="s">
        <v>634</v>
      </c>
      <c r="B51" s="18" t="s">
        <v>635</v>
      </c>
      <c r="C51" s="19" t="s">
        <v>107</v>
      </c>
      <c r="D51" s="48">
        <f>2*SQRT(D_O2/(PI()*t_contact))</f>
        <v>3.8523326009298525E-4</v>
      </c>
      <c r="E51" s="75" t="s">
        <v>636</v>
      </c>
      <c r="F51" s="20"/>
    </row>
    <row r="52" spans="1:6" x14ac:dyDescent="0.2">
      <c r="A52" s="113" t="s">
        <v>637</v>
      </c>
      <c r="B52" s="18" t="s">
        <v>638</v>
      </c>
      <c r="C52" s="19" t="s">
        <v>639</v>
      </c>
      <c r="D52" s="48">
        <f>kL*a_int</f>
        <v>1.5457205456283431E-2</v>
      </c>
      <c r="E52" s="75" t="s">
        <v>640</v>
      </c>
      <c r="F52" s="20"/>
    </row>
    <row r="53" spans="1:6" x14ac:dyDescent="0.2">
      <c r="A53" s="17" t="s">
        <v>641</v>
      </c>
      <c r="B53" s="18" t="s">
        <v>642</v>
      </c>
      <c r="C53" s="19" t="s">
        <v>639</v>
      </c>
      <c r="D53" s="64">
        <f>kLa_sparge*duty</f>
        <v>1.4527515242039499E-5</v>
      </c>
      <c r="E53" s="117" t="s">
        <v>643</v>
      </c>
      <c r="F53" s="20"/>
    </row>
    <row r="54" spans="1:6" ht="24" customHeight="1" x14ac:dyDescent="0.2">
      <c r="A54" s="17" t="s">
        <v>644</v>
      </c>
      <c r="B54" s="18" t="s">
        <v>645</v>
      </c>
      <c r="C54" s="19" t="s">
        <v>354</v>
      </c>
      <c r="D54" s="48">
        <f>IF(d_bubble&lt;0.001,0,kLa_sparge*(V_charge/1000000)*O2_ceil_C*3600)</f>
        <v>3.0446954105157938E-4</v>
      </c>
      <c r="E54" s="75" t="s">
        <v>646</v>
      </c>
      <c r="F54" s="20"/>
    </row>
    <row r="55" spans="1:6" ht="24" customHeight="1" x14ac:dyDescent="0.2">
      <c r="A55" s="113" t="s">
        <v>647</v>
      </c>
      <c r="B55" s="18" t="s">
        <v>648</v>
      </c>
      <c r="C55" s="19" t="s">
        <v>354</v>
      </c>
      <c r="D55" s="48">
        <f>strip_sparge*duty</f>
        <v>2.8615689368129239E-7</v>
      </c>
      <c r="E55" s="75" t="s">
        <v>649</v>
      </c>
      <c r="F55" s="20"/>
    </row>
    <row r="56" spans="1:6" x14ac:dyDescent="0.2">
      <c r="A56" s="113" t="s">
        <v>650</v>
      </c>
      <c r="B56" s="18" t="s">
        <v>651</v>
      </c>
      <c r="C56" s="19" t="s">
        <v>110</v>
      </c>
      <c r="D56" s="45">
        <f>IF(O2_excess&gt;0,strip_avg/O2_excess,NA())</f>
        <v>1.7776151892530349E-2</v>
      </c>
      <c r="E56" s="75" t="s">
        <v>652</v>
      </c>
      <c r="F56" s="20"/>
    </row>
    <row r="57" spans="1:6" ht="36" customHeight="1" x14ac:dyDescent="0.2">
      <c r="A57" s="17" t="s">
        <v>653</v>
      </c>
      <c r="B57" s="18" t="s">
        <v>654</v>
      </c>
      <c r="C57" s="19" t="s">
        <v>639</v>
      </c>
      <c r="D57" s="48">
        <f>IF(O2_excess&gt;0,O2_excess/3600/((V_charge/1000000)*O2_ceil_C),NA())</f>
        <v>8.1724747458667086E-4</v>
      </c>
      <c r="E57" s="75" t="s">
        <v>655</v>
      </c>
      <c r="F57" s="20"/>
    </row>
    <row r="58" spans="1:6" ht="24" customHeight="1" x14ac:dyDescent="0.2">
      <c r="A58" s="17" t="s">
        <v>656</v>
      </c>
      <c r="B58" s="18" t="s">
        <v>657</v>
      </c>
      <c r="C58" s="19" t="s">
        <v>107</v>
      </c>
      <c r="D58" s="36">
        <v>0.05</v>
      </c>
      <c r="E58" s="75" t="s">
        <v>658</v>
      </c>
      <c r="F58" s="20"/>
    </row>
    <row r="59" spans="1:6" x14ac:dyDescent="0.2">
      <c r="A59" s="113" t="s">
        <v>659</v>
      </c>
      <c r="B59" s="18" t="s">
        <v>660</v>
      </c>
      <c r="C59" s="19" t="s">
        <v>135</v>
      </c>
      <c r="D59" s="58" t="str">
        <f>IF(u_sg&gt;u_g_max,"RISK","OK")</f>
        <v>OK</v>
      </c>
      <c r="E59" s="75" t="s">
        <v>661</v>
      </c>
      <c r="F59" s="20"/>
    </row>
    <row r="60" spans="1:6" x14ac:dyDescent="0.2">
      <c r="A60" s="17" t="s">
        <v>662</v>
      </c>
      <c r="B60" s="18" t="s">
        <v>663</v>
      </c>
      <c r="C60" s="19" t="s">
        <v>570</v>
      </c>
      <c r="D60" s="48">
        <f>P_atm*(M_CO2/1000)/(R_gas*T_K)</f>
        <v>1.7988462624934765</v>
      </c>
      <c r="E60" s="99" t="s">
        <v>664</v>
      </c>
      <c r="F60" s="20"/>
    </row>
    <row r="61" spans="1:6" x14ac:dyDescent="0.2">
      <c r="A61" s="17" t="s">
        <v>665</v>
      </c>
      <c r="B61" s="18" t="s">
        <v>666</v>
      </c>
      <c r="C61" s="19" t="s">
        <v>135</v>
      </c>
      <c r="D61" s="36">
        <v>1</v>
      </c>
      <c r="E61" s="70" t="s">
        <v>667</v>
      </c>
      <c r="F61" s="20"/>
    </row>
    <row r="62" spans="1:6" x14ac:dyDescent="0.2">
      <c r="A62" s="17" t="s">
        <v>668</v>
      </c>
      <c r="B62" s="18" t="s">
        <v>669</v>
      </c>
      <c r="C62" s="19" t="s">
        <v>107</v>
      </c>
      <c r="D62" s="48">
        <f>(Q_CO2/1000000/60)/(n_pores_active*(PI()/4*d_orifice^2))</f>
        <v>1.6823907977801345</v>
      </c>
      <c r="E62" s="115" t="s">
        <v>643</v>
      </c>
      <c r="F62" s="20"/>
    </row>
    <row r="63" spans="1:6" x14ac:dyDescent="0.2">
      <c r="A63" s="17" t="s">
        <v>670</v>
      </c>
      <c r="B63" s="18" t="s">
        <v>671</v>
      </c>
      <c r="C63" s="19" t="s">
        <v>135</v>
      </c>
      <c r="D63" s="48">
        <f>rho_CO2*v_orifice^2*d_orifice/sigma</f>
        <v>0.11231563603452266</v>
      </c>
      <c r="E63" s="115" t="s">
        <v>643</v>
      </c>
      <c r="F63" s="20"/>
    </row>
    <row r="64" spans="1:6" ht="24" customHeight="1" x14ac:dyDescent="0.2">
      <c r="A64" s="17" t="s">
        <v>672</v>
      </c>
      <c r="B64" s="18" t="s">
        <v>673</v>
      </c>
      <c r="C64" s="19" t="s">
        <v>135</v>
      </c>
      <c r="D64" s="48" t="str">
        <f>IF(d_bubble&lt;0.001,"Sinter OOR – add fine-bubble model",IF(We_orifice&lt;2,"Static","Dynamic"))</f>
        <v>Static</v>
      </c>
      <c r="E64" s="99" t="s">
        <v>674</v>
      </c>
      <c r="F64" s="20"/>
    </row>
    <row r="65" spans="1:6" ht="24" customHeight="1" x14ac:dyDescent="0.2">
      <c r="A65" s="17" t="s">
        <v>675</v>
      </c>
      <c r="B65" s="18" t="s">
        <v>676</v>
      </c>
      <c r="C65" s="19" t="s">
        <v>67</v>
      </c>
      <c r="D65" s="48">
        <f>O2_ceil_C*(V_charge/1000000)/O2_excess*60</f>
        <v>20.3936594299003</v>
      </c>
      <c r="E65" s="99" t="s">
        <v>677</v>
      </c>
      <c r="F65" s="20"/>
    </row>
    <row r="66" spans="1:6" ht="24" customHeight="1" x14ac:dyDescent="0.2">
      <c r="A66" s="17" t="s">
        <v>678</v>
      </c>
      <c r="B66" s="18" t="s">
        <v>679</v>
      </c>
      <c r="C66" s="19" t="s">
        <v>67</v>
      </c>
      <c r="D66" s="48">
        <f>IF(O2_excess-strip_avg&gt;0,O2_ceil_C*(V_charge/1000000)/(O2_excess-strip_avg)*60,9999)</f>
        <v>20.762741068845372</v>
      </c>
      <c r="E66" s="99" t="s">
        <v>680</v>
      </c>
      <c r="F66" s="20"/>
    </row>
    <row r="67" spans="1:6" x14ac:dyDescent="0.2">
      <c r="A67" s="17" t="s">
        <v>681</v>
      </c>
      <c r="B67" s="18" t="s">
        <v>682</v>
      </c>
      <c r="C67" s="19" t="s">
        <v>683</v>
      </c>
      <c r="D67" s="78">
        <f>Summary!$D$7</f>
        <v>1000</v>
      </c>
      <c r="E67" s="68" t="s">
        <v>684</v>
      </c>
      <c r="F67" s="20"/>
    </row>
    <row r="68" spans="1:6" ht="24" customHeight="1" x14ac:dyDescent="0.2">
      <c r="A68" s="17" t="s">
        <v>106</v>
      </c>
      <c r="B68" s="18" t="s">
        <v>685</v>
      </c>
      <c r="C68" s="19" t="s">
        <v>107</v>
      </c>
      <c r="D68" s="48">
        <f>PI()*(stir_len/1000)*stir_rpm/60</f>
        <v>0.62831853071795862</v>
      </c>
      <c r="E68" s="99" t="s">
        <v>686</v>
      </c>
      <c r="F68" s="20"/>
    </row>
    <row r="69" spans="1:6" x14ac:dyDescent="0.2">
      <c r="A69" s="17" t="s">
        <v>687</v>
      </c>
      <c r="B69" s="18" t="s">
        <v>688</v>
      </c>
      <c r="C69" s="19" t="s">
        <v>639</v>
      </c>
      <c r="D69" s="48">
        <f>tip_speed/(vial_ID/1000)</f>
        <v>24.854372259412919</v>
      </c>
      <c r="E69" s="69" t="s">
        <v>689</v>
      </c>
      <c r="F69" s="20"/>
    </row>
    <row r="70" spans="1:6" ht="24" x14ac:dyDescent="0.2">
      <c r="A70" s="17" t="s">
        <v>690</v>
      </c>
      <c r="B70" s="18" t="s">
        <v>691</v>
      </c>
      <c r="C70" s="19" t="s">
        <v>107</v>
      </c>
      <c r="D70" s="48">
        <f>2*SQRT(D_O2*s_renew/PI())</f>
        <v>2.5143086212816689E-4</v>
      </c>
      <c r="E70" s="69" t="s">
        <v>1056</v>
      </c>
      <c r="F70" s="20"/>
    </row>
    <row r="71" spans="1:6" x14ac:dyDescent="0.2">
      <c r="A71" s="17" t="s">
        <v>692</v>
      </c>
      <c r="B71" s="18" t="s">
        <v>693</v>
      </c>
      <c r="C71" s="19" t="s">
        <v>629</v>
      </c>
      <c r="D71" s="48">
        <f>interface_A/V_charge</f>
        <v>28.63651500937112</v>
      </c>
      <c r="E71" s="99" t="s">
        <v>694</v>
      </c>
      <c r="F71" s="20"/>
    </row>
    <row r="72" spans="1:6" x14ac:dyDescent="0.2">
      <c r="A72" s="17" t="s">
        <v>695</v>
      </c>
      <c r="B72" s="18" t="s">
        <v>696</v>
      </c>
      <c r="C72" s="19" t="s">
        <v>639</v>
      </c>
      <c r="D72" s="48">
        <f>kL_surf*a_surf</f>
        <v>7.2001036571523718E-3</v>
      </c>
      <c r="E72" s="69" t="s">
        <v>697</v>
      </c>
      <c r="F72" s="20"/>
    </row>
    <row r="73" spans="1:6" ht="36" customHeight="1" x14ac:dyDescent="0.2">
      <c r="A73" s="17" t="s">
        <v>698</v>
      </c>
      <c r="B73" s="18" t="s">
        <v>699</v>
      </c>
      <c r="C73" s="19" t="s">
        <v>354</v>
      </c>
      <c r="D73" s="48">
        <f>kLa_surf_used*(V_charge/1000000)*O2_ceil_C*3600</f>
        <v>1.4182461779505142E-4</v>
      </c>
      <c r="E73" s="69" t="s">
        <v>1002</v>
      </c>
      <c r="F73" s="20"/>
    </row>
    <row r="74" spans="1:6" ht="24" customHeight="1" x14ac:dyDescent="0.2">
      <c r="A74" s="17" t="s">
        <v>700</v>
      </c>
      <c r="B74" s="18" t="s">
        <v>701</v>
      </c>
      <c r="C74" s="19" t="s">
        <v>110</v>
      </c>
      <c r="D74" s="48">
        <f>IF(O2_excess&gt;0,surf_strip/O2_excess,NA())</f>
        <v>8.8101877106367059</v>
      </c>
      <c r="E74" s="69" t="s">
        <v>702</v>
      </c>
      <c r="F74" s="20"/>
    </row>
    <row r="75" spans="1:6" ht="24" customHeight="1" x14ac:dyDescent="0.2">
      <c r="A75" s="17" t="s">
        <v>703</v>
      </c>
      <c r="B75" s="18" t="s">
        <v>704</v>
      </c>
      <c r="C75" s="19" t="s">
        <v>135</v>
      </c>
      <c r="D75" s="48">
        <f>IF(CO2_supply&gt;0,O2_excess/(O2_excess+CO2_supply),NA())</f>
        <v>3.3774599082114186E-2</v>
      </c>
      <c r="E75" s="99" t="s">
        <v>705</v>
      </c>
      <c r="F75" s="20"/>
    </row>
    <row r="76" spans="1:6" ht="36" x14ac:dyDescent="0.2">
      <c r="A76" s="17" t="s">
        <v>706</v>
      </c>
      <c r="B76" s="18" t="s">
        <v>707</v>
      </c>
      <c r="C76" s="19" t="s">
        <v>463</v>
      </c>
      <c r="D76" s="48">
        <f>H_O2_T*y_O2_vent*P_atm*1000</f>
        <v>41.066535023942642</v>
      </c>
      <c r="E76" s="69" t="s">
        <v>1455</v>
      </c>
      <c r="F76" s="20"/>
    </row>
    <row r="77" spans="1:6" x14ac:dyDescent="0.2">
      <c r="A77" s="17" t="s">
        <v>708</v>
      </c>
      <c r="B77" s="18" t="s">
        <v>709</v>
      </c>
      <c r="C77" s="19" t="s">
        <v>67</v>
      </c>
      <c r="D77" s="48">
        <f>headspace_V/(Q_CO2*duty)</f>
        <v>13.911967729563832</v>
      </c>
      <c r="E77" s="99" t="s">
        <v>710</v>
      </c>
      <c r="F77" s="20"/>
    </row>
    <row r="78" spans="1:6" ht="26" customHeight="1" x14ac:dyDescent="0.2">
      <c r="A78" s="17" t="s">
        <v>711</v>
      </c>
      <c r="B78" s="18" t="s">
        <v>712</v>
      </c>
      <c r="C78" s="19" t="s">
        <v>110</v>
      </c>
      <c r="D78" s="48">
        <f>IF(O2_excess&gt;0,(strip_avg+surf_strip)/O2_excess,NA())</f>
        <v>8.827963862529236</v>
      </c>
      <c r="E78" s="118" t="s">
        <v>713</v>
      </c>
      <c r="F78" s="20"/>
    </row>
    <row r="79" spans="1:6" x14ac:dyDescent="0.2">
      <c r="A79" s="17" t="s">
        <v>714</v>
      </c>
      <c r="B79" s="18" t="s">
        <v>715</v>
      </c>
      <c r="C79" s="19" t="s">
        <v>67</v>
      </c>
      <c r="D79" s="48">
        <f>O2_ceil_C*(V_charge/1000000)/O2_net_gen*60</f>
        <v>6.4771989706750714</v>
      </c>
      <c r="E79" s="99" t="s">
        <v>716</v>
      </c>
      <c r="F79" s="20"/>
    </row>
    <row r="80" spans="1:6" ht="36" customHeight="1" x14ac:dyDescent="0.2">
      <c r="A80" s="17" t="s">
        <v>717</v>
      </c>
      <c r="B80" s="18" t="s">
        <v>718</v>
      </c>
      <c r="C80" s="19" t="s">
        <v>67</v>
      </c>
      <c r="D80" s="48">
        <f>IF(O2_net_gen-strip_avg-surf_strip&gt;0,O2_ceil_C*(V_charge/1000000)/(O2_net_gen-strip_avg-surf_strip)*60,9999)</f>
        <v>9999</v>
      </c>
      <c r="E80" s="69" t="s">
        <v>1458</v>
      </c>
      <c r="F80" s="20"/>
    </row>
    <row r="81" spans="1:6" ht="24" customHeight="1" x14ac:dyDescent="0.2">
      <c r="A81" s="17" t="s">
        <v>719</v>
      </c>
      <c r="B81" s="18" t="s">
        <v>720</v>
      </c>
      <c r="C81" s="19" t="s">
        <v>135</v>
      </c>
      <c r="D81" s="36" t="s">
        <v>721</v>
      </c>
      <c r="E81" s="68" t="s">
        <v>1129</v>
      </c>
      <c r="F81" s="20"/>
    </row>
    <row r="82" spans="1:6" ht="24" x14ac:dyDescent="0.2">
      <c r="A82" s="17" t="s">
        <v>722</v>
      </c>
      <c r="B82" s="18" t="s">
        <v>723</v>
      </c>
      <c r="C82" s="19" t="s">
        <v>13</v>
      </c>
      <c r="D82" s="36">
        <v>1</v>
      </c>
      <c r="E82" s="68" t="s">
        <v>1130</v>
      </c>
      <c r="F82" s="20"/>
    </row>
    <row r="83" spans="1:6" ht="24" x14ac:dyDescent="0.2">
      <c r="A83" s="17" t="s">
        <v>724</v>
      </c>
      <c r="B83" s="18" t="s">
        <v>725</v>
      </c>
      <c r="C83" s="19" t="s">
        <v>67</v>
      </c>
      <c r="D83" s="36">
        <v>1</v>
      </c>
      <c r="E83" s="68" t="s">
        <v>1131</v>
      </c>
      <c r="F83" s="20"/>
    </row>
    <row r="84" spans="1:6" ht="36" x14ac:dyDescent="0.2">
      <c r="A84" s="17" t="s">
        <v>726</v>
      </c>
      <c r="B84" s="18" t="s">
        <v>727</v>
      </c>
      <c r="C84" s="19" t="s">
        <v>135</v>
      </c>
      <c r="D84" s="79">
        <f>Biology!$D$60</f>
        <v>0.22608695652173899</v>
      </c>
      <c r="E84" s="68" t="s">
        <v>1479</v>
      </c>
      <c r="F84" s="20"/>
    </row>
    <row r="85" spans="1:6" x14ac:dyDescent="0.2">
      <c r="A85" s="17" t="s">
        <v>728</v>
      </c>
      <c r="B85" s="18" t="s">
        <v>729</v>
      </c>
      <c r="C85" s="19" t="s">
        <v>135</v>
      </c>
      <c r="D85" s="36">
        <v>2</v>
      </c>
      <c r="E85" s="68" t="s">
        <v>730</v>
      </c>
      <c r="F85" s="20"/>
    </row>
    <row r="86" spans="1:6" x14ac:dyDescent="0.2">
      <c r="A86" s="17" t="s">
        <v>731</v>
      </c>
      <c r="B86" s="18" t="s">
        <v>732</v>
      </c>
      <c r="C86" s="19" t="s">
        <v>135</v>
      </c>
      <c r="D86" s="48">
        <f>carbon_margin_min*CO2_cons/(nCO2_rate*3600)</f>
        <v>7.0585202350194044E-5</v>
      </c>
      <c r="E86" s="99" t="s">
        <v>733</v>
      </c>
      <c r="F86" s="20"/>
    </row>
    <row r="87" spans="1:6" ht="24" customHeight="1" x14ac:dyDescent="0.2">
      <c r="A87" s="17" t="s">
        <v>734</v>
      </c>
      <c r="B87" s="18" t="s">
        <v>735</v>
      </c>
      <c r="C87" s="19" t="s">
        <v>135</v>
      </c>
      <c r="D87" s="48">
        <f>O2_src_guard/(target_DO_frac*(O2_ceil_Pa/P_atm))/(nCO2_rate*3600)</f>
        <v>1.5250471610154127E-3</v>
      </c>
      <c r="E87" s="99" t="s">
        <v>1063</v>
      </c>
      <c r="F87" s="20"/>
    </row>
    <row r="88" spans="1:6" ht="24" customHeight="1" x14ac:dyDescent="0.2">
      <c r="A88" s="17" t="s">
        <v>736</v>
      </c>
      <c r="B88" s="18" t="s">
        <v>737</v>
      </c>
      <c r="C88" s="19" t="s">
        <v>135</v>
      </c>
      <c r="D88" s="48">
        <f>MAX(duty_carbon,duty_O2vent)</f>
        <v>1.5250471610154127E-3</v>
      </c>
      <c r="E88" s="69" t="s">
        <v>1456</v>
      </c>
      <c r="F88" s="20"/>
    </row>
    <row r="89" spans="1:6" ht="36" x14ac:dyDescent="0.2">
      <c r="A89" s="17" t="s">
        <v>738</v>
      </c>
      <c r="B89" s="18" t="s">
        <v>739</v>
      </c>
      <c r="C89" s="19" t="s">
        <v>67</v>
      </c>
      <c r="D89" s="48">
        <f>target_DO_frac*O2_ceil_C*(V_charge/1000000)/O2_src_guard*60</f>
        <v>1.4644102020656673</v>
      </c>
      <c r="E89" s="99" t="s">
        <v>1457</v>
      </c>
      <c r="F89" s="20"/>
    </row>
    <row r="90" spans="1:6" x14ac:dyDescent="0.2">
      <c r="A90" s="17" t="s">
        <v>740</v>
      </c>
      <c r="B90" s="18" t="s">
        <v>741</v>
      </c>
      <c r="C90" s="19" t="s">
        <v>13</v>
      </c>
      <c r="D90" s="119">
        <f>MAX(pulse_floor,flush_factor*headspace_V/(Q_CO2/60))</f>
        <v>0.78451304982496561</v>
      </c>
      <c r="E90" s="80" t="s">
        <v>742</v>
      </c>
      <c r="F90" s="20"/>
    </row>
    <row r="91" spans="1:6" ht="24" customHeight="1" x14ac:dyDescent="0.2">
      <c r="A91" s="17" t="s">
        <v>743</v>
      </c>
      <c r="B91" s="18" t="s">
        <v>744</v>
      </c>
      <c r="C91" s="19" t="s">
        <v>67</v>
      </c>
      <c r="D91" s="119">
        <f>IF(ISNUMBER(spg_int_DO),MIN(spg_int_carbon,spg_int_DO),MIN(spg_int_carbon,spg_int_max))</f>
        <v>13.911967729563832</v>
      </c>
      <c r="E91" s="80" t="s">
        <v>1827</v>
      </c>
      <c r="F91" s="20"/>
    </row>
    <row r="92" spans="1:6" x14ac:dyDescent="0.2">
      <c r="A92" s="17" t="s">
        <v>745</v>
      </c>
      <c r="B92" s="18" t="s">
        <v>746</v>
      </c>
      <c r="C92" s="19" t="s">
        <v>13</v>
      </c>
      <c r="D92" s="48">
        <f>spg_int_opt*60</f>
        <v>834.71806377382995</v>
      </c>
      <c r="E92" s="80" t="s">
        <v>747</v>
      </c>
      <c r="F92" s="20"/>
    </row>
    <row r="93" spans="1:6" x14ac:dyDescent="0.2">
      <c r="A93" s="17" t="s">
        <v>748</v>
      </c>
      <c r="B93" s="18" t="s">
        <v>749</v>
      </c>
      <c r="C93" s="19" t="s">
        <v>135</v>
      </c>
      <c r="D93" s="48">
        <f>spg_dur_opt/(spg_int_opt*60)</f>
        <v>9.3985392657985228E-4</v>
      </c>
      <c r="E93" s="99" t="s">
        <v>750</v>
      </c>
      <c r="F93" s="20"/>
    </row>
    <row r="94" spans="1:6" ht="36" x14ac:dyDescent="0.2">
      <c r="A94" s="17" t="s">
        <v>751</v>
      </c>
      <c r="B94" s="18" t="s">
        <v>752</v>
      </c>
      <c r="C94" s="19" t="s">
        <v>135</v>
      </c>
      <c r="D94" s="48" t="str">
        <f>IF(NOT(ISNUMBER(spg_int_DO)),"O2-INFEASIBLE (see D134)",IF(spg_int_DO&lt;=spg_int_carbon,"O2-DILUTION (headspace O2 sets the interval)","CARBON (CO2 supply sets the interval)"))</f>
        <v>O2-DILUTION (headspace O2 sets the interval)</v>
      </c>
      <c r="E94" s="99" t="s">
        <v>1828</v>
      </c>
      <c r="F94" s="20"/>
    </row>
    <row r="95" spans="1:6" ht="24" x14ac:dyDescent="0.2">
      <c r="A95" s="17" t="s">
        <v>753</v>
      </c>
      <c r="B95" s="18" t="s">
        <v>754</v>
      </c>
      <c r="C95" s="19" t="s">
        <v>135</v>
      </c>
      <c r="D95" s="48" t="str">
        <f>IF(spg_int*60-spg_dur&gt;=5,"OK","TIGHT")</f>
        <v>OK</v>
      </c>
      <c r="E95" s="99" t="s">
        <v>1132</v>
      </c>
      <c r="F95" s="20"/>
    </row>
    <row r="96" spans="1:6" ht="36" customHeight="1" x14ac:dyDescent="0.2">
      <c r="A96" s="17" t="s">
        <v>755</v>
      </c>
      <c r="B96" s="18" t="s">
        <v>756</v>
      </c>
      <c r="C96" s="19" t="s">
        <v>135</v>
      </c>
      <c r="D96" s="48" t="str">
        <f>"see note →"</f>
        <v>see note →</v>
      </c>
      <c r="E96" s="69" t="s">
        <v>757</v>
      </c>
      <c r="F96" s="20"/>
    </row>
    <row r="97" spans="1:6" ht="24" customHeight="1" x14ac:dyDescent="0.2">
      <c r="A97" s="17" t="s">
        <v>758</v>
      </c>
      <c r="B97" s="18" t="s">
        <v>759</v>
      </c>
      <c r="C97" s="19" t="s">
        <v>507</v>
      </c>
      <c r="D97" s="116">
        <f>IF(ISNUMBER(cal_kLa),cal_kLa,0)</f>
        <v>0</v>
      </c>
      <c r="E97" s="69" t="s">
        <v>760</v>
      </c>
      <c r="F97" s="20"/>
    </row>
    <row r="98" spans="1:6" ht="24" customHeight="1" x14ac:dyDescent="0.2">
      <c r="A98" s="17" t="s">
        <v>761</v>
      </c>
      <c r="B98" s="18" t="s">
        <v>762</v>
      </c>
      <c r="C98" s="19" t="s">
        <v>639</v>
      </c>
      <c r="D98" s="48">
        <f>IF(AND(ISNUMBER(kLa_meas),kLa_meas&gt;0),kLa_meas/3600,kLa_surf)</f>
        <v>7.2001036571523718E-3</v>
      </c>
      <c r="E98" s="99" t="s">
        <v>1925</v>
      </c>
      <c r="F98" s="20"/>
    </row>
    <row r="99" spans="1:6" x14ac:dyDescent="0.2">
      <c r="A99" s="20" t="s">
        <v>763</v>
      </c>
      <c r="B99" s="20" t="s">
        <v>764</v>
      </c>
      <c r="C99" s="20" t="s">
        <v>13</v>
      </c>
      <c r="D99" s="24">
        <f>min_sparge_cal</f>
        <v>0.25</v>
      </c>
      <c r="E99" s="20" t="s">
        <v>765</v>
      </c>
      <c r="F99" s="20"/>
    </row>
    <row r="100" spans="1:6" x14ac:dyDescent="0.2">
      <c r="A100" s="20" t="s">
        <v>766</v>
      </c>
      <c r="B100" s="20" t="s">
        <v>767</v>
      </c>
      <c r="C100" s="20" t="s">
        <v>354</v>
      </c>
      <c r="D100" s="24">
        <f>CO2_pulse*pulses_h</f>
        <v>4.6052658732179201E-4</v>
      </c>
      <c r="E100" s="20" t="s">
        <v>765</v>
      </c>
      <c r="F100" s="20"/>
    </row>
    <row r="101" spans="1:6" x14ac:dyDescent="0.2">
      <c r="A101" s="20" t="s">
        <v>768</v>
      </c>
      <c r="B101" s="20" t="s">
        <v>313</v>
      </c>
      <c r="C101" s="20" t="s">
        <v>314</v>
      </c>
      <c r="D101" s="81">
        <v>8.3144626180000003</v>
      </c>
      <c r="E101" s="20" t="s">
        <v>765</v>
      </c>
      <c r="F101" s="20"/>
    </row>
    <row r="102" spans="1:6" x14ac:dyDescent="0.2">
      <c r="A102" s="20" t="s">
        <v>769</v>
      </c>
      <c r="B102" s="20" t="s">
        <v>770</v>
      </c>
      <c r="C102" s="20" t="s">
        <v>361</v>
      </c>
      <c r="D102" s="24">
        <f>IF(has_cal&gt;0,flowrate_cal*60,NA())</f>
        <v>199.8</v>
      </c>
      <c r="E102" s="20" t="s">
        <v>765</v>
      </c>
      <c r="F102" s="20"/>
    </row>
    <row r="103" spans="1:6" x14ac:dyDescent="0.2">
      <c r="A103" s="20" t="s">
        <v>771</v>
      </c>
      <c r="B103" s="20" t="s">
        <v>772</v>
      </c>
      <c r="C103" s="20" t="s">
        <v>773</v>
      </c>
      <c r="D103" s="81">
        <v>44.009500000000003</v>
      </c>
      <c r="E103" s="20" t="s">
        <v>765</v>
      </c>
      <c r="F103" s="20"/>
    </row>
    <row r="104" spans="1:6" x14ac:dyDescent="0.2">
      <c r="A104" s="20" t="s">
        <v>774</v>
      </c>
      <c r="B104" s="20" t="s">
        <v>775</v>
      </c>
      <c r="C104" s="20" t="s">
        <v>776</v>
      </c>
      <c r="D104" s="24">
        <f>P_atm*(Q_CO2/1000000/60)/(R_gas*T_K)</f>
        <v>1.36110568266017E-4</v>
      </c>
      <c r="E104" s="20" t="s">
        <v>765</v>
      </c>
      <c r="F104" s="20"/>
    </row>
    <row r="105" spans="1:6" x14ac:dyDescent="0.2">
      <c r="A105" s="20" t="s">
        <v>777</v>
      </c>
      <c r="B105" s="20" t="s">
        <v>778</v>
      </c>
      <c r="C105" s="20" t="s">
        <v>135</v>
      </c>
      <c r="D105" s="24">
        <f>spg_dur/(spg_int*60)</f>
        <v>9.3985392657985228E-4</v>
      </c>
      <c r="E105" s="20" t="s">
        <v>765</v>
      </c>
      <c r="F105" s="20"/>
    </row>
    <row r="106" spans="1:6" x14ac:dyDescent="0.2">
      <c r="A106" s="20" t="s">
        <v>779</v>
      </c>
      <c r="B106" s="20" t="s">
        <v>780</v>
      </c>
      <c r="C106" s="20" t="s">
        <v>135</v>
      </c>
      <c r="D106" s="81">
        <v>1</v>
      </c>
      <c r="E106" s="20" t="s">
        <v>765</v>
      </c>
      <c r="F106" s="20"/>
    </row>
    <row r="107" spans="1:6" x14ac:dyDescent="0.2">
      <c r="A107" s="103" t="s">
        <v>781</v>
      </c>
      <c r="B107" s="20"/>
      <c r="C107" s="20"/>
      <c r="D107" s="20"/>
      <c r="E107" s="20"/>
      <c r="F107" s="20"/>
    </row>
    <row r="108" spans="1:6" x14ac:dyDescent="0.2">
      <c r="A108" s="20" t="s">
        <v>782</v>
      </c>
      <c r="B108" s="20" t="s">
        <v>783</v>
      </c>
      <c r="C108" s="20" t="s">
        <v>102</v>
      </c>
      <c r="D108" s="24">
        <f>(DO_hs_floor+DO_surf_excess)*32</f>
        <v>2.6390316521739119</v>
      </c>
      <c r="E108" s="20" t="s">
        <v>1929</v>
      </c>
      <c r="F108" s="20"/>
    </row>
    <row r="109" spans="1:6" x14ac:dyDescent="0.2">
      <c r="A109" s="20" t="s">
        <v>784</v>
      </c>
      <c r="B109" s="20" t="s">
        <v>785</v>
      </c>
      <c r="C109" s="20"/>
      <c r="D109" s="24" t="str">
        <f>IF(ISNUMBER(DO_opt),IF(DO_ss&lt;=DO_opt,"at/under optimum",IF(DO_ss&lt;DO_impair,"above optimum, under impairment","OVER IMPAIRMENT - surface strip insufficient")),"organism optimum unknown")</f>
        <v>organism optimum unknown</v>
      </c>
      <c r="E109" s="20"/>
      <c r="F109" s="20"/>
    </row>
    <row r="110" spans="1:6" x14ac:dyDescent="0.2">
      <c r="A110" s="20" t="s">
        <v>786</v>
      </c>
      <c r="B110" s="20" t="s">
        <v>787</v>
      </c>
      <c r="C110" s="20"/>
      <c r="D110" s="24" t="str">
        <f>IF(ISNUMBER(DO_min),IF(DO_ss&gt;=DO_min,"above minimum","BELOW MINIMUM"),"minimum DO unknown - measure")</f>
        <v>minimum DO unknown - measure</v>
      </c>
      <c r="E110" s="20"/>
      <c r="F110" s="20"/>
    </row>
    <row r="111" spans="1:6" x14ac:dyDescent="0.2">
      <c r="A111" s="20" t="s">
        <v>788</v>
      </c>
      <c r="B111" s="20" t="s">
        <v>789</v>
      </c>
      <c r="C111" s="20"/>
      <c r="D111" s="24" t="str">
        <f>IF(tip_speed&gt;1.5,"TIP SPEED &gt; 1.5 m/s","OK")</f>
        <v>OK</v>
      </c>
      <c r="E111" s="82" t="s">
        <v>790</v>
      </c>
      <c r="F111" s="20"/>
    </row>
    <row r="112" spans="1:6" x14ac:dyDescent="0.2">
      <c r="A112" s="20" t="s">
        <v>791</v>
      </c>
      <c r="B112" s="20" t="s">
        <v>792</v>
      </c>
      <c r="C112" s="20" t="s">
        <v>67</v>
      </c>
      <c r="D112" s="24">
        <f>spg_dur_opt/(60*duty_carbon)</f>
        <v>185.24020703677724</v>
      </c>
      <c r="E112" s="20"/>
      <c r="F112" s="20"/>
    </row>
    <row r="113" spans="1:6" x14ac:dyDescent="0.2">
      <c r="A113" s="20" t="s">
        <v>793</v>
      </c>
      <c r="B113" s="20" t="s">
        <v>794</v>
      </c>
      <c r="C113" s="20"/>
      <c r="D113" s="24" t="str">
        <f>IF(AND(ISNUMBER(DO_ss),ISNUMBER(DO_impair)),IF(DO_ss&lt;DO_impair,"Surface stripping holds DO under impairment - sparge is CARBON-limited (long interval); the O2-limited interval is the conservative fallback until kL_surf is measured","Surface stripping insufficient - sparge must vent O2 - use the O2-limited interval"),"organism DO unknown")</f>
        <v>organism DO unknown</v>
      </c>
      <c r="E113" s="82" t="s">
        <v>795</v>
      </c>
      <c r="F113" s="20"/>
    </row>
    <row r="114" spans="1:6" x14ac:dyDescent="0.2">
      <c r="A114" s="103" t="s">
        <v>796</v>
      </c>
      <c r="B114" s="20"/>
      <c r="C114" s="20"/>
      <c r="D114" s="20"/>
      <c r="E114" s="20"/>
      <c r="F114" s="20"/>
    </row>
    <row r="115" spans="1:6" x14ac:dyDescent="0.2">
      <c r="A115" s="20" t="s">
        <v>797</v>
      </c>
      <c r="B115" s="20" t="s">
        <v>1</v>
      </c>
      <c r="C115" s="20"/>
      <c r="D115" s="38" t="str">
        <f>Summary!$D$2</f>
        <v>ed04</v>
      </c>
      <c r="E115" s="20"/>
      <c r="F115" s="20"/>
    </row>
    <row r="116" spans="1:6" x14ac:dyDescent="0.2">
      <c r="A116" s="20" t="s">
        <v>798</v>
      </c>
      <c r="B116" s="20" t="s">
        <v>799</v>
      </c>
      <c r="C116" s="20"/>
      <c r="D116" s="83">
        <f>SUMPRODUCT(MAX(('CO2 flows'!$A$4:$A$201=Reactor)*('CO2 flows'!$J$4:$J$201&gt;0)*'CO2 flows'!$B$4:$B$201))</f>
        <v>46190</v>
      </c>
      <c r="E116" s="20"/>
      <c r="F116" s="20"/>
    </row>
    <row r="117" spans="1:6" x14ac:dyDescent="0.2">
      <c r="A117" s="20" t="s">
        <v>800</v>
      </c>
      <c r="B117" s="20" t="s">
        <v>801</v>
      </c>
      <c r="C117" s="20" t="s">
        <v>14</v>
      </c>
      <c r="D117" s="83">
        <f>IF(ISNUMBER(cal_flow),cal_flow,SUMPRODUCT(('CO2 flows'!$A$4:$A$201=Reactor)*('CO2 flows'!$B$4:$B$201=latest_date)*'CO2 flows'!$J$4:$J$201)/MAX(1,SUMPRODUCT(('CO2 flows'!$A$4:$A$201=Reactor)*('CO2 flows'!$B$4:$B$201=latest_date)*('CO2 flows'!$J$4:$J$201&gt;0)*1)))</f>
        <v>3.33</v>
      </c>
      <c r="E117" s="20" t="s">
        <v>1924</v>
      </c>
      <c r="F117" s="20"/>
    </row>
    <row r="118" spans="1:6" x14ac:dyDescent="0.2">
      <c r="A118" s="20" t="s">
        <v>802</v>
      </c>
      <c r="B118" s="20" t="s">
        <v>803</v>
      </c>
      <c r="C118" s="20" t="s">
        <v>13</v>
      </c>
      <c r="D118" s="83">
        <f>SUMPRODUCT(('CO2 flows'!$A$4:$A$201=Reactor)*('CO2 flows'!$B$4:$B$201=latest_date)*'CO2 flows'!$I$4:$I$201)/MAX(1,SUMPRODUCT(('CO2 flows'!$A$4:$A$201=Reactor)*('CO2 flows'!$B$4:$B$201=latest_date)*('CO2 flows'!$J$4:$J$201&gt;0)*1))</f>
        <v>0.25</v>
      </c>
      <c r="E118" s="20"/>
      <c r="F118" s="20"/>
    </row>
    <row r="119" spans="1:6" x14ac:dyDescent="0.2">
      <c r="A119" s="20" t="s">
        <v>804</v>
      </c>
      <c r="B119" s="20" t="s">
        <v>805</v>
      </c>
      <c r="C119" s="20" t="s">
        <v>806</v>
      </c>
      <c r="D119" s="83">
        <f>SUMPRODUCT(('CO2 flows'!$A$4:$A$201=Reactor)*('CO2 flows'!$J$4:$J$201&gt;0)*1)</f>
        <v>1</v>
      </c>
      <c r="E119" s="20"/>
      <c r="F119" s="20"/>
    </row>
    <row r="120" spans="1:6" x14ac:dyDescent="0.2">
      <c r="A120" s="20" t="s">
        <v>807</v>
      </c>
      <c r="B120" s="20" t="s">
        <v>808</v>
      </c>
      <c r="C120" s="20"/>
      <c r="D120" s="24" t="str">
        <f>IF(has_cal&gt;0,"calibrated: "&amp;Reactor,"NO CALIBRATION for "&amp;Reactor&amp;" - add a row in CO2 flows with nominal flowrate + minimum sparge")</f>
        <v>calibrated: ed04</v>
      </c>
      <c r="E120" s="20"/>
      <c r="F120" s="20"/>
    </row>
    <row r="121" spans="1:6" x14ac:dyDescent="0.2">
      <c r="A121" s="20" t="s">
        <v>809</v>
      </c>
      <c r="B121" s="20" t="s">
        <v>810</v>
      </c>
      <c r="C121" s="20" t="s">
        <v>13</v>
      </c>
      <c r="D121" s="24">
        <f>IF(AND(ISNUMBER(Summary!$G$13),Summary!$G$13&gt;0),Summary!$G$13,IF(sched_mode="Manual",spg_dur_man,spg_dur_opt))</f>
        <v>0.78451304982496561</v>
      </c>
      <c r="E121" s="20"/>
      <c r="F121" s="20"/>
    </row>
    <row r="122" spans="1:6" x14ac:dyDescent="0.2">
      <c r="A122" s="20" t="s">
        <v>811</v>
      </c>
      <c r="B122" s="20" t="s">
        <v>812</v>
      </c>
      <c r="C122" s="20" t="s">
        <v>67</v>
      </c>
      <c r="D122" s="24">
        <f>IF(AND(ISNUMBER(Summary!$G$15),Summary!$G$15&gt;0),Summary!$G$15,IF(sched_mode="Manual",spg_int_man,spg_int_opt))</f>
        <v>13.911967729563832</v>
      </c>
      <c r="E122" s="20"/>
      <c r="F122" s="20"/>
    </row>
    <row r="123" spans="1:6" x14ac:dyDescent="0.2">
      <c r="A123" s="20" t="s">
        <v>813</v>
      </c>
      <c r="B123" s="20" t="s">
        <v>814</v>
      </c>
      <c r="C123" s="20" t="s">
        <v>815</v>
      </c>
      <c r="D123" s="24">
        <f>nCO2_rate*spg_dur</f>
        <v>1.0678051702378218E-4</v>
      </c>
      <c r="E123" s="20"/>
      <c r="F123" s="20"/>
    </row>
    <row r="124" spans="1:6" x14ac:dyDescent="0.2">
      <c r="A124" s="20" t="s">
        <v>816</v>
      </c>
      <c r="B124" s="20" t="s">
        <v>817</v>
      </c>
      <c r="C124" s="20" t="s">
        <v>818</v>
      </c>
      <c r="D124" s="24">
        <f>60/spg_int</f>
        <v>4.3128334658580405</v>
      </c>
      <c r="E124" s="20"/>
      <c r="F124" s="20"/>
    </row>
    <row r="125" spans="1:6" x14ac:dyDescent="0.2">
      <c r="A125" s="20" t="s">
        <v>819</v>
      </c>
      <c r="B125" s="20" t="s">
        <v>820</v>
      </c>
      <c r="C125" s="20" t="s">
        <v>821</v>
      </c>
      <c r="D125" s="24">
        <f>pulses_h*24</f>
        <v>103.50800318059297</v>
      </c>
      <c r="E125" s="20"/>
      <c r="F125" s="20"/>
    </row>
    <row r="126" spans="1:6" x14ac:dyDescent="0.2">
      <c r="A126" s="20" t="s">
        <v>822</v>
      </c>
      <c r="B126" s="20" t="s">
        <v>823</v>
      </c>
      <c r="C126" s="20" t="s">
        <v>110</v>
      </c>
      <c r="D126" s="24">
        <f>IF(CO2_cons&gt;0,CO2_supply/CO2_cons,NA())</f>
        <v>26.630338804356168</v>
      </c>
      <c r="E126" s="20"/>
      <c r="F126" s="20"/>
    </row>
    <row r="127" spans="1:6" x14ac:dyDescent="0.2">
      <c r="A127" s="20" t="s">
        <v>824</v>
      </c>
      <c r="B127" s="20" t="s">
        <v>825</v>
      </c>
      <c r="C127" s="20" t="s">
        <v>815</v>
      </c>
      <c r="D127" s="24">
        <f>O2_excess/60*spg_int</f>
        <v>3.732533991378276E-6</v>
      </c>
      <c r="E127" s="20"/>
      <c r="F127" s="20"/>
    </row>
    <row r="128" spans="1:6" x14ac:dyDescent="0.2">
      <c r="A128" s="20" t="s">
        <v>826</v>
      </c>
      <c r="B128" s="20" t="s">
        <v>827</v>
      </c>
      <c r="C128" s="20" t="s">
        <v>815</v>
      </c>
      <c r="D128" s="24">
        <f>strip_sparge/3600*spg_dur</f>
        <v>6.6350091174772802E-8</v>
      </c>
      <c r="E128" s="20"/>
      <c r="F128" s="20"/>
    </row>
    <row r="129" spans="1:6" x14ac:dyDescent="0.2">
      <c r="A129" s="20" t="s">
        <v>828</v>
      </c>
      <c r="B129" s="20" t="s">
        <v>829</v>
      </c>
      <c r="C129" s="20" t="s">
        <v>110</v>
      </c>
      <c r="D129" s="24">
        <f>IF(O2_accum&gt;0,O2_strip_pulse/O2_accum,NA())</f>
        <v>1.7776151892530349E-2</v>
      </c>
      <c r="E129" s="20"/>
      <c r="F129" s="20"/>
    </row>
    <row r="130" spans="1:6" x14ac:dyDescent="0.2">
      <c r="A130" s="20" t="s">
        <v>830</v>
      </c>
      <c r="B130" s="20" t="s">
        <v>831</v>
      </c>
      <c r="C130" s="20"/>
      <c r="D130" s="24" t="str">
        <f>IF(spg_dur&gt;=pulse_floor,"OK","LOW")</f>
        <v>OK</v>
      </c>
      <c r="E130" s="20"/>
      <c r="F130" s="20"/>
    </row>
    <row r="131" spans="1:6" x14ac:dyDescent="0.2">
      <c r="A131" s="20" t="s">
        <v>832</v>
      </c>
      <c r="B131" s="20" t="s">
        <v>833</v>
      </c>
      <c r="C131" s="20" t="s">
        <v>107</v>
      </c>
      <c r="D131" s="24">
        <f>kLa_surf_req/a_surf</f>
        <v>1.2622864353795484E-4</v>
      </c>
      <c r="E131" s="101" t="s">
        <v>1825</v>
      </c>
      <c r="F131" s="20"/>
    </row>
    <row r="132" spans="1:6" ht="24" x14ac:dyDescent="0.2">
      <c r="A132" s="17" t="s">
        <v>989</v>
      </c>
      <c r="B132" s="18" t="s">
        <v>990</v>
      </c>
      <c r="C132" s="19" t="s">
        <v>991</v>
      </c>
      <c r="D132" s="28">
        <f>O2_net_gen</f>
        <v>5.0684408721473073E-5</v>
      </c>
      <c r="E132" s="69" t="s">
        <v>992</v>
      </c>
      <c r="F132" s="20"/>
    </row>
    <row r="133" spans="1:6" x14ac:dyDescent="0.2">
      <c r="A133" s="17" t="s">
        <v>993</v>
      </c>
      <c r="B133" s="18" t="s">
        <v>994</v>
      </c>
      <c r="C133" s="19" t="s">
        <v>995</v>
      </c>
      <c r="D133" s="28">
        <f>DO_hs_floor+DO_surf_excess</f>
        <v>8.2469739130434747E-2</v>
      </c>
      <c r="E133" s="69" t="s">
        <v>1823</v>
      </c>
      <c r="F133" s="20"/>
    </row>
    <row r="134" spans="1:6" ht="48" x14ac:dyDescent="0.2">
      <c r="A134" s="20" t="s">
        <v>996</v>
      </c>
      <c r="B134" s="20" t="s">
        <v>997</v>
      </c>
      <c r="C134" s="20" t="s">
        <v>998</v>
      </c>
      <c r="D134" s="28" t="str">
        <f>IF(NOT(ISNUMBER(spg_int_DO)),"DO TARGET UNREACHABLE — the surface cannot carry the O2 flux at this kLa; no interval fixes it (raise kL_surf, lower the current, or accept a higher DO)",IF(kLa_meas&gt;0,"MEASURED kLa — DO-limited interval is "&amp;TEXT(spg_int_DO,"0.0")&amp;" min","ESTIMATED kLa — DO-limited interval is "&amp;TEXT(spg_int_DO,"0.0")&amp;" min; confirm by measuring kL_surf"))</f>
        <v>ESTIMATED kLa — DO-limited interval is 13.9 min; confirm by measuring kL_surf</v>
      </c>
      <c r="E134" s="69" t="s">
        <v>1826</v>
      </c>
      <c r="F134" s="20"/>
    </row>
    <row r="135" spans="1:6" ht="24" x14ac:dyDescent="0.2">
      <c r="A135" s="20" t="s">
        <v>999</v>
      </c>
      <c r="B135" s="20" t="s">
        <v>1000</v>
      </c>
      <c r="C135" s="20" t="s">
        <v>1001</v>
      </c>
      <c r="D135" s="28">
        <f>DO_hs_floor+DO_surf_excess_lag</f>
        <v>0.171425791807195</v>
      </c>
      <c r="E135" s="69" t="s">
        <v>1824</v>
      </c>
      <c r="F135" s="20"/>
    </row>
    <row r="137" spans="1:6" x14ac:dyDescent="0.2">
      <c r="A137" s="20" t="s">
        <v>1134</v>
      </c>
      <c r="B137" s="20"/>
      <c r="C137" s="20"/>
      <c r="D137" s="20"/>
      <c r="E137" s="20" t="s">
        <v>1135</v>
      </c>
      <c r="F137" s="20"/>
    </row>
    <row r="138" spans="1:6" x14ac:dyDescent="0.2">
      <c r="A138" s="17" t="s">
        <v>1136</v>
      </c>
      <c r="B138" s="18" t="s">
        <v>1137</v>
      </c>
      <c r="C138" s="19" t="s">
        <v>577</v>
      </c>
      <c r="D138" s="22">
        <f>D_CO2_ref*EXP(-Ea_D_CO2/R_gas*(1/T_K-1/298.15))</f>
        <v>1.92E-9</v>
      </c>
      <c r="E138" s="67" t="s">
        <v>1788</v>
      </c>
      <c r="F138" s="20"/>
    </row>
    <row r="139" spans="1:6" x14ac:dyDescent="0.2">
      <c r="A139" s="17" t="s">
        <v>1159</v>
      </c>
      <c r="B139" s="18" t="s">
        <v>1138</v>
      </c>
      <c r="C139" s="19" t="s">
        <v>62</v>
      </c>
      <c r="D139" s="36">
        <v>40</v>
      </c>
      <c r="E139" s="67" t="s">
        <v>1160</v>
      </c>
      <c r="F139" s="20"/>
    </row>
    <row r="140" spans="1:6" x14ac:dyDescent="0.2">
      <c r="A140" s="17" t="s">
        <v>1161</v>
      </c>
      <c r="B140" s="18" t="s">
        <v>1162</v>
      </c>
      <c r="C140" s="19" t="s">
        <v>1163</v>
      </c>
      <c r="D140" s="48">
        <f>headspace_V/1000000</f>
        <v>2.6124284559171357E-6</v>
      </c>
      <c r="E140" s="67" t="s">
        <v>1164</v>
      </c>
      <c r="F140" s="20"/>
    </row>
    <row r="141" spans="1:6" x14ac:dyDescent="0.2">
      <c r="A141" s="17" t="s">
        <v>1165</v>
      </c>
      <c r="B141" s="18" t="s">
        <v>1166</v>
      </c>
      <c r="C141" s="19" t="s">
        <v>1163</v>
      </c>
      <c r="D141" s="48">
        <f>V_charge/1000000</f>
        <v>1.5E-5</v>
      </c>
      <c r="E141" s="67" t="s">
        <v>1167</v>
      </c>
      <c r="F141" s="20"/>
    </row>
    <row r="142" spans="1:6" ht="36" x14ac:dyDescent="0.2">
      <c r="A142" s="17" t="s">
        <v>1168</v>
      </c>
      <c r="B142" s="18" t="s">
        <v>1169</v>
      </c>
      <c r="C142" s="19" t="s">
        <v>361</v>
      </c>
      <c r="D142" s="36">
        <v>0.5</v>
      </c>
      <c r="E142" s="69" t="s">
        <v>1170</v>
      </c>
      <c r="F142" s="20"/>
    </row>
    <row r="143" spans="1:6" x14ac:dyDescent="0.2">
      <c r="A143" s="17" t="s">
        <v>1171</v>
      </c>
      <c r="B143" s="18" t="s">
        <v>1172</v>
      </c>
      <c r="C143" s="19" t="s">
        <v>639</v>
      </c>
      <c r="D143" s="48">
        <f>(Q_vent/1000000/60)/headspace_V_m3</f>
        <v>3.1898800192818222E-3</v>
      </c>
      <c r="E143" s="67" t="s">
        <v>1173</v>
      </c>
      <c r="F143" s="20"/>
    </row>
    <row r="144" spans="1:6" x14ac:dyDescent="0.2">
      <c r="A144" s="17" t="s">
        <v>1174</v>
      </c>
      <c r="B144" s="18" t="s">
        <v>1175</v>
      </c>
      <c r="C144" s="19" t="s">
        <v>67</v>
      </c>
      <c r="D144" s="48">
        <f>headspace_V_m3/(Q_vent/1000000/60)/60</f>
        <v>5.2248569118342711</v>
      </c>
      <c r="E144" s="67" t="s">
        <v>1176</v>
      </c>
      <c r="F144" s="20"/>
    </row>
    <row r="145" spans="1:6" x14ac:dyDescent="0.2">
      <c r="A145" s="17" t="s">
        <v>1139</v>
      </c>
      <c r="B145" s="18" t="s">
        <v>1140</v>
      </c>
      <c r="C145" s="19" t="s">
        <v>460</v>
      </c>
      <c r="D145" s="48">
        <f>Biology!$D$31*P_atm</f>
        <v>33.437249999999999</v>
      </c>
      <c r="E145" s="67" t="s">
        <v>1177</v>
      </c>
      <c r="F145" s="20"/>
    </row>
    <row r="146" spans="1:6" x14ac:dyDescent="0.2">
      <c r="A146" s="17" t="s">
        <v>1141</v>
      </c>
      <c r="B146" s="18" t="s">
        <v>1142</v>
      </c>
      <c r="C146" s="19" t="s">
        <v>460</v>
      </c>
      <c r="D146" s="48">
        <f>Biology!$D$31*pCO2_air</f>
        <v>1.32E-2</v>
      </c>
      <c r="E146" s="67" t="s">
        <v>1178</v>
      </c>
      <c r="F146" s="20"/>
    </row>
    <row r="147" spans="1:6" x14ac:dyDescent="0.2">
      <c r="A147" s="17" t="s">
        <v>1179</v>
      </c>
      <c r="B147" s="18" t="s">
        <v>1143</v>
      </c>
      <c r="C147" s="19" t="s">
        <v>135</v>
      </c>
      <c r="D147" s="48">
        <f>SQRT(D_CO2/D_O2)</f>
        <v>0.98036655850019616</v>
      </c>
      <c r="E147" s="67" t="s">
        <v>1180</v>
      </c>
      <c r="F147" s="20"/>
    </row>
    <row r="148" spans="1:6" x14ac:dyDescent="0.2">
      <c r="A148" s="17" t="s">
        <v>1181</v>
      </c>
      <c r="B148" s="18" t="s">
        <v>1144</v>
      </c>
      <c r="C148" s="19" t="s">
        <v>639</v>
      </c>
      <c r="D148" s="48">
        <f>kLa_surf*sqrtD_CO2</f>
        <v>7.0587408432071473E-3</v>
      </c>
      <c r="E148" s="67" t="s">
        <v>1182</v>
      </c>
      <c r="F148" s="20"/>
    </row>
    <row r="149" spans="1:6" x14ac:dyDescent="0.2">
      <c r="A149" s="17" t="s">
        <v>1183</v>
      </c>
      <c r="B149" s="18" t="s">
        <v>1184</v>
      </c>
      <c r="C149" s="19" t="s">
        <v>67</v>
      </c>
      <c r="D149" s="48">
        <f>1/kLa_CO2_off/60</f>
        <v>2.3611387692049264</v>
      </c>
      <c r="E149" s="67" t="s">
        <v>1185</v>
      </c>
      <c r="F149" s="20"/>
    </row>
    <row r="150" spans="1:6" x14ac:dyDescent="0.2">
      <c r="A150" s="17" t="s">
        <v>1186</v>
      </c>
      <c r="B150" s="18" t="s">
        <v>1187</v>
      </c>
      <c r="C150" s="19" t="s">
        <v>815</v>
      </c>
      <c r="D150" s="48">
        <f>P_atm*headspace_V_m3/(R_gas*T_K)</f>
        <v>1.0678051702378222E-4</v>
      </c>
      <c r="E150" s="67" t="s">
        <v>1188</v>
      </c>
      <c r="F150" s="20"/>
    </row>
    <row r="151" spans="1:6" x14ac:dyDescent="0.2">
      <c r="A151" s="17" t="s">
        <v>1145</v>
      </c>
      <c r="B151" s="18" t="s">
        <v>1146</v>
      </c>
      <c r="C151" s="19" t="s">
        <v>13</v>
      </c>
      <c r="D151" s="48">
        <f>spg_dur</f>
        <v>0.78451304982496561</v>
      </c>
      <c r="E151" s="67" t="s">
        <v>1189</v>
      </c>
      <c r="F151" s="20"/>
    </row>
    <row r="152" spans="1:6" x14ac:dyDescent="0.2">
      <c r="A152" s="17" t="s">
        <v>1147</v>
      </c>
      <c r="B152" s="18" t="s">
        <v>1148</v>
      </c>
      <c r="C152" s="19" t="s">
        <v>13</v>
      </c>
      <c r="D152" s="48">
        <f>MAX(0,spg_int*60-spg_dur)</f>
        <v>833.93355072400504</v>
      </c>
      <c r="E152" s="67" t="s">
        <v>1190</v>
      </c>
      <c r="F152" s="20"/>
    </row>
    <row r="153" spans="1:6" ht="24" x14ac:dyDescent="0.2">
      <c r="A153" s="17" t="s">
        <v>1191</v>
      </c>
      <c r="B153" s="18" t="s">
        <v>1192</v>
      </c>
      <c r="C153" s="19" t="s">
        <v>135</v>
      </c>
      <c r="D153" s="48">
        <f>EXP(-kLa_CO2_off*t_on_CO2)</f>
        <v>0.99447763034777281</v>
      </c>
      <c r="E153" s="67" t="s">
        <v>1860</v>
      </c>
      <c r="F153" s="20"/>
    </row>
    <row r="154" spans="1:6" x14ac:dyDescent="0.2">
      <c r="A154" s="17" t="s">
        <v>1193</v>
      </c>
      <c r="B154" s="18" t="s">
        <v>1194</v>
      </c>
      <c r="C154" s="19" t="s">
        <v>135</v>
      </c>
      <c r="D154" s="48">
        <f>EXP(-kLa_CO2_off*t_off_CO2)</f>
        <v>2.776620286877965E-3</v>
      </c>
      <c r="E154" s="67" t="s">
        <v>1195</v>
      </c>
      <c r="F154" s="20"/>
    </row>
    <row r="155" spans="1:6" x14ac:dyDescent="0.2">
      <c r="A155" s="17" t="s">
        <v>1196</v>
      </c>
      <c r="B155" s="18" t="s">
        <v>1197</v>
      </c>
      <c r="C155" s="19" t="s">
        <v>135</v>
      </c>
      <c r="D155" s="48">
        <f>EXP(-k_vent*t_off_CO2)</f>
        <v>6.9937872211634708E-2</v>
      </c>
      <c r="E155" s="67" t="s">
        <v>1198</v>
      </c>
      <c r="F155" s="20"/>
    </row>
    <row r="156" spans="1:6" ht="24" x14ac:dyDescent="0.2">
      <c r="A156" s="17" t="s">
        <v>1199</v>
      </c>
      <c r="B156" s="18" t="s">
        <v>1200</v>
      </c>
      <c r="C156" s="19" t="s">
        <v>460</v>
      </c>
      <c r="D156" s="48">
        <f>(C_sat_CO2-C_air_CO2)*kLa_CO2_off/(kLa_CO2_off-k_vent)</f>
        <v>60.982216114205634</v>
      </c>
      <c r="E156" s="67" t="s">
        <v>1861</v>
      </c>
      <c r="F156" s="20"/>
    </row>
    <row r="157" spans="1:6" x14ac:dyDescent="0.2">
      <c r="A157" s="17" t="s">
        <v>1201</v>
      </c>
      <c r="B157" s="18" t="s">
        <v>1202</v>
      </c>
      <c r="C157" s="19" t="s">
        <v>460</v>
      </c>
      <c r="D157" s="48">
        <f>(e1_CO2*C_sat_CO2*(1-eon_CO2)+C_air_CO2*(1-e1_CO2)+coef_CO2*(e2_CO2-e1_CO2))/(1-e1_CO2*eon_CO2)</f>
        <v>4.1206964634505798</v>
      </c>
      <c r="E157" s="67" t="s">
        <v>1862</v>
      </c>
      <c r="F157" s="20"/>
    </row>
    <row r="158" spans="1:6" x14ac:dyDescent="0.2">
      <c r="A158" s="17" t="s">
        <v>1203</v>
      </c>
      <c r="B158" s="18" t="s">
        <v>1204</v>
      </c>
      <c r="C158" s="19" t="s">
        <v>460</v>
      </c>
      <c r="D158" s="48">
        <f>C_sat_CO2+(Ca_CO2-C_sat_CO2)*eon_CO2</f>
        <v>4.2825933090087105</v>
      </c>
      <c r="E158" s="67" t="s">
        <v>1863</v>
      </c>
      <c r="F158" s="20"/>
    </row>
    <row r="159" spans="1:6" x14ac:dyDescent="0.2">
      <c r="A159" s="17" t="s">
        <v>1205</v>
      </c>
      <c r="B159" s="18" t="s">
        <v>1149</v>
      </c>
      <c r="C159" s="19" t="s">
        <v>1150</v>
      </c>
      <c r="D159" s="48">
        <f>C_sat_CO2*t_on_CO2+(Ca_CO2-C_sat_CO2)/kLa_CO2_off*(1-eon_CO2)</f>
        <v>3.2963038557022557</v>
      </c>
      <c r="E159" s="67" t="s">
        <v>1206</v>
      </c>
      <c r="F159" s="20"/>
    </row>
    <row r="160" spans="1:6" x14ac:dyDescent="0.2">
      <c r="A160" s="17" t="s">
        <v>1207</v>
      </c>
      <c r="B160" s="18" t="s">
        <v>1151</v>
      </c>
      <c r="C160" s="19" t="s">
        <v>1150</v>
      </c>
      <c r="D160" s="48">
        <f>C_air_CO2*t_off_CO2+(Cb_CO2-C_air_CO2)/kLa_CO2_off*(1-e1_CO2)+coef_CO2*((1-e2_CO2)/k_vent-(1-e1_CO2)/kLa_CO2_off)</f>
        <v>9779.2765918946316</v>
      </c>
      <c r="E160" s="67" t="s">
        <v>1208</v>
      </c>
      <c r="F160" s="20"/>
    </row>
    <row r="161" spans="1:6" ht="36" x14ac:dyDescent="0.2">
      <c r="A161" s="17" t="s">
        <v>1152</v>
      </c>
      <c r="B161" s="18" t="s">
        <v>1153</v>
      </c>
      <c r="C161" s="19" t="s">
        <v>460</v>
      </c>
      <c r="D161" s="48">
        <f>(CO2_int_on+CO2_int_off)/(t_on_CO2+t_off_CO2)</f>
        <v>11.719613268607734</v>
      </c>
      <c r="E161" s="67" t="s">
        <v>1864</v>
      </c>
      <c r="F161" s="20"/>
    </row>
    <row r="162" spans="1:6" ht="24" x14ac:dyDescent="0.2">
      <c r="A162" s="17" t="s">
        <v>1154</v>
      </c>
      <c r="B162" s="18" t="s">
        <v>1155</v>
      </c>
      <c r="C162" s="19" t="s">
        <v>487</v>
      </c>
      <c r="D162" s="48">
        <f>MIN(C_sat_CO2,MAX(C_air_CO2,CO2_cyc_avg_new))/1000</f>
        <v>9.7159947531633307E-3</v>
      </c>
      <c r="E162" s="67" t="s">
        <v>1859</v>
      </c>
      <c r="F162" s="20"/>
    </row>
    <row r="163" spans="1:6" x14ac:dyDescent="0.2">
      <c r="A163" s="17" t="s">
        <v>1209</v>
      </c>
      <c r="B163" s="18" t="s">
        <v>1210</v>
      </c>
      <c r="C163" s="19" t="s">
        <v>135</v>
      </c>
      <c r="D163" s="48" t="str">
        <f>IF(tau_hs&gt;=tau_surf_floor,"vent is slow path - OK","WARNING: surface clears faster than vent - run2 cannot stay acidic")</f>
        <v>vent is slow path - OK</v>
      </c>
      <c r="E163" s="67" t="s">
        <v>1211</v>
      </c>
      <c r="F163" s="20"/>
    </row>
    <row r="164" spans="1:6" x14ac:dyDescent="0.2">
      <c r="A164" s="17" t="s">
        <v>1156</v>
      </c>
      <c r="B164" s="18" t="s">
        <v>1157</v>
      </c>
      <c r="C164" s="19" t="s">
        <v>135</v>
      </c>
      <c r="D164" s="48" t="str">
        <f>IF(spg_int*60&gt;=spg_dur,"OK","INVALID: interval &lt; pulse")</f>
        <v>OK</v>
      </c>
      <c r="E164" s="67" t="s">
        <v>1212</v>
      </c>
      <c r="F164" s="20"/>
    </row>
    <row r="166" spans="1:6" x14ac:dyDescent="0.2">
      <c r="A166" s="5" t="s">
        <v>1757</v>
      </c>
    </row>
    <row r="167" spans="1:6" ht="24" x14ac:dyDescent="0.2">
      <c r="A167" t="s">
        <v>1758</v>
      </c>
      <c r="B167" s="18" t="s">
        <v>1759</v>
      </c>
      <c r="C167" s="19" t="s">
        <v>567</v>
      </c>
      <c r="D167" s="52">
        <v>7.5889999999999999E-2</v>
      </c>
      <c r="E167" s="99" t="s">
        <v>1760</v>
      </c>
    </row>
    <row r="168" spans="1:6" x14ac:dyDescent="0.2">
      <c r="A168" t="s">
        <v>1761</v>
      </c>
      <c r="B168" s="18" t="s">
        <v>1762</v>
      </c>
      <c r="C168" s="19" t="s">
        <v>1763</v>
      </c>
      <c r="D168" s="52">
        <v>-1.5699999999999999E-4</v>
      </c>
      <c r="E168" s="99" t="s">
        <v>1764</v>
      </c>
    </row>
    <row r="169" spans="1:6" x14ac:dyDescent="0.2">
      <c r="A169" t="s">
        <v>1765</v>
      </c>
      <c r="B169" s="18" t="s">
        <v>1766</v>
      </c>
      <c r="C169" s="19" t="s">
        <v>570</v>
      </c>
      <c r="D169" s="52">
        <v>1003.33</v>
      </c>
      <c r="E169" s="99" t="s">
        <v>1767</v>
      </c>
    </row>
    <row r="170" spans="1:6" x14ac:dyDescent="0.2">
      <c r="A170" t="s">
        <v>1768</v>
      </c>
      <c r="B170" s="18" t="s">
        <v>1769</v>
      </c>
      <c r="C170" s="19" t="s">
        <v>1770</v>
      </c>
      <c r="D170" s="52">
        <v>-0.25559999999999999</v>
      </c>
      <c r="E170" s="99" t="s">
        <v>1764</v>
      </c>
    </row>
    <row r="171" spans="1:6" ht="24" x14ac:dyDescent="0.2">
      <c r="A171" t="s">
        <v>1771</v>
      </c>
      <c r="B171" s="18" t="s">
        <v>1772</v>
      </c>
      <c r="C171" s="19" t="s">
        <v>1274</v>
      </c>
      <c r="D171" s="52">
        <v>-4.41</v>
      </c>
      <c r="E171" s="99" t="s">
        <v>1773</v>
      </c>
    </row>
    <row r="172" spans="1:6" x14ac:dyDescent="0.2">
      <c r="A172" t="s">
        <v>1774</v>
      </c>
      <c r="B172" s="18" t="s">
        <v>1775</v>
      </c>
      <c r="C172" s="19" t="s">
        <v>843</v>
      </c>
      <c r="D172" s="52">
        <v>773.8</v>
      </c>
      <c r="E172" s="99" t="s">
        <v>1764</v>
      </c>
    </row>
    <row r="173" spans="1:6" x14ac:dyDescent="0.2">
      <c r="A173" t="s">
        <v>1776</v>
      </c>
      <c r="B173" s="18" t="s">
        <v>1777</v>
      </c>
      <c r="C173" s="19" t="s">
        <v>843</v>
      </c>
      <c r="D173" s="52">
        <v>506.4</v>
      </c>
      <c r="E173" s="99" t="s">
        <v>1764</v>
      </c>
    </row>
    <row r="174" spans="1:6" x14ac:dyDescent="0.2">
      <c r="A174" t="s">
        <v>1778</v>
      </c>
      <c r="B174" s="18" t="s">
        <v>1779</v>
      </c>
      <c r="C174" s="19" t="s">
        <v>577</v>
      </c>
      <c r="D174" s="52">
        <v>1.92E-9</v>
      </c>
      <c r="E174" s="67" t="s">
        <v>1780</v>
      </c>
    </row>
    <row r="175" spans="1:6" ht="24" x14ac:dyDescent="0.2">
      <c r="A175" t="s">
        <v>1781</v>
      </c>
      <c r="B175" s="18" t="s">
        <v>1782</v>
      </c>
      <c r="C175" s="19" t="s">
        <v>1783</v>
      </c>
      <c r="D175" s="52">
        <v>19000</v>
      </c>
      <c r="E175" s="67" t="s">
        <v>1784</v>
      </c>
    </row>
    <row r="177" spans="1:5" x14ac:dyDescent="0.2">
      <c r="A177" s="5" t="s">
        <v>1789</v>
      </c>
    </row>
    <row r="178" spans="1:5" ht="24" x14ac:dyDescent="0.2">
      <c r="A178" t="s">
        <v>1790</v>
      </c>
      <c r="B178" s="18" t="s">
        <v>1791</v>
      </c>
      <c r="C178" s="19" t="s">
        <v>991</v>
      </c>
      <c r="D178" s="22">
        <f>nCO2_rate*3600</f>
        <v>0.4899980457576612</v>
      </c>
      <c r="E178" s="99" t="s">
        <v>1792</v>
      </c>
    </row>
    <row r="179" spans="1:5" x14ac:dyDescent="0.2">
      <c r="A179" t="s">
        <v>1793</v>
      </c>
      <c r="B179" s="18" t="s">
        <v>1794</v>
      </c>
      <c r="C179" s="19" t="s">
        <v>1001</v>
      </c>
      <c r="D179" s="22">
        <f>target_DO_frac*O2_ceil_C</f>
        <v>8.2469739130434733E-2</v>
      </c>
      <c r="E179" s="99" t="s">
        <v>1795</v>
      </c>
    </row>
    <row r="180" spans="1:5" ht="36" x14ac:dyDescent="0.2">
      <c r="A180" t="s">
        <v>1796</v>
      </c>
      <c r="B180" s="18" t="s">
        <v>1797</v>
      </c>
      <c r="C180" s="19" t="s">
        <v>1001</v>
      </c>
      <c r="D180" s="22">
        <f>O2_excess/(kLa_surf_used*3600*(V_charge/1000000))</f>
        <v>4.1403204106492106E-2</v>
      </c>
      <c r="E180" s="67" t="s">
        <v>1798</v>
      </c>
    </row>
    <row r="181" spans="1:5" x14ac:dyDescent="0.2">
      <c r="A181" t="s">
        <v>1799</v>
      </c>
      <c r="B181" s="18" t="s">
        <v>1800</v>
      </c>
      <c r="C181" s="19" t="s">
        <v>1001</v>
      </c>
      <c r="D181" s="22">
        <f>O2_net_gen/(kLa_surf_used*3600*(V_charge/1000000))</f>
        <v>0.13035925678325236</v>
      </c>
      <c r="E181" s="67" t="s">
        <v>1801</v>
      </c>
    </row>
    <row r="182" spans="1:5" ht="36" x14ac:dyDescent="0.2">
      <c r="A182" t="s">
        <v>1802</v>
      </c>
      <c r="B182" s="18" t="s">
        <v>1803</v>
      </c>
      <c r="C182" s="19" t="s">
        <v>1001</v>
      </c>
      <c r="D182" s="22">
        <f>DO_target-DO_surf_excess</f>
        <v>4.1066535023942627E-2</v>
      </c>
      <c r="E182" s="67" t="s">
        <v>1804</v>
      </c>
    </row>
    <row r="183" spans="1:5" ht="24" x14ac:dyDescent="0.2">
      <c r="A183" t="s">
        <v>1805</v>
      </c>
      <c r="B183" s="18" t="s">
        <v>1806</v>
      </c>
      <c r="C183" s="19" t="s">
        <v>1274</v>
      </c>
      <c r="D183" s="22">
        <f>IF(hs_O2_allow&gt;0,hs_O2_allow/(H_O2_T*P_atm),NA())</f>
        <v>3.3774599082114179E-2</v>
      </c>
      <c r="E183" s="67" t="s">
        <v>1807</v>
      </c>
    </row>
    <row r="184" spans="1:5" ht="48" x14ac:dyDescent="0.2">
      <c r="A184" t="s">
        <v>1808</v>
      </c>
      <c r="B184" s="18" t="s">
        <v>1809</v>
      </c>
      <c r="C184" s="19" t="s">
        <v>1274</v>
      </c>
      <c r="D184" s="22">
        <f>IF(ISNUMBER(y_O2_star),O2_excess*(1-y_O2_star)/(y_O2_star*CO2_rate_full),NA())</f>
        <v>9.3985392657985228E-4</v>
      </c>
      <c r="E184" s="67" t="s">
        <v>1810</v>
      </c>
    </row>
    <row r="185" spans="1:5" ht="24" x14ac:dyDescent="0.2">
      <c r="A185" t="s">
        <v>1811</v>
      </c>
      <c r="B185" s="18" t="s">
        <v>1812</v>
      </c>
      <c r="C185" s="19" t="s">
        <v>962</v>
      </c>
      <c r="D185" s="22">
        <f>IF(ISNUMBER(duty_DO),spg_dur_opt/(60*duty_DO),NA())</f>
        <v>13.911967729563832</v>
      </c>
      <c r="E185" s="67" t="s">
        <v>1813</v>
      </c>
    </row>
    <row r="186" spans="1:5" ht="36" x14ac:dyDescent="0.2">
      <c r="A186" t="s">
        <v>1814</v>
      </c>
      <c r="B186" s="18" t="s">
        <v>1815</v>
      </c>
      <c r="C186" s="19" t="s">
        <v>639</v>
      </c>
      <c r="D186" s="22">
        <f>O2_excess/(DO_target*3600*(V_charge/1000000))</f>
        <v>3.6147484452872004E-3</v>
      </c>
      <c r="E186" s="67" t="s">
        <v>1816</v>
      </c>
    </row>
    <row r="187" spans="1:5" ht="36" x14ac:dyDescent="0.2">
      <c r="A187" t="s">
        <v>1817</v>
      </c>
      <c r="B187" s="18" t="s">
        <v>1818</v>
      </c>
      <c r="C187" s="19" t="s">
        <v>1274</v>
      </c>
      <c r="D187" s="22">
        <f>IF(CO2_supply&gt;0,O2_excess/(O2_excess+CO2_supply),NA())</f>
        <v>3.3774599082114186E-2</v>
      </c>
      <c r="E187" s="67" t="s">
        <v>1819</v>
      </c>
    </row>
    <row r="188" spans="1:5" ht="36" x14ac:dyDescent="0.2">
      <c r="A188" t="s">
        <v>1820</v>
      </c>
      <c r="B188" s="18" t="s">
        <v>1821</v>
      </c>
      <c r="C188" s="19" t="s">
        <v>1001</v>
      </c>
      <c r="D188" s="22">
        <f>IF(ISNUMBER(y_O2_actual),H_O2_T*y_O2_actual*P_atm,NA())</f>
        <v>4.1066535023942641E-2</v>
      </c>
      <c r="E188" s="67" t="s">
        <v>1822</v>
      </c>
    </row>
    <row r="190" spans="1:5" x14ac:dyDescent="0.2">
      <c r="A190" s="5" t="s">
        <v>1829</v>
      </c>
    </row>
    <row r="191" spans="1:5" x14ac:dyDescent="0.2">
      <c r="A191" t="s">
        <v>1830</v>
      </c>
      <c r="B191" s="18" t="s">
        <v>1831</v>
      </c>
      <c r="C191" s="19" t="s">
        <v>440</v>
      </c>
      <c r="D191" s="22">
        <f>Biology!$D$31</f>
        <v>3.3E-4</v>
      </c>
      <c r="E191" s="67" t="s">
        <v>1832</v>
      </c>
    </row>
    <row r="192" spans="1:5" ht="24" x14ac:dyDescent="0.2">
      <c r="A192" t="s">
        <v>1833</v>
      </c>
      <c r="B192" s="18" t="s">
        <v>1834</v>
      </c>
      <c r="C192" s="19" t="s">
        <v>1163</v>
      </c>
      <c r="D192" s="22">
        <f>headspace_V_m3/(hs_H_CO2*R_gas*T_K)</f>
        <v>3.1934598994768477E-6</v>
      </c>
      <c r="E192" s="99" t="s">
        <v>1835</v>
      </c>
    </row>
    <row r="193" spans="1:5" x14ac:dyDescent="0.2">
      <c r="A193" t="s">
        <v>1836</v>
      </c>
      <c r="B193" s="18" t="s">
        <v>1837</v>
      </c>
      <c r="C193" s="19" t="s">
        <v>1274</v>
      </c>
      <c r="D193" s="22">
        <f>V_L_m3/(V_L_m3+Vg_CO2)</f>
        <v>0.82447209507584229</v>
      </c>
      <c r="E193" s="99" t="s">
        <v>1838</v>
      </c>
    </row>
    <row r="194" spans="1:5" ht="48" x14ac:dyDescent="0.2">
      <c r="A194" t="s">
        <v>1839</v>
      </c>
      <c r="B194" s="18" t="s">
        <v>1840</v>
      </c>
      <c r="C194" s="19" t="s">
        <v>1001</v>
      </c>
      <c r="D194" s="22">
        <f>CO2_pulse/(V_L_m3+Vg_CO2)</f>
        <v>5.8691704389252886</v>
      </c>
      <c r="E194" s="99" t="s">
        <v>1927</v>
      </c>
    </row>
    <row r="195" spans="1:5" ht="24" x14ac:dyDescent="0.2">
      <c r="A195" t="s">
        <v>1841</v>
      </c>
      <c r="B195" s="18" t="s">
        <v>1842</v>
      </c>
      <c r="C195" s="19" t="s">
        <v>639</v>
      </c>
      <c r="D195" s="22">
        <f>k_vent*Vg_CO2/(V_L_m3+Vg_CO2)</f>
        <v>5.5991295674396994E-4</v>
      </c>
      <c r="E195" s="99" t="s">
        <v>1843</v>
      </c>
    </row>
    <row r="196" spans="1:5" ht="36" x14ac:dyDescent="0.2">
      <c r="A196" t="s">
        <v>1844</v>
      </c>
      <c r="B196" s="18" t="s">
        <v>1845</v>
      </c>
      <c r="C196" s="19" t="s">
        <v>110</v>
      </c>
      <c r="D196" s="22">
        <f>(kLa_CO2_off*V_L_m3/Vg_CO2)/k_vent</f>
        <v>10.393999248453881</v>
      </c>
      <c r="E196" s="67" t="s">
        <v>1846</v>
      </c>
    </row>
    <row r="197" spans="1:5" x14ac:dyDescent="0.2">
      <c r="A197" t="s">
        <v>1847</v>
      </c>
      <c r="B197" s="18" t="s">
        <v>1848</v>
      </c>
      <c r="C197" s="19" t="s">
        <v>1274</v>
      </c>
      <c r="D197" s="22">
        <f>EXP(-k_eff_CO2*t_off_CO2)</f>
        <v>0.62692384809842472</v>
      </c>
      <c r="E197" s="99" t="s">
        <v>1849</v>
      </c>
    </row>
    <row r="198" spans="1:5" x14ac:dyDescent="0.2">
      <c r="A198" t="s">
        <v>1850</v>
      </c>
      <c r="B198" s="18" t="s">
        <v>1851</v>
      </c>
      <c r="C198" s="19" t="s">
        <v>1001</v>
      </c>
      <c r="D198" s="22">
        <f>(C_air_CO2*(1-pool_e)+pool_b*pool_e)/(1-pool_a*pool_e)</f>
        <v>7.6263802256699789</v>
      </c>
      <c r="E198" s="99" t="s">
        <v>1852</v>
      </c>
    </row>
    <row r="199" spans="1:5" ht="24" x14ac:dyDescent="0.2">
      <c r="A199" t="s">
        <v>1853</v>
      </c>
      <c r="B199" s="18" t="s">
        <v>1854</v>
      </c>
      <c r="C199" s="19" t="s">
        <v>1001</v>
      </c>
      <c r="D199" s="22">
        <f>pool_a*C_cycle_start+pool_b</f>
        <v>12.156908121428391</v>
      </c>
      <c r="E199" s="99" t="s">
        <v>1855</v>
      </c>
    </row>
    <row r="200" spans="1:5" x14ac:dyDescent="0.2">
      <c r="A200" t="s">
        <v>1856</v>
      </c>
      <c r="B200" s="18" t="s">
        <v>1857</v>
      </c>
      <c r="C200" s="19" t="s">
        <v>1001</v>
      </c>
      <c r="D200" s="22">
        <f>C_air_CO2+(C_cycle_peak-C_air_CO2)*(1-pool_e)/(k_eff_CO2*t_off_CO2)</f>
        <v>9.7159947531633311</v>
      </c>
      <c r="E200" s="99" t="s">
        <v>1858</v>
      </c>
    </row>
    <row r="202" spans="1:5" x14ac:dyDescent="0.2">
      <c r="A202" s="5" t="s">
        <v>1912</v>
      </c>
    </row>
    <row r="203" spans="1:5" ht="24" x14ac:dyDescent="0.2">
      <c r="A203" t="s">
        <v>1913</v>
      </c>
      <c r="B203" s="18" t="s">
        <v>1914</v>
      </c>
      <c r="C203" s="19" t="s">
        <v>62</v>
      </c>
      <c r="D203" s="52">
        <v>610.94000000000005</v>
      </c>
      <c r="E203" s="99" t="s">
        <v>1915</v>
      </c>
    </row>
    <row r="204" spans="1:5" x14ac:dyDescent="0.2">
      <c r="A204" t="s">
        <v>1916</v>
      </c>
      <c r="B204" s="18" t="s">
        <v>1917</v>
      </c>
      <c r="C204" s="19" t="s">
        <v>1274</v>
      </c>
      <c r="D204" s="52">
        <v>17.625</v>
      </c>
      <c r="E204" s="99" t="s">
        <v>1764</v>
      </c>
    </row>
    <row r="205" spans="1:5" x14ac:dyDescent="0.2">
      <c r="A205" t="s">
        <v>1918</v>
      </c>
      <c r="B205" s="18" t="s">
        <v>1919</v>
      </c>
      <c r="C205" s="19" t="s">
        <v>53</v>
      </c>
      <c r="D205" s="52">
        <v>243.04</v>
      </c>
      <c r="E205" s="99" t="s">
        <v>1764</v>
      </c>
    </row>
    <row r="206" spans="1:5" ht="24" x14ac:dyDescent="0.2">
      <c r="A206" t="s">
        <v>1920</v>
      </c>
      <c r="B206" s="18" t="s">
        <v>1921</v>
      </c>
      <c r="C206" s="19" t="s">
        <v>62</v>
      </c>
      <c r="D206" s="22">
        <f>pw_A*EXP(pw_B*(T_K-273.15)/((T_K-273.15)+pw_C))</f>
        <v>3161.7360356966915</v>
      </c>
      <c r="E206" s="99" t="s">
        <v>1922</v>
      </c>
    </row>
  </sheetData>
  <conditionalFormatting sqref="D32">
    <cfRule type="colorScale" priority="9">
      <colorScale>
        <cfvo type="num" val="0.1"/>
        <cfvo type="num" val="1"/>
        <cfvo type="num" val="2"/>
        <color rgb="FFF8696B"/>
        <color rgb="FFFFEB84"/>
        <color rgb="FF63BE7B"/>
      </colorScale>
    </cfRule>
  </conditionalFormatting>
  <conditionalFormatting sqref="D39">
    <cfRule type="colorScale" priority="12">
      <colorScale>
        <cfvo type="num" val="0"/>
        <cfvo type="num" val="2"/>
        <cfvo type="num" val="4"/>
        <color rgb="FF63BE7B"/>
        <color rgb="FFFFEB84"/>
        <color rgb="FFF8696B"/>
      </colorScale>
    </cfRule>
  </conditionalFormatting>
  <conditionalFormatting sqref="D41">
    <cfRule type="colorScale" priority="10">
      <colorScale>
        <cfvo type="num" val="5"/>
        <cfvo type="num" val="15"/>
        <cfvo type="num" val="60"/>
        <color rgb="FFF8696B"/>
        <color rgb="FFFFEB84"/>
        <color rgb="FF63BE7B"/>
      </colorScale>
    </cfRule>
  </conditionalFormatting>
  <conditionalFormatting sqref="D51">
    <cfRule type="colorScale" priority="8">
      <colorScale>
        <cfvo type="num" val="0.5"/>
        <cfvo type="num" val="1"/>
        <cfvo type="num" val="3"/>
        <color rgb="FFF8696B"/>
        <color rgb="FFFFEB84"/>
        <color rgb="FF63BE7B"/>
      </colorScale>
    </cfRule>
  </conditionalFormatting>
  <conditionalFormatting sqref="D55">
    <cfRule type="colorScale" priority="7">
      <colorScale>
        <cfvo type="num" val="0.5"/>
        <cfvo type="num" val="1"/>
        <cfvo type="num" val="3"/>
        <color rgb="FFF8696B"/>
        <color rgb="FFFFEB84"/>
        <color rgb="FF63BE7B"/>
      </colorScale>
    </cfRule>
  </conditionalFormatting>
  <conditionalFormatting sqref="D56">
    <cfRule type="colorScale" priority="11">
      <colorScale>
        <cfvo type="num" val="5"/>
        <cfvo type="num" val="15"/>
        <cfvo type="num" val="60"/>
        <color rgb="FFF8696B"/>
        <color rgb="FFFFEB84"/>
        <color rgb="FF63BE7B"/>
      </colorScale>
    </cfRule>
  </conditionalFormatting>
  <conditionalFormatting sqref="D59">
    <cfRule type="cellIs" dxfId="6" priority="1" operator="equal">
      <formula>"OK"</formula>
    </cfRule>
    <cfRule type="cellIs" dxfId="5" priority="2" operator="equal">
      <formula>"RISK"</formula>
    </cfRule>
  </conditionalFormatting>
  <conditionalFormatting sqref="D64">
    <cfRule type="expression" dxfId="4" priority="16">
      <formula>ISNUMBER(SEARCH("OOR",D64))</formula>
    </cfRule>
  </conditionalFormatting>
  <conditionalFormatting sqref="D95">
    <cfRule type="cellIs" dxfId="3" priority="5" operator="equal">
      <formula>"OK"</formula>
    </cfRule>
    <cfRule type="cellIs" dxfId="2" priority="6" operator="equal">
      <formula>"TIGHT"</formula>
    </cfRule>
  </conditionalFormatting>
  <conditionalFormatting sqref="D110:D112">
    <cfRule type="expression" dxfId="1" priority="14">
      <formula>OR(ISNUMBER(SEARCH("RISK",D110)),ISNUMBER(SEARCH("OVER",D110)),ISNUMBER(SEARCH("BELOW",D110)),ISNUMBER(SEARCH("EXCEED",D110)),ISNUMBER(SEARCH("NO CALIB",D110)),ISNUMBER(SEARCH("NEAREST",D110)),ISNUMBER(SEARCH("EXPLOSIVE",D110)),ISNUMBER(SEARCH("LOW",D110)),ISNUMBER(SEARCH("TIGHT",D110)),ISNUMBER(SEARCH("insufficient",D110)))</formula>
    </cfRule>
    <cfRule type="expression" dxfId="0" priority="15">
      <formula>OR(ISNUMBER(SEARCH("OK",D110)),ISNUMBER(SEARCH("calibrated",D110)),ISNUMBER(SEARCH("under optimum",D110)),ISNUMBER(SEARCH("above min",D110)),ISNUMBER(SEARCH("exact",D110)))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Q76"/>
  <sheetViews>
    <sheetView workbookViewId="0"/>
  </sheetViews>
  <sheetFormatPr baseColWidth="10" defaultRowHeight="15" x14ac:dyDescent="0.2"/>
  <cols>
    <col min="1" max="9" width="15" customWidth="1"/>
    <col min="10" max="10" width="14.33203125" bestFit="1" customWidth="1"/>
    <col min="12" max="12" width="62.1640625" bestFit="1" customWidth="1"/>
  </cols>
  <sheetData>
    <row r="1" spans="1:17" ht="16" customHeight="1" x14ac:dyDescent="0.2">
      <c r="A1" s="4" t="s">
        <v>0</v>
      </c>
      <c r="B1" s="3"/>
      <c r="C1" s="3"/>
      <c r="D1" s="3"/>
      <c r="E1" s="3"/>
      <c r="F1" s="3"/>
      <c r="G1" s="3"/>
      <c r="H1" s="3"/>
      <c r="I1" s="3"/>
      <c r="J1" s="3"/>
      <c r="K1" s="3"/>
      <c r="L1" s="3"/>
      <c r="M1" s="3"/>
      <c r="N1" s="3"/>
      <c r="O1" s="3"/>
      <c r="P1" s="3"/>
      <c r="Q1" s="3"/>
    </row>
    <row r="2" spans="1:17" x14ac:dyDescent="0.2">
      <c r="A2" s="5" t="s">
        <v>1</v>
      </c>
      <c r="B2" s="5" t="s">
        <v>2</v>
      </c>
      <c r="C2" s="5" t="s">
        <v>3</v>
      </c>
      <c r="D2" s="5" t="s">
        <v>4</v>
      </c>
      <c r="E2" s="5" t="s">
        <v>5</v>
      </c>
      <c r="F2" s="5" t="s">
        <v>6</v>
      </c>
      <c r="G2" s="5" t="s">
        <v>7</v>
      </c>
      <c r="H2" s="5" t="s">
        <v>8</v>
      </c>
      <c r="I2" s="5" t="s">
        <v>9</v>
      </c>
      <c r="J2" s="5" t="s">
        <v>10</v>
      </c>
      <c r="K2" s="3"/>
      <c r="L2" s="7" t="s">
        <v>11</v>
      </c>
      <c r="M2" s="3"/>
      <c r="N2" s="6"/>
      <c r="O2" s="3"/>
      <c r="P2" s="3"/>
      <c r="Q2" s="3"/>
    </row>
    <row r="3" spans="1:17" x14ac:dyDescent="0.2">
      <c r="A3" s="5"/>
      <c r="B3" s="5"/>
      <c r="C3" s="5" t="s">
        <v>12</v>
      </c>
      <c r="D3" s="5" t="s">
        <v>12</v>
      </c>
      <c r="E3" s="5" t="s">
        <v>12</v>
      </c>
      <c r="F3" s="5" t="s">
        <v>13</v>
      </c>
      <c r="G3" s="5" t="s">
        <v>14</v>
      </c>
      <c r="H3" s="5" t="s">
        <v>14</v>
      </c>
      <c r="I3" s="5" t="s">
        <v>13</v>
      </c>
      <c r="J3" s="5" t="s">
        <v>14</v>
      </c>
      <c r="K3" s="3"/>
      <c r="L3" s="8" t="s">
        <v>15</v>
      </c>
      <c r="M3" s="3"/>
      <c r="N3" s="6"/>
      <c r="O3" s="6"/>
      <c r="P3" s="6"/>
      <c r="Q3" s="6"/>
    </row>
    <row r="4" spans="1:17" x14ac:dyDescent="0.2">
      <c r="A4" s="3" t="s">
        <v>16</v>
      </c>
      <c r="B4" s="9">
        <v>46190</v>
      </c>
      <c r="C4" s="3">
        <v>50</v>
      </c>
      <c r="D4" s="3">
        <v>0</v>
      </c>
      <c r="E4" s="3"/>
      <c r="F4" s="3"/>
      <c r="G4" s="3"/>
      <c r="H4" s="3"/>
      <c r="I4" s="3">
        <v>0.25</v>
      </c>
      <c r="J4" s="3">
        <v>3.33</v>
      </c>
      <c r="K4" s="3"/>
      <c r="L4" s="10" t="s">
        <v>17</v>
      </c>
      <c r="M4" s="3"/>
      <c r="N4" s="3"/>
      <c r="O4" s="11"/>
      <c r="P4" s="12"/>
      <c r="Q4" s="3"/>
    </row>
    <row r="5" spans="1:17" x14ac:dyDescent="0.2">
      <c r="A5" s="3" t="s">
        <v>16</v>
      </c>
      <c r="B5" s="9">
        <v>46190</v>
      </c>
      <c r="C5" s="3">
        <v>50</v>
      </c>
      <c r="D5" s="3">
        <v>50</v>
      </c>
      <c r="E5" s="8">
        <f>D5-D4</f>
        <v>50</v>
      </c>
      <c r="F5" s="8">
        <v>15</v>
      </c>
      <c r="G5" s="3">
        <f>E5/F5</f>
        <v>3.3333333333333335</v>
      </c>
      <c r="H5" s="3">
        <f>AVERAGE(G5)</f>
        <v>3.3333333333333335</v>
      </c>
      <c r="I5" s="3"/>
      <c r="J5" s="3"/>
      <c r="K5" s="3"/>
      <c r="L5" s="3"/>
      <c r="M5" s="3"/>
      <c r="N5" s="13"/>
      <c r="O5" s="3"/>
      <c r="P5" s="3"/>
      <c r="Q5" s="3"/>
    </row>
    <row r="6" spans="1:17" x14ac:dyDescent="0.2">
      <c r="A6" s="3" t="s">
        <v>16</v>
      </c>
      <c r="B6" s="9">
        <v>46190</v>
      </c>
      <c r="C6" s="3">
        <v>50</v>
      </c>
      <c r="D6" s="3">
        <v>0</v>
      </c>
      <c r="E6" s="3"/>
      <c r="F6" s="3"/>
      <c r="G6" s="3"/>
      <c r="H6" s="3"/>
      <c r="I6" s="3"/>
      <c r="J6" s="3"/>
      <c r="K6" s="7" t="s">
        <v>18</v>
      </c>
      <c r="L6" s="7" t="s">
        <v>19</v>
      </c>
      <c r="M6" s="3"/>
      <c r="N6" s="3"/>
      <c r="O6" s="3"/>
      <c r="P6" s="3"/>
      <c r="Q6" s="3"/>
    </row>
    <row r="7" spans="1:17" x14ac:dyDescent="0.2">
      <c r="A7" s="3" t="s">
        <v>16</v>
      </c>
      <c r="B7" s="9">
        <v>46190</v>
      </c>
      <c r="C7" s="3">
        <v>50</v>
      </c>
      <c r="D7" s="3">
        <v>12</v>
      </c>
      <c r="E7" s="3">
        <f>D7-D6</f>
        <v>12</v>
      </c>
      <c r="F7" s="3">
        <v>4</v>
      </c>
      <c r="G7" s="3">
        <f>E7/F7</f>
        <v>3</v>
      </c>
      <c r="H7" s="3">
        <f>AVERAGE(G7:G9)</f>
        <v>3.3333333333333335</v>
      </c>
      <c r="I7" s="3"/>
      <c r="J7" s="3"/>
      <c r="K7" s="3" t="s">
        <v>20</v>
      </c>
      <c r="L7" s="3" t="s">
        <v>21</v>
      </c>
      <c r="M7" s="3"/>
      <c r="N7" s="6"/>
      <c r="O7" s="3"/>
      <c r="P7" s="3"/>
      <c r="Q7" s="3"/>
    </row>
    <row r="8" spans="1:17" x14ac:dyDescent="0.2">
      <c r="A8" s="3" t="s">
        <v>16</v>
      </c>
      <c r="B8" s="9">
        <v>46190</v>
      </c>
      <c r="C8" s="3">
        <v>50</v>
      </c>
      <c r="D8" s="3">
        <v>26</v>
      </c>
      <c r="E8" s="3">
        <f>D8-D7</f>
        <v>14</v>
      </c>
      <c r="F8" s="3">
        <v>4</v>
      </c>
      <c r="G8" s="3">
        <f>E8/F8</f>
        <v>3.5</v>
      </c>
      <c r="H8" s="3"/>
      <c r="I8" s="3"/>
      <c r="J8" s="3"/>
      <c r="K8" s="9">
        <v>46190</v>
      </c>
      <c r="L8" s="3" t="s">
        <v>22</v>
      </c>
      <c r="M8" s="3"/>
      <c r="N8" s="3"/>
      <c r="O8" s="3"/>
      <c r="P8" s="3"/>
      <c r="Q8" s="3"/>
    </row>
    <row r="9" spans="1:17" x14ac:dyDescent="0.2">
      <c r="A9" s="3" t="s">
        <v>16</v>
      </c>
      <c r="B9" s="9">
        <v>46190</v>
      </c>
      <c r="C9" s="3">
        <v>50</v>
      </c>
      <c r="D9" s="3">
        <v>40</v>
      </c>
      <c r="E9" s="3">
        <f>D9-D8</f>
        <v>14</v>
      </c>
      <c r="F9" s="3">
        <v>4</v>
      </c>
      <c r="G9" s="3">
        <f>E9/F9</f>
        <v>3.5</v>
      </c>
      <c r="H9" s="3"/>
      <c r="I9" s="3"/>
      <c r="J9" s="3"/>
      <c r="K9" s="9">
        <v>46190</v>
      </c>
      <c r="L9" s="3" t="s">
        <v>23</v>
      </c>
      <c r="M9" s="3"/>
      <c r="N9" s="3"/>
      <c r="O9" s="3"/>
      <c r="P9" s="3"/>
      <c r="Q9" s="3"/>
    </row>
    <row r="10" spans="1:17" x14ac:dyDescent="0.2">
      <c r="A10" s="3" t="s">
        <v>16</v>
      </c>
      <c r="B10" s="9">
        <v>46190</v>
      </c>
      <c r="C10" s="3">
        <v>50</v>
      </c>
      <c r="D10" s="3">
        <v>0</v>
      </c>
      <c r="E10" s="3"/>
      <c r="F10" s="3"/>
      <c r="G10" s="3"/>
      <c r="H10" s="3"/>
      <c r="I10" s="3"/>
      <c r="J10" s="3"/>
      <c r="K10" s="3"/>
      <c r="L10" s="3"/>
      <c r="M10" s="3"/>
      <c r="N10" s="3"/>
      <c r="O10" s="3"/>
      <c r="P10" s="3"/>
      <c r="Q10" s="3"/>
    </row>
    <row r="11" spans="1:17" x14ac:dyDescent="0.2">
      <c r="A11" s="3" t="s">
        <v>16</v>
      </c>
      <c r="B11" s="9">
        <v>46190</v>
      </c>
      <c r="C11" s="3">
        <v>50</v>
      </c>
      <c r="D11" s="3">
        <v>6</v>
      </c>
      <c r="E11" s="3">
        <f t="shared" ref="E11:E16" si="0">D11-D10</f>
        <v>6</v>
      </c>
      <c r="F11" s="3">
        <v>2</v>
      </c>
      <c r="G11" s="3">
        <f t="shared" ref="G11:G16" si="1">E11/F11</f>
        <v>3</v>
      </c>
      <c r="H11" s="3">
        <f>AVERAGE(G11:G16)</f>
        <v>3.75</v>
      </c>
      <c r="I11" s="3"/>
      <c r="J11" s="3"/>
      <c r="K11" s="3"/>
      <c r="L11" s="3"/>
      <c r="M11" s="3"/>
      <c r="N11" s="3"/>
      <c r="O11" s="3"/>
      <c r="P11" s="3"/>
      <c r="Q11" s="3"/>
    </row>
    <row r="12" spans="1:17" x14ac:dyDescent="0.2">
      <c r="A12" s="3" t="s">
        <v>16</v>
      </c>
      <c r="B12" s="9">
        <v>46190</v>
      </c>
      <c r="C12" s="3">
        <v>50</v>
      </c>
      <c r="D12" s="3">
        <v>15</v>
      </c>
      <c r="E12" s="3">
        <f t="shared" si="0"/>
        <v>9</v>
      </c>
      <c r="F12" s="3">
        <v>2</v>
      </c>
      <c r="G12" s="3">
        <f t="shared" si="1"/>
        <v>4.5</v>
      </c>
      <c r="H12" s="3"/>
      <c r="I12" s="3"/>
      <c r="J12" s="3"/>
      <c r="K12" s="3"/>
      <c r="L12" s="3"/>
      <c r="M12" s="3"/>
      <c r="N12" s="3"/>
      <c r="O12" s="3"/>
      <c r="P12" s="3"/>
      <c r="Q12" s="3"/>
    </row>
    <row r="13" spans="1:17" x14ac:dyDescent="0.2">
      <c r="A13" s="3" t="s">
        <v>16</v>
      </c>
      <c r="B13" s="9">
        <v>46190</v>
      </c>
      <c r="C13" s="3">
        <v>50</v>
      </c>
      <c r="D13" s="3">
        <v>21</v>
      </c>
      <c r="E13" s="3">
        <f t="shared" si="0"/>
        <v>6</v>
      </c>
      <c r="F13" s="3">
        <v>2</v>
      </c>
      <c r="G13" s="3">
        <f t="shared" si="1"/>
        <v>3</v>
      </c>
      <c r="H13" s="3"/>
      <c r="I13" s="3"/>
      <c r="J13" s="3"/>
      <c r="K13" s="3"/>
      <c r="L13" s="3"/>
      <c r="M13" s="3"/>
      <c r="N13" s="3"/>
      <c r="O13" s="3"/>
      <c r="P13" s="3"/>
      <c r="Q13" s="3"/>
    </row>
    <row r="14" spans="1:17" x14ac:dyDescent="0.2">
      <c r="A14" s="3" t="s">
        <v>16</v>
      </c>
      <c r="B14" s="9">
        <v>46190</v>
      </c>
      <c r="C14" s="3">
        <v>50</v>
      </c>
      <c r="D14" s="3">
        <v>29</v>
      </c>
      <c r="E14" s="3">
        <f t="shared" si="0"/>
        <v>8</v>
      </c>
      <c r="F14" s="3">
        <v>2</v>
      </c>
      <c r="G14" s="3">
        <f t="shared" si="1"/>
        <v>4</v>
      </c>
      <c r="H14" s="3"/>
      <c r="I14" s="3"/>
      <c r="J14" s="3"/>
      <c r="K14" s="3"/>
      <c r="L14" s="3"/>
      <c r="M14" s="3"/>
      <c r="N14" s="3"/>
      <c r="O14" s="3"/>
      <c r="P14" s="3"/>
      <c r="Q14" s="3"/>
    </row>
    <row r="15" spans="1:17" x14ac:dyDescent="0.2">
      <c r="A15" s="3" t="s">
        <v>16</v>
      </c>
      <c r="B15" s="9">
        <v>46190</v>
      </c>
      <c r="C15" s="3">
        <v>50</v>
      </c>
      <c r="D15" s="3">
        <v>35</v>
      </c>
      <c r="E15" s="3">
        <f t="shared" si="0"/>
        <v>6</v>
      </c>
      <c r="F15" s="3">
        <v>2</v>
      </c>
      <c r="G15" s="3">
        <f t="shared" si="1"/>
        <v>3</v>
      </c>
      <c r="H15" s="3"/>
      <c r="I15" s="3"/>
      <c r="J15" s="3"/>
      <c r="K15" s="3"/>
      <c r="L15" s="3"/>
      <c r="M15" s="3"/>
      <c r="N15" s="3"/>
      <c r="O15" s="3"/>
      <c r="P15" s="3"/>
      <c r="Q15" s="3"/>
    </row>
    <row r="16" spans="1:17" x14ac:dyDescent="0.2">
      <c r="A16" s="3" t="s">
        <v>16</v>
      </c>
      <c r="B16" s="9">
        <v>46190</v>
      </c>
      <c r="C16" s="3">
        <v>50</v>
      </c>
      <c r="D16" s="3">
        <v>45</v>
      </c>
      <c r="E16" s="3">
        <f t="shared" si="0"/>
        <v>10</v>
      </c>
      <c r="F16" s="3">
        <v>2</v>
      </c>
      <c r="G16" s="3">
        <f t="shared" si="1"/>
        <v>5</v>
      </c>
      <c r="H16" s="3"/>
      <c r="I16" s="3"/>
      <c r="J16" s="3"/>
      <c r="K16" s="3"/>
      <c r="L16" s="3"/>
      <c r="M16" s="3"/>
      <c r="N16" s="3"/>
      <c r="O16" s="3"/>
      <c r="P16" s="3"/>
      <c r="Q16" s="3"/>
    </row>
    <row r="17" spans="1:17" x14ac:dyDescent="0.2">
      <c r="A17" s="3" t="s">
        <v>16</v>
      </c>
      <c r="B17" s="9">
        <v>46190</v>
      </c>
      <c r="C17" s="3">
        <v>50</v>
      </c>
      <c r="D17" s="3">
        <v>0</v>
      </c>
      <c r="E17" s="3"/>
      <c r="F17" s="3"/>
      <c r="G17" s="3"/>
      <c r="H17" s="3"/>
      <c r="I17" s="3"/>
      <c r="J17" s="3"/>
      <c r="K17" s="3"/>
      <c r="L17" s="3"/>
      <c r="M17" s="3"/>
      <c r="N17" s="3"/>
      <c r="O17" s="3"/>
      <c r="P17" s="3"/>
      <c r="Q17" s="3"/>
    </row>
    <row r="18" spans="1:17" x14ac:dyDescent="0.2">
      <c r="A18" s="3" t="s">
        <v>16</v>
      </c>
      <c r="B18" s="9">
        <v>46190</v>
      </c>
      <c r="C18" s="3">
        <v>50</v>
      </c>
      <c r="D18" s="3">
        <v>4</v>
      </c>
      <c r="E18" s="3">
        <f t="shared" ref="E18:E23" si="2">D18-D17</f>
        <v>4</v>
      </c>
      <c r="F18" s="3">
        <v>1</v>
      </c>
      <c r="G18" s="3">
        <f t="shared" ref="G18:G23" si="3">E18/F18</f>
        <v>4</v>
      </c>
      <c r="H18" s="3">
        <f>AVERAGE(G18:G23)</f>
        <v>3.8333333333333335</v>
      </c>
      <c r="I18" s="3"/>
      <c r="J18" s="3"/>
      <c r="K18" s="3"/>
      <c r="L18" s="3"/>
      <c r="M18" s="3"/>
      <c r="N18" s="3"/>
      <c r="O18" s="3"/>
      <c r="P18" s="3"/>
      <c r="Q18" s="3"/>
    </row>
    <row r="19" spans="1:17" x14ac:dyDescent="0.2">
      <c r="A19" s="3" t="s">
        <v>16</v>
      </c>
      <c r="B19" s="9">
        <v>46190</v>
      </c>
      <c r="C19" s="3">
        <v>50</v>
      </c>
      <c r="D19" s="3">
        <v>8</v>
      </c>
      <c r="E19" s="3">
        <f t="shared" si="2"/>
        <v>4</v>
      </c>
      <c r="F19" s="3">
        <v>1</v>
      </c>
      <c r="G19" s="3">
        <f t="shared" si="3"/>
        <v>4</v>
      </c>
      <c r="H19" s="3"/>
      <c r="I19" s="3"/>
      <c r="J19" s="3"/>
      <c r="K19" s="3"/>
      <c r="L19" s="3"/>
      <c r="M19" s="3"/>
      <c r="N19" s="3"/>
      <c r="O19" s="3"/>
      <c r="P19" s="3"/>
      <c r="Q19" s="3"/>
    </row>
    <row r="20" spans="1:17" x14ac:dyDescent="0.2">
      <c r="A20" s="3" t="s">
        <v>16</v>
      </c>
      <c r="B20" s="9">
        <v>46190</v>
      </c>
      <c r="C20" s="3">
        <v>50</v>
      </c>
      <c r="D20" s="3">
        <v>11</v>
      </c>
      <c r="E20" s="3">
        <f t="shared" si="2"/>
        <v>3</v>
      </c>
      <c r="F20" s="3">
        <v>1</v>
      </c>
      <c r="G20" s="3">
        <f t="shared" si="3"/>
        <v>3</v>
      </c>
      <c r="H20" s="3"/>
      <c r="I20" s="3"/>
      <c r="J20" s="3"/>
      <c r="K20" s="3"/>
      <c r="L20" s="3"/>
      <c r="M20" s="3"/>
      <c r="N20" s="3"/>
      <c r="O20" s="3"/>
      <c r="P20" s="3"/>
      <c r="Q20" s="3"/>
    </row>
    <row r="21" spans="1:17" x14ac:dyDescent="0.2">
      <c r="A21" s="3" t="s">
        <v>16</v>
      </c>
      <c r="B21" s="9">
        <v>46190</v>
      </c>
      <c r="C21" s="3">
        <v>50</v>
      </c>
      <c r="D21" s="3">
        <v>15</v>
      </c>
      <c r="E21" s="3">
        <f t="shared" si="2"/>
        <v>4</v>
      </c>
      <c r="F21" s="3">
        <v>1</v>
      </c>
      <c r="G21" s="3">
        <f t="shared" si="3"/>
        <v>4</v>
      </c>
      <c r="H21" s="3"/>
      <c r="I21" s="3"/>
      <c r="J21" s="3"/>
      <c r="K21" s="3"/>
      <c r="L21" s="3"/>
      <c r="M21" s="3"/>
      <c r="N21" s="3"/>
      <c r="O21" s="3"/>
      <c r="P21" s="3"/>
      <c r="Q21" s="3"/>
    </row>
    <row r="22" spans="1:17" x14ac:dyDescent="0.2">
      <c r="A22" s="3" t="s">
        <v>16</v>
      </c>
      <c r="B22" s="9">
        <v>46190</v>
      </c>
      <c r="C22" s="3">
        <v>50</v>
      </c>
      <c r="D22" s="3">
        <v>19</v>
      </c>
      <c r="E22" s="3">
        <f t="shared" si="2"/>
        <v>4</v>
      </c>
      <c r="F22" s="3">
        <v>1</v>
      </c>
      <c r="G22" s="3">
        <f t="shared" si="3"/>
        <v>4</v>
      </c>
      <c r="H22" s="3"/>
      <c r="I22" s="3"/>
      <c r="J22" s="3"/>
      <c r="K22" s="3"/>
      <c r="L22" s="3"/>
      <c r="M22" s="3"/>
      <c r="N22" s="3"/>
      <c r="O22" s="3"/>
      <c r="P22" s="3"/>
      <c r="Q22" s="3"/>
    </row>
    <row r="23" spans="1:17" x14ac:dyDescent="0.2">
      <c r="A23" s="3" t="s">
        <v>16</v>
      </c>
      <c r="B23" s="9">
        <v>46190</v>
      </c>
      <c r="C23" s="3">
        <v>50</v>
      </c>
      <c r="D23" s="3">
        <v>23</v>
      </c>
      <c r="E23" s="3">
        <f t="shared" si="2"/>
        <v>4</v>
      </c>
      <c r="F23" s="3">
        <v>1</v>
      </c>
      <c r="G23" s="3">
        <f t="shared" si="3"/>
        <v>4</v>
      </c>
      <c r="H23" s="3"/>
      <c r="I23" s="3"/>
      <c r="J23" s="3"/>
      <c r="K23" s="3"/>
      <c r="L23" s="3"/>
      <c r="M23" s="3"/>
      <c r="N23" s="3"/>
      <c r="O23" s="3"/>
      <c r="P23" s="3"/>
      <c r="Q23" s="3"/>
    </row>
    <row r="24" spans="1:17" x14ac:dyDescent="0.2">
      <c r="A24" s="3" t="s">
        <v>16</v>
      </c>
      <c r="B24" s="9">
        <v>46190</v>
      </c>
      <c r="C24" s="3">
        <v>50</v>
      </c>
      <c r="D24" s="3">
        <v>31</v>
      </c>
      <c r="E24" s="3"/>
      <c r="F24" s="3"/>
      <c r="G24" s="3"/>
      <c r="H24" s="3"/>
      <c r="I24" s="3"/>
      <c r="J24" s="3"/>
      <c r="K24" s="3"/>
      <c r="L24" s="3"/>
      <c r="M24" s="3"/>
      <c r="N24" s="3"/>
      <c r="O24" s="3"/>
      <c r="P24" s="3"/>
      <c r="Q24" s="3"/>
    </row>
    <row r="25" spans="1:17" x14ac:dyDescent="0.2">
      <c r="A25" s="3" t="s">
        <v>16</v>
      </c>
      <c r="B25" s="9">
        <v>46190</v>
      </c>
      <c r="C25" s="3">
        <v>50</v>
      </c>
      <c r="D25" s="3">
        <v>33</v>
      </c>
      <c r="E25" s="3">
        <f t="shared" ref="E25:E39" si="4">D25-D24</f>
        <v>2</v>
      </c>
      <c r="F25" s="3">
        <v>0.5</v>
      </c>
      <c r="G25" s="3">
        <f t="shared" ref="G25:G34" si="5">E25/F25</f>
        <v>4</v>
      </c>
      <c r="H25" s="3">
        <f>AVERAGE(G25:G29)</f>
        <v>4</v>
      </c>
      <c r="I25" s="3"/>
      <c r="J25" s="3"/>
      <c r="K25" s="3"/>
      <c r="L25" s="3"/>
      <c r="M25" s="3"/>
      <c r="N25" s="3"/>
      <c r="O25" s="3"/>
      <c r="P25" s="3"/>
      <c r="Q25" s="3"/>
    </row>
    <row r="26" spans="1:17" x14ac:dyDescent="0.2">
      <c r="A26" s="3" t="s">
        <v>16</v>
      </c>
      <c r="B26" s="9">
        <v>46190</v>
      </c>
      <c r="C26" s="3">
        <v>50</v>
      </c>
      <c r="D26" s="3">
        <v>35</v>
      </c>
      <c r="E26" s="3">
        <f t="shared" si="4"/>
        <v>2</v>
      </c>
      <c r="F26" s="3">
        <v>0.5</v>
      </c>
      <c r="G26" s="3">
        <f t="shared" si="5"/>
        <v>4</v>
      </c>
      <c r="H26" s="3"/>
      <c r="I26" s="3"/>
      <c r="J26" s="3"/>
      <c r="K26" s="3"/>
      <c r="L26" s="3"/>
      <c r="M26" s="3"/>
      <c r="N26" s="3"/>
      <c r="O26" s="3"/>
      <c r="P26" s="3"/>
      <c r="Q26" s="3"/>
    </row>
    <row r="27" spans="1:17" x14ac:dyDescent="0.2">
      <c r="A27" s="3" t="s">
        <v>16</v>
      </c>
      <c r="B27" s="9">
        <v>46190</v>
      </c>
      <c r="C27" s="3">
        <v>50</v>
      </c>
      <c r="D27" s="3">
        <v>37</v>
      </c>
      <c r="E27" s="3">
        <f t="shared" si="4"/>
        <v>2</v>
      </c>
      <c r="F27" s="3">
        <v>0.5</v>
      </c>
      <c r="G27" s="3">
        <f t="shared" si="5"/>
        <v>4</v>
      </c>
      <c r="H27" s="3"/>
      <c r="I27" s="3"/>
      <c r="J27" s="3"/>
      <c r="K27" s="3"/>
      <c r="L27" s="3"/>
      <c r="M27" s="3"/>
      <c r="N27" s="3"/>
      <c r="O27" s="3"/>
      <c r="P27" s="3"/>
      <c r="Q27" s="3"/>
    </row>
    <row r="28" spans="1:17" x14ac:dyDescent="0.2">
      <c r="A28" s="3" t="s">
        <v>16</v>
      </c>
      <c r="B28" s="9">
        <v>46190</v>
      </c>
      <c r="C28" s="3">
        <v>50</v>
      </c>
      <c r="D28" s="3">
        <v>39</v>
      </c>
      <c r="E28" s="3">
        <f t="shared" si="4"/>
        <v>2</v>
      </c>
      <c r="F28" s="3">
        <v>0.5</v>
      </c>
      <c r="G28" s="3">
        <f t="shared" si="5"/>
        <v>4</v>
      </c>
      <c r="H28" s="3"/>
      <c r="I28" s="3"/>
      <c r="J28" s="3"/>
      <c r="K28" s="3"/>
      <c r="L28" s="3"/>
      <c r="M28" s="3"/>
      <c r="N28" s="3"/>
      <c r="O28" s="3"/>
      <c r="P28" s="3"/>
      <c r="Q28" s="3"/>
    </row>
    <row r="29" spans="1:17" x14ac:dyDescent="0.2">
      <c r="A29" s="3" t="s">
        <v>16</v>
      </c>
      <c r="B29" s="9">
        <v>46190</v>
      </c>
      <c r="C29" s="3">
        <v>50</v>
      </c>
      <c r="D29" s="3">
        <v>41</v>
      </c>
      <c r="E29" s="3">
        <f t="shared" si="4"/>
        <v>2</v>
      </c>
      <c r="F29" s="3">
        <v>0.5</v>
      </c>
      <c r="G29" s="3">
        <f t="shared" si="5"/>
        <v>4</v>
      </c>
      <c r="H29" s="3"/>
      <c r="I29" s="3"/>
      <c r="J29" s="3"/>
      <c r="K29" s="3"/>
      <c r="L29" s="3"/>
      <c r="M29" s="3"/>
      <c r="N29" s="3"/>
      <c r="O29" s="3"/>
      <c r="P29" s="3"/>
      <c r="Q29" s="3"/>
    </row>
    <row r="30" spans="1:17" x14ac:dyDescent="0.2">
      <c r="A30" s="3" t="s">
        <v>16</v>
      </c>
      <c r="B30" s="9">
        <v>46190</v>
      </c>
      <c r="C30" s="3">
        <v>50</v>
      </c>
      <c r="D30" s="3">
        <v>42</v>
      </c>
      <c r="E30" s="3">
        <f t="shared" si="4"/>
        <v>1</v>
      </c>
      <c r="F30" s="3">
        <v>0.25</v>
      </c>
      <c r="G30" s="3">
        <f t="shared" si="5"/>
        <v>4</v>
      </c>
      <c r="H30" s="3">
        <f>AVERAGE(G30:G34)</f>
        <v>4</v>
      </c>
      <c r="I30" s="3"/>
      <c r="J30" s="3"/>
      <c r="K30" s="3"/>
      <c r="L30" s="3"/>
      <c r="M30" s="3"/>
      <c r="N30" s="3"/>
      <c r="O30" s="3"/>
      <c r="P30" s="3"/>
      <c r="Q30" s="3"/>
    </row>
    <row r="31" spans="1:17" x14ac:dyDescent="0.2">
      <c r="A31" s="3" t="s">
        <v>16</v>
      </c>
      <c r="B31" s="9">
        <v>46190</v>
      </c>
      <c r="C31" s="3">
        <v>50</v>
      </c>
      <c r="D31" s="3">
        <v>43</v>
      </c>
      <c r="E31" s="3">
        <f t="shared" si="4"/>
        <v>1</v>
      </c>
      <c r="F31" s="3">
        <v>0.25</v>
      </c>
      <c r="G31" s="3">
        <f t="shared" si="5"/>
        <v>4</v>
      </c>
      <c r="H31" s="3"/>
      <c r="I31" s="3"/>
      <c r="J31" s="3"/>
      <c r="K31" s="3"/>
      <c r="L31" s="3"/>
      <c r="M31" s="3"/>
      <c r="N31" s="3"/>
      <c r="O31" s="3"/>
      <c r="P31" s="3"/>
      <c r="Q31" s="3"/>
    </row>
    <row r="32" spans="1:17" x14ac:dyDescent="0.2">
      <c r="A32" s="3" t="s">
        <v>16</v>
      </c>
      <c r="B32" s="9">
        <v>46190</v>
      </c>
      <c r="C32" s="3">
        <v>50</v>
      </c>
      <c r="D32" s="3">
        <v>44</v>
      </c>
      <c r="E32" s="3">
        <f t="shared" si="4"/>
        <v>1</v>
      </c>
      <c r="F32" s="3">
        <v>0.25</v>
      </c>
      <c r="G32" s="3">
        <f t="shared" si="5"/>
        <v>4</v>
      </c>
      <c r="H32" s="3"/>
      <c r="I32" s="3"/>
      <c r="J32" s="3"/>
      <c r="K32" s="3"/>
      <c r="L32" s="3"/>
      <c r="M32" s="3"/>
      <c r="N32" s="3"/>
      <c r="O32" s="3"/>
      <c r="P32" s="3"/>
      <c r="Q32" s="3"/>
    </row>
    <row r="33" spans="1:17" x14ac:dyDescent="0.2">
      <c r="A33" s="3" t="s">
        <v>16</v>
      </c>
      <c r="B33" s="9">
        <v>46190</v>
      </c>
      <c r="C33" s="3">
        <v>50</v>
      </c>
      <c r="D33" s="3">
        <v>45</v>
      </c>
      <c r="E33" s="3">
        <f t="shared" si="4"/>
        <v>1</v>
      </c>
      <c r="F33" s="3">
        <v>0.25</v>
      </c>
      <c r="G33" s="3">
        <f t="shared" si="5"/>
        <v>4</v>
      </c>
      <c r="H33" s="3"/>
      <c r="I33" s="3"/>
      <c r="J33" s="3"/>
      <c r="K33" s="3"/>
      <c r="L33" s="3"/>
      <c r="M33" s="3"/>
      <c r="N33" s="3"/>
      <c r="O33" s="3"/>
      <c r="P33" s="3"/>
      <c r="Q33" s="3"/>
    </row>
    <row r="34" spans="1:17" x14ac:dyDescent="0.2">
      <c r="A34" s="3" t="s">
        <v>16</v>
      </c>
      <c r="B34" s="9">
        <v>46190</v>
      </c>
      <c r="C34" s="3">
        <v>50</v>
      </c>
      <c r="D34" s="3">
        <v>46</v>
      </c>
      <c r="E34" s="3">
        <f t="shared" si="4"/>
        <v>1</v>
      </c>
      <c r="F34" s="3">
        <v>0.25</v>
      </c>
      <c r="G34" s="3">
        <f t="shared" si="5"/>
        <v>4</v>
      </c>
      <c r="H34" s="3"/>
      <c r="I34" s="3"/>
      <c r="J34" s="3"/>
      <c r="K34" s="3"/>
      <c r="L34" s="3"/>
      <c r="M34" s="3"/>
      <c r="N34" s="3"/>
      <c r="O34" s="3"/>
      <c r="P34" s="3"/>
      <c r="Q34" s="3"/>
    </row>
    <row r="35" spans="1:17" x14ac:dyDescent="0.2">
      <c r="A35" s="3" t="s">
        <v>16</v>
      </c>
      <c r="B35" s="9">
        <v>46190</v>
      </c>
      <c r="C35" s="3">
        <v>10</v>
      </c>
      <c r="D35" s="3">
        <v>0</v>
      </c>
      <c r="E35" s="3">
        <f t="shared" si="4"/>
        <v>-46</v>
      </c>
      <c r="F35" s="3"/>
      <c r="G35" s="3"/>
      <c r="H35" s="3"/>
      <c r="I35" s="3"/>
      <c r="J35" s="3"/>
      <c r="K35" s="3"/>
      <c r="L35" s="3"/>
      <c r="M35" s="3"/>
      <c r="N35" s="3"/>
      <c r="O35" s="3"/>
      <c r="P35" s="3"/>
      <c r="Q35" s="3"/>
    </row>
    <row r="36" spans="1:17" x14ac:dyDescent="0.2">
      <c r="A36" s="3" t="s">
        <v>16</v>
      </c>
      <c r="B36" s="9">
        <v>46190</v>
      </c>
      <c r="C36" s="3">
        <v>10</v>
      </c>
      <c r="D36" s="3">
        <v>0.4</v>
      </c>
      <c r="E36" s="3">
        <f t="shared" si="4"/>
        <v>0.4</v>
      </c>
      <c r="F36" s="3">
        <v>0.2</v>
      </c>
      <c r="G36" s="10">
        <f>E36/F36</f>
        <v>2</v>
      </c>
      <c r="H36" s="3"/>
      <c r="I36" s="3"/>
      <c r="J36" s="3"/>
      <c r="K36" s="3"/>
      <c r="L36" s="3"/>
      <c r="M36" s="3"/>
      <c r="N36" s="3"/>
      <c r="O36" s="3"/>
      <c r="P36" s="3"/>
      <c r="Q36" s="3"/>
    </row>
    <row r="37" spans="1:17" x14ac:dyDescent="0.2">
      <c r="A37" s="3" t="s">
        <v>16</v>
      </c>
      <c r="B37" s="9">
        <v>46190</v>
      </c>
      <c r="C37" s="3">
        <v>10</v>
      </c>
      <c r="D37" s="3">
        <v>1.2</v>
      </c>
      <c r="E37" s="3">
        <f t="shared" si="4"/>
        <v>0.79999999999999993</v>
      </c>
      <c r="F37" s="3">
        <v>0.2</v>
      </c>
      <c r="G37" s="3">
        <f>E37/F37</f>
        <v>3.9999999999999996</v>
      </c>
      <c r="H37" s="3">
        <f>AVERAGE(G37:G39)</f>
        <v>4.333333333333333</v>
      </c>
      <c r="I37" s="3"/>
      <c r="J37" s="3"/>
      <c r="K37" s="3"/>
      <c r="L37" s="3"/>
      <c r="M37" s="3"/>
      <c r="N37" s="3"/>
      <c r="O37" s="3"/>
      <c r="P37" s="3"/>
      <c r="Q37" s="3"/>
    </row>
    <row r="38" spans="1:17" x14ac:dyDescent="0.2">
      <c r="A38" s="3" t="s">
        <v>16</v>
      </c>
      <c r="B38" s="9">
        <v>46190</v>
      </c>
      <c r="C38" s="3">
        <v>10</v>
      </c>
      <c r="D38" s="3">
        <v>2.2000000000000002</v>
      </c>
      <c r="E38" s="3">
        <f t="shared" si="4"/>
        <v>1.0000000000000002</v>
      </c>
      <c r="F38" s="3">
        <v>0.2</v>
      </c>
      <c r="G38" s="3">
        <f>E38/F38</f>
        <v>5.0000000000000009</v>
      </c>
      <c r="H38" s="3"/>
      <c r="I38" s="3"/>
      <c r="J38" s="3"/>
      <c r="K38" s="3"/>
      <c r="L38" s="3"/>
      <c r="M38" s="3"/>
      <c r="N38" s="3"/>
      <c r="O38" s="3"/>
      <c r="P38" s="3"/>
      <c r="Q38" s="3"/>
    </row>
    <row r="39" spans="1:17" x14ac:dyDescent="0.2">
      <c r="A39" s="3" t="s">
        <v>16</v>
      </c>
      <c r="B39" s="9">
        <v>46190</v>
      </c>
      <c r="C39" s="3">
        <v>10</v>
      </c>
      <c r="D39" s="3">
        <v>3</v>
      </c>
      <c r="E39" s="3">
        <f t="shared" si="4"/>
        <v>0.79999999999999982</v>
      </c>
      <c r="F39" s="3">
        <v>0.2</v>
      </c>
      <c r="G39" s="3">
        <f>E39/F39</f>
        <v>3.9999999999999991</v>
      </c>
      <c r="H39" s="3"/>
      <c r="I39" s="3"/>
      <c r="J39" s="3"/>
      <c r="K39" s="3"/>
      <c r="L39" s="3"/>
      <c r="M39" s="3"/>
      <c r="N39" s="3"/>
      <c r="O39" s="3"/>
      <c r="P39" s="3"/>
      <c r="Q39" s="3"/>
    </row>
    <row r="40" spans="1:17" x14ac:dyDescent="0.2">
      <c r="A40" s="3" t="s">
        <v>16</v>
      </c>
      <c r="B40" s="9">
        <v>46190</v>
      </c>
      <c r="C40" s="3">
        <v>10</v>
      </c>
      <c r="D40" s="3">
        <v>0</v>
      </c>
      <c r="E40" s="3"/>
      <c r="F40" s="3"/>
      <c r="G40" s="3"/>
      <c r="H40" s="3"/>
      <c r="I40" s="3"/>
      <c r="J40" s="3"/>
      <c r="K40" s="3"/>
      <c r="L40" s="3"/>
      <c r="M40" s="3"/>
      <c r="N40" s="3"/>
      <c r="O40" s="3"/>
      <c r="P40" s="3"/>
      <c r="Q40" s="3"/>
    </row>
    <row r="41" spans="1:17" x14ac:dyDescent="0.2">
      <c r="A41" s="3" t="s">
        <v>16</v>
      </c>
      <c r="B41" s="9">
        <v>46190</v>
      </c>
      <c r="C41" s="3">
        <v>10</v>
      </c>
      <c r="D41" s="3">
        <v>0.4</v>
      </c>
      <c r="E41" s="3">
        <f t="shared" ref="E41:E46" si="6">D41-D40</f>
        <v>0.4</v>
      </c>
      <c r="F41" s="3">
        <v>0.1</v>
      </c>
      <c r="G41" s="3">
        <f t="shared" ref="G41:G46" si="7">E41/F41</f>
        <v>4</v>
      </c>
      <c r="H41" s="3">
        <f>AVERAGE(G41:G45)</f>
        <v>5.2</v>
      </c>
      <c r="I41" s="3"/>
      <c r="J41" s="3"/>
      <c r="K41" s="3"/>
      <c r="L41" s="3"/>
      <c r="M41" s="3"/>
      <c r="N41" s="3"/>
      <c r="O41" s="3"/>
      <c r="P41" s="3"/>
      <c r="Q41" s="3"/>
    </row>
    <row r="42" spans="1:17" x14ac:dyDescent="0.2">
      <c r="A42" s="3" t="s">
        <v>16</v>
      </c>
      <c r="B42" s="9">
        <v>46190</v>
      </c>
      <c r="C42" s="3">
        <v>10</v>
      </c>
      <c r="D42" s="3">
        <v>0.8</v>
      </c>
      <c r="E42" s="3">
        <f t="shared" si="6"/>
        <v>0.4</v>
      </c>
      <c r="F42" s="3">
        <v>0.1</v>
      </c>
      <c r="G42" s="3">
        <f t="shared" si="7"/>
        <v>4</v>
      </c>
      <c r="H42" s="3"/>
      <c r="I42" s="3"/>
      <c r="J42" s="3"/>
      <c r="K42" s="3"/>
      <c r="L42" s="3"/>
      <c r="M42" s="3"/>
      <c r="N42" s="3"/>
      <c r="O42" s="3"/>
      <c r="P42" s="3"/>
      <c r="Q42" s="3"/>
    </row>
    <row r="43" spans="1:17" x14ac:dyDescent="0.2">
      <c r="A43" s="3" t="s">
        <v>16</v>
      </c>
      <c r="B43" s="9">
        <v>46190</v>
      </c>
      <c r="C43" s="3">
        <v>10</v>
      </c>
      <c r="D43" s="3">
        <v>1.4</v>
      </c>
      <c r="E43" s="3">
        <f t="shared" si="6"/>
        <v>0.59999999999999987</v>
      </c>
      <c r="F43" s="3">
        <v>0.1</v>
      </c>
      <c r="G43" s="3">
        <f t="shared" si="7"/>
        <v>5.9999999999999982</v>
      </c>
      <c r="H43" s="3"/>
      <c r="I43" s="3"/>
      <c r="J43" s="3"/>
      <c r="K43" s="3"/>
      <c r="L43" s="3"/>
      <c r="M43" s="3"/>
      <c r="N43" s="3"/>
      <c r="O43" s="3"/>
      <c r="P43" s="3"/>
      <c r="Q43" s="3"/>
    </row>
    <row r="44" spans="1:17" x14ac:dyDescent="0.2">
      <c r="A44" s="3" t="s">
        <v>16</v>
      </c>
      <c r="B44" s="9">
        <v>46190</v>
      </c>
      <c r="C44" s="3">
        <v>10</v>
      </c>
      <c r="D44" s="3">
        <v>2</v>
      </c>
      <c r="E44" s="3">
        <f t="shared" si="6"/>
        <v>0.60000000000000009</v>
      </c>
      <c r="F44" s="3">
        <v>0.1</v>
      </c>
      <c r="G44" s="3">
        <f t="shared" si="7"/>
        <v>6.0000000000000009</v>
      </c>
      <c r="H44" s="3"/>
      <c r="I44" s="3"/>
      <c r="J44" s="3"/>
      <c r="K44" s="3"/>
      <c r="L44" s="3"/>
      <c r="M44" s="3"/>
      <c r="N44" s="3"/>
      <c r="O44" s="3"/>
      <c r="P44" s="3"/>
      <c r="Q44" s="3"/>
    </row>
    <row r="45" spans="1:17" x14ac:dyDescent="0.2">
      <c r="A45" s="3" t="s">
        <v>16</v>
      </c>
      <c r="B45" s="9">
        <v>46190</v>
      </c>
      <c r="C45" s="3">
        <v>10</v>
      </c>
      <c r="D45" s="3">
        <v>2.6</v>
      </c>
      <c r="E45" s="3">
        <f t="shared" si="6"/>
        <v>0.60000000000000009</v>
      </c>
      <c r="F45" s="3">
        <v>0.1</v>
      </c>
      <c r="G45" s="3">
        <f t="shared" si="7"/>
        <v>6.0000000000000009</v>
      </c>
      <c r="H45" s="3"/>
      <c r="I45" s="3"/>
      <c r="J45" s="3"/>
      <c r="K45" s="3"/>
      <c r="L45" s="3"/>
      <c r="M45" s="3"/>
      <c r="N45" s="3"/>
      <c r="O45" s="3"/>
      <c r="P45" s="3"/>
      <c r="Q45" s="3"/>
    </row>
    <row r="46" spans="1:17" x14ac:dyDescent="0.2">
      <c r="A46" s="3" t="s">
        <v>16</v>
      </c>
      <c r="B46" s="9">
        <v>46190</v>
      </c>
      <c r="C46" s="3">
        <v>10</v>
      </c>
      <c r="D46" s="3">
        <v>2.8</v>
      </c>
      <c r="E46" s="3">
        <f t="shared" si="6"/>
        <v>0.19999999999999973</v>
      </c>
      <c r="F46" s="3">
        <v>0.1</v>
      </c>
      <c r="G46" s="10">
        <f t="shared" si="7"/>
        <v>1.9999999999999973</v>
      </c>
      <c r="H46" s="3"/>
      <c r="I46" s="3"/>
      <c r="J46" s="3"/>
      <c r="K46" s="3"/>
      <c r="L46" s="3"/>
      <c r="M46" s="3"/>
      <c r="N46" s="3"/>
      <c r="O46" s="3"/>
      <c r="P46" s="3"/>
      <c r="Q46" s="3"/>
    </row>
    <row r="47" spans="1:17" x14ac:dyDescent="0.2">
      <c r="A47" s="3"/>
      <c r="B47" s="9"/>
      <c r="C47" s="3"/>
      <c r="D47" s="3"/>
      <c r="E47" s="3"/>
      <c r="F47" s="3"/>
      <c r="G47" s="3"/>
      <c r="H47" s="3"/>
      <c r="I47" s="3"/>
      <c r="J47" s="3"/>
      <c r="K47" s="3"/>
      <c r="L47" s="3"/>
      <c r="M47" s="3"/>
      <c r="N47" s="3"/>
      <c r="O47" s="3"/>
      <c r="P47" s="3"/>
      <c r="Q47" s="3"/>
    </row>
    <row r="48" spans="1:17" x14ac:dyDescent="0.2">
      <c r="A48" s="3"/>
      <c r="B48" s="3"/>
      <c r="C48" s="3"/>
      <c r="D48" s="3"/>
      <c r="E48" s="3"/>
      <c r="F48" s="3"/>
      <c r="G48" s="3"/>
      <c r="H48" s="3"/>
      <c r="I48" s="3"/>
      <c r="J48" s="3"/>
      <c r="K48" s="3"/>
      <c r="L48" s="3"/>
      <c r="M48" s="3"/>
      <c r="N48" s="3"/>
      <c r="O48" s="3"/>
      <c r="P48" s="3"/>
      <c r="Q48" s="3"/>
    </row>
    <row r="49" spans="1:17" x14ac:dyDescent="0.2">
      <c r="A49" s="14"/>
      <c r="B49" s="3"/>
      <c r="C49" s="3"/>
      <c r="D49" s="3"/>
      <c r="E49" s="3"/>
      <c r="F49" s="3"/>
      <c r="G49" s="3"/>
      <c r="H49" s="3"/>
      <c r="I49" s="3"/>
      <c r="J49" s="3"/>
      <c r="K49" s="3"/>
      <c r="L49" s="3"/>
      <c r="M49" s="3"/>
      <c r="N49" s="3"/>
      <c r="O49" s="3"/>
      <c r="P49" s="3"/>
      <c r="Q49" s="3"/>
    </row>
    <row r="50" spans="1:17" x14ac:dyDescent="0.2">
      <c r="A50" s="6"/>
      <c r="B50" s="6"/>
      <c r="C50" s="6"/>
      <c r="D50" s="6"/>
      <c r="E50" s="6"/>
      <c r="F50" s="3"/>
      <c r="G50" s="3"/>
      <c r="H50" s="3"/>
      <c r="I50" s="3"/>
      <c r="J50" s="3"/>
      <c r="K50" s="3"/>
      <c r="L50" s="3"/>
      <c r="M50" s="3"/>
      <c r="N50" s="3"/>
      <c r="O50" s="3"/>
      <c r="P50" s="3"/>
      <c r="Q50" s="3"/>
    </row>
    <row r="51" spans="1:17" x14ac:dyDescent="0.2">
      <c r="A51" s="3"/>
      <c r="B51" s="11"/>
      <c r="C51" s="3"/>
      <c r="D51" s="3"/>
      <c r="E51" s="3"/>
      <c r="F51" s="3"/>
      <c r="G51" s="3"/>
      <c r="H51" s="3"/>
      <c r="I51" s="3"/>
      <c r="J51" s="3"/>
      <c r="K51" s="3"/>
      <c r="L51" s="3"/>
      <c r="M51" s="3"/>
      <c r="N51" s="3"/>
      <c r="O51" s="3"/>
      <c r="P51" s="3"/>
      <c r="Q51" s="3"/>
    </row>
    <row r="52" spans="1:17" x14ac:dyDescent="0.2">
      <c r="A52" s="13"/>
      <c r="B52" s="3"/>
      <c r="C52" s="3"/>
      <c r="D52" s="3"/>
      <c r="E52" s="3"/>
      <c r="F52" s="3"/>
      <c r="G52" s="3"/>
      <c r="H52" s="3"/>
      <c r="I52" s="3"/>
      <c r="J52" s="3"/>
      <c r="K52" s="3"/>
      <c r="L52" s="3"/>
      <c r="M52" s="3"/>
      <c r="N52" s="3"/>
      <c r="O52" s="3"/>
      <c r="P52" s="3"/>
      <c r="Q52" s="3"/>
    </row>
    <row r="53" spans="1:17" x14ac:dyDescent="0.2">
      <c r="A53" s="3"/>
      <c r="B53" s="3"/>
      <c r="C53" s="3"/>
      <c r="D53" s="3"/>
      <c r="E53" s="3"/>
      <c r="F53" s="3"/>
      <c r="G53" s="3"/>
      <c r="H53" s="3"/>
      <c r="I53" s="3"/>
      <c r="J53" s="3"/>
      <c r="K53" s="3"/>
      <c r="L53" s="3"/>
      <c r="M53" s="3"/>
      <c r="N53" s="3"/>
      <c r="O53" s="3"/>
      <c r="P53" s="3"/>
      <c r="Q53" s="3"/>
    </row>
    <row r="54" spans="1:17" x14ac:dyDescent="0.2">
      <c r="A54" s="14"/>
      <c r="B54" s="3"/>
      <c r="C54" s="3"/>
      <c r="D54" s="3"/>
      <c r="E54" s="3"/>
      <c r="F54" s="3"/>
      <c r="G54" s="3"/>
      <c r="H54" s="3"/>
      <c r="I54" s="3"/>
      <c r="J54" s="3"/>
      <c r="K54" s="3"/>
      <c r="L54" s="3"/>
      <c r="M54" s="3"/>
      <c r="N54" s="3"/>
      <c r="O54" s="3"/>
      <c r="P54" s="3"/>
      <c r="Q54" s="3"/>
    </row>
    <row r="55" spans="1:17" x14ac:dyDescent="0.2">
      <c r="A55" s="3"/>
      <c r="B55" s="3"/>
      <c r="C55" s="3"/>
      <c r="D55" s="3"/>
      <c r="E55" s="3"/>
      <c r="F55" s="3"/>
      <c r="G55" s="3"/>
      <c r="H55" s="3"/>
      <c r="I55" s="3"/>
      <c r="J55" s="3"/>
      <c r="K55" s="3"/>
      <c r="L55" s="3"/>
      <c r="M55" s="3"/>
      <c r="N55" s="3"/>
      <c r="O55" s="3"/>
      <c r="P55" s="3"/>
      <c r="Q55" s="3"/>
    </row>
    <row r="56" spans="1:17" x14ac:dyDescent="0.2">
      <c r="A56" s="3"/>
      <c r="B56" s="3"/>
      <c r="C56" s="3"/>
      <c r="D56" s="3"/>
      <c r="E56" s="3"/>
      <c r="F56" s="3"/>
      <c r="G56" s="3"/>
      <c r="H56" s="3"/>
      <c r="I56" s="3"/>
      <c r="J56" s="3"/>
      <c r="K56" s="3"/>
      <c r="L56" s="3"/>
      <c r="M56" s="3"/>
      <c r="N56" s="3"/>
      <c r="O56" s="3"/>
      <c r="P56" s="3"/>
      <c r="Q56" s="3"/>
    </row>
    <row r="57" spans="1:17" x14ac:dyDescent="0.2">
      <c r="A57" s="3"/>
      <c r="B57" s="3"/>
      <c r="C57" s="3"/>
      <c r="D57" s="3"/>
      <c r="E57" s="3"/>
      <c r="F57" s="3"/>
      <c r="G57" s="3"/>
      <c r="H57" s="3"/>
      <c r="I57" s="3"/>
      <c r="J57" s="3"/>
      <c r="K57" s="3"/>
      <c r="L57" s="3"/>
      <c r="M57" s="3"/>
      <c r="N57" s="3"/>
      <c r="O57" s="3"/>
      <c r="P57" s="3"/>
      <c r="Q57" s="3"/>
    </row>
    <row r="58" spans="1:17" x14ac:dyDescent="0.2">
      <c r="A58" s="3"/>
      <c r="B58" s="3"/>
      <c r="C58" s="3"/>
      <c r="D58" s="3"/>
      <c r="E58" s="3"/>
      <c r="F58" s="3"/>
      <c r="G58" s="3"/>
      <c r="H58" s="3"/>
      <c r="I58" s="3"/>
      <c r="J58" s="3"/>
      <c r="K58" s="3"/>
      <c r="L58" s="3"/>
      <c r="M58" s="3"/>
      <c r="N58" s="3"/>
      <c r="O58" s="3"/>
      <c r="P58" s="3"/>
      <c r="Q58" s="3"/>
    </row>
    <row r="59" spans="1:17" x14ac:dyDescent="0.2">
      <c r="A59" s="3"/>
      <c r="B59" s="3"/>
      <c r="C59" s="3"/>
      <c r="D59" s="3"/>
      <c r="E59" s="3"/>
      <c r="F59" s="3"/>
      <c r="G59" s="3"/>
      <c r="H59" s="3"/>
      <c r="I59" s="3"/>
      <c r="J59" s="3"/>
      <c r="K59" s="3"/>
      <c r="L59" s="3"/>
      <c r="M59" s="3"/>
      <c r="N59" s="3"/>
      <c r="O59" s="3"/>
      <c r="P59" s="3"/>
      <c r="Q59" s="3"/>
    </row>
    <row r="60" spans="1:17" x14ac:dyDescent="0.2">
      <c r="A60" s="3"/>
      <c r="B60" s="3"/>
      <c r="C60" s="3"/>
      <c r="D60" s="3"/>
      <c r="E60" s="3"/>
      <c r="F60" s="3"/>
      <c r="G60" s="3"/>
      <c r="H60" s="3"/>
      <c r="I60" s="3"/>
      <c r="J60" s="3"/>
      <c r="K60" s="3"/>
      <c r="L60" s="3"/>
      <c r="M60" s="3"/>
      <c r="N60" s="3"/>
      <c r="O60" s="3"/>
      <c r="P60" s="3"/>
      <c r="Q60" s="3"/>
    </row>
    <row r="61" spans="1:17" x14ac:dyDescent="0.2">
      <c r="A61" s="3"/>
      <c r="B61" s="3"/>
      <c r="C61" s="3"/>
      <c r="D61" s="3"/>
      <c r="E61" s="3"/>
      <c r="F61" s="3"/>
      <c r="G61" s="3"/>
      <c r="H61" s="3"/>
      <c r="I61" s="3"/>
      <c r="J61" s="3"/>
      <c r="K61" s="3"/>
      <c r="L61" s="3"/>
      <c r="M61" s="3"/>
      <c r="N61" s="3"/>
      <c r="O61" s="3"/>
      <c r="P61" s="3"/>
      <c r="Q61" s="3"/>
    </row>
    <row r="62" spans="1:17" x14ac:dyDescent="0.2">
      <c r="A62" s="3"/>
      <c r="B62" s="3"/>
      <c r="C62" s="3"/>
      <c r="D62" s="3"/>
      <c r="E62" s="3"/>
      <c r="F62" s="3"/>
      <c r="G62" s="3"/>
      <c r="H62" s="3"/>
      <c r="I62" s="3"/>
      <c r="J62" s="3"/>
      <c r="K62" s="3"/>
      <c r="L62" s="3"/>
      <c r="M62" s="3"/>
      <c r="N62" s="3"/>
      <c r="O62" s="3"/>
      <c r="P62" s="3"/>
      <c r="Q62" s="3"/>
    </row>
    <row r="63" spans="1:17" x14ac:dyDescent="0.2">
      <c r="A63" s="3"/>
      <c r="B63" s="3"/>
      <c r="C63" s="3"/>
      <c r="D63" s="3"/>
      <c r="E63" s="3"/>
      <c r="F63" s="3"/>
      <c r="G63" s="3"/>
      <c r="H63" s="3"/>
      <c r="I63" s="3"/>
      <c r="J63" s="3"/>
      <c r="K63" s="3"/>
      <c r="L63" s="3"/>
      <c r="M63" s="3"/>
      <c r="N63" s="3"/>
      <c r="O63" s="3"/>
      <c r="P63" s="3"/>
      <c r="Q63" s="3"/>
    </row>
    <row r="64" spans="1:17" x14ac:dyDescent="0.2">
      <c r="A64" s="3"/>
      <c r="B64" s="3"/>
      <c r="C64" s="3"/>
      <c r="D64" s="3"/>
      <c r="E64" s="3"/>
      <c r="F64" s="3"/>
      <c r="G64" s="3"/>
      <c r="H64" s="3"/>
      <c r="I64" s="3"/>
      <c r="J64" s="3"/>
      <c r="K64" s="3"/>
      <c r="L64" s="3"/>
      <c r="M64" s="3"/>
      <c r="N64" s="3"/>
      <c r="O64" s="3"/>
      <c r="P64" s="3"/>
      <c r="Q64" s="3"/>
    </row>
    <row r="65" spans="1:17" x14ac:dyDescent="0.2">
      <c r="A65" s="3"/>
      <c r="B65" s="3"/>
      <c r="C65" s="3"/>
      <c r="D65" s="3"/>
      <c r="E65" s="3"/>
      <c r="F65" s="3"/>
      <c r="G65" s="3"/>
      <c r="H65" s="3"/>
      <c r="I65" s="3"/>
      <c r="J65" s="3"/>
      <c r="K65" s="3"/>
      <c r="L65" s="3"/>
      <c r="M65" s="3"/>
      <c r="N65" s="3"/>
      <c r="O65" s="3"/>
      <c r="P65" s="3"/>
      <c r="Q65" s="3"/>
    </row>
    <row r="66" spans="1:17" x14ac:dyDescent="0.2">
      <c r="A66" s="3"/>
      <c r="B66" s="3"/>
      <c r="C66" s="3"/>
      <c r="D66" s="3"/>
      <c r="E66" s="3"/>
      <c r="F66" s="3"/>
      <c r="G66" s="3"/>
      <c r="H66" s="3"/>
      <c r="I66" s="3"/>
      <c r="J66" s="3"/>
      <c r="K66" s="3"/>
      <c r="L66" s="3"/>
      <c r="M66" s="3"/>
      <c r="N66" s="3"/>
      <c r="O66" s="3"/>
      <c r="P66" s="3"/>
      <c r="Q66" s="3"/>
    </row>
    <row r="67" spans="1:17" x14ac:dyDescent="0.2">
      <c r="A67" s="3"/>
      <c r="B67" s="3"/>
      <c r="C67" s="3"/>
      <c r="D67" s="3"/>
      <c r="E67" s="3"/>
      <c r="F67" s="3"/>
      <c r="G67" s="3"/>
      <c r="H67" s="3"/>
      <c r="I67" s="3"/>
      <c r="J67" s="3"/>
      <c r="K67" s="3"/>
      <c r="L67" s="3"/>
      <c r="M67" s="3"/>
      <c r="N67" s="3"/>
      <c r="O67" s="3"/>
      <c r="P67" s="3"/>
      <c r="Q67" s="3"/>
    </row>
    <row r="68" spans="1:17" x14ac:dyDescent="0.2">
      <c r="A68" s="3"/>
      <c r="B68" s="3"/>
      <c r="C68" s="3"/>
      <c r="D68" s="3"/>
      <c r="E68" s="3"/>
      <c r="F68" s="3"/>
      <c r="G68" s="3"/>
      <c r="H68" s="3"/>
      <c r="I68" s="3"/>
      <c r="J68" s="3"/>
      <c r="K68" s="3"/>
      <c r="L68" s="3"/>
      <c r="M68" s="3"/>
      <c r="N68" s="3"/>
      <c r="O68" s="3"/>
      <c r="P68" s="3"/>
      <c r="Q68" s="3"/>
    </row>
    <row r="69" spans="1:17" x14ac:dyDescent="0.2">
      <c r="A69" s="3"/>
      <c r="B69" s="3"/>
      <c r="C69" s="3"/>
      <c r="D69" s="3"/>
      <c r="E69" s="3"/>
      <c r="F69" s="3"/>
      <c r="G69" s="3"/>
      <c r="H69" s="3"/>
      <c r="I69" s="3"/>
      <c r="J69" s="3"/>
      <c r="K69" s="3"/>
      <c r="L69" s="3"/>
      <c r="M69" s="3"/>
      <c r="N69" s="3"/>
      <c r="O69" s="3"/>
      <c r="P69" s="3"/>
      <c r="Q69" s="3"/>
    </row>
    <row r="70" spans="1:17" x14ac:dyDescent="0.2">
      <c r="A70" s="3"/>
      <c r="B70" s="3"/>
      <c r="C70" s="3"/>
      <c r="D70" s="3"/>
      <c r="E70" s="3"/>
      <c r="F70" s="3"/>
      <c r="G70" s="3"/>
      <c r="H70" s="3"/>
      <c r="I70" s="3"/>
      <c r="J70" s="3"/>
      <c r="K70" s="3"/>
      <c r="L70" s="3"/>
      <c r="M70" s="3"/>
      <c r="N70" s="3"/>
      <c r="O70" s="3"/>
      <c r="P70" s="3"/>
      <c r="Q70" s="3"/>
    </row>
    <row r="71" spans="1:17" x14ac:dyDescent="0.2">
      <c r="A71" s="3"/>
      <c r="B71" s="3"/>
      <c r="C71" s="3"/>
      <c r="D71" s="3"/>
      <c r="E71" s="3"/>
      <c r="F71" s="3"/>
      <c r="G71" s="3"/>
      <c r="H71" s="3"/>
      <c r="I71" s="3"/>
      <c r="J71" s="3"/>
      <c r="K71" s="3"/>
      <c r="L71" s="3"/>
      <c r="M71" s="3"/>
      <c r="N71" s="3"/>
      <c r="O71" s="3"/>
      <c r="P71" s="3"/>
      <c r="Q71" s="3"/>
    </row>
    <row r="72" spans="1:17" x14ac:dyDescent="0.2">
      <c r="A72" s="13"/>
      <c r="B72" s="3"/>
      <c r="C72" s="3"/>
      <c r="D72" s="3"/>
      <c r="E72" s="3"/>
      <c r="F72" s="3"/>
      <c r="G72" s="3"/>
      <c r="H72" s="3"/>
      <c r="I72" s="3"/>
      <c r="J72" s="3"/>
      <c r="K72" s="3"/>
      <c r="L72" s="3"/>
      <c r="M72" s="3"/>
      <c r="N72" s="3"/>
      <c r="O72" s="3"/>
      <c r="P72" s="3"/>
      <c r="Q72" s="3"/>
    </row>
    <row r="73" spans="1:17" x14ac:dyDescent="0.2">
      <c r="A73" s="13"/>
      <c r="B73" s="3"/>
      <c r="C73" s="3"/>
      <c r="D73" s="3"/>
      <c r="E73" s="3"/>
      <c r="F73" s="3"/>
      <c r="G73" s="3"/>
      <c r="H73" s="3"/>
      <c r="I73" s="3"/>
      <c r="J73" s="3"/>
      <c r="K73" s="3"/>
      <c r="L73" s="3"/>
      <c r="M73" s="3"/>
      <c r="N73" s="3"/>
      <c r="O73" s="3"/>
      <c r="P73" s="3"/>
      <c r="Q73" s="3"/>
    </row>
    <row r="74" spans="1:17" x14ac:dyDescent="0.2">
      <c r="A74" s="3"/>
      <c r="B74" s="3"/>
      <c r="C74" s="3"/>
      <c r="D74" s="3"/>
      <c r="E74" s="3"/>
      <c r="F74" s="3"/>
      <c r="G74" s="3"/>
      <c r="H74" s="3"/>
      <c r="I74" s="3"/>
      <c r="J74" s="3"/>
      <c r="K74" s="3"/>
      <c r="L74" s="3"/>
      <c r="M74" s="3"/>
      <c r="N74" s="3"/>
      <c r="O74" s="3"/>
      <c r="P74" s="3"/>
      <c r="Q74" s="3"/>
    </row>
    <row r="75" spans="1:17" x14ac:dyDescent="0.2">
      <c r="A75" s="14"/>
      <c r="B75" s="3"/>
      <c r="C75" s="3"/>
      <c r="D75" s="3"/>
      <c r="E75" s="3"/>
      <c r="F75" s="3"/>
      <c r="G75" s="3"/>
      <c r="H75" s="3"/>
      <c r="I75" s="3"/>
      <c r="J75" s="3"/>
      <c r="K75" s="3"/>
      <c r="L75" s="3"/>
      <c r="M75" s="3"/>
      <c r="N75" s="3"/>
      <c r="O75" s="3"/>
      <c r="P75" s="3"/>
      <c r="Q75" s="3"/>
    </row>
    <row r="76" spans="1:17" x14ac:dyDescent="0.2">
      <c r="A76" s="1"/>
    </row>
  </sheetData>
  <conditionalFormatting sqref="G5:G47 I5:I48">
    <cfRule type="dataBar" priority="21">
      <dataBar>
        <cfvo type="min"/>
        <cfvo type="max"/>
        <color rgb="FF638EC6"/>
      </dataBar>
    </cfRule>
  </conditionalFormatting>
  <conditionalFormatting sqref="H5:H47">
    <cfRule type="dataBar" priority="25">
      <dataBar>
        <cfvo type="min"/>
        <cfvo type="max"/>
        <color rgb="FF638EC6"/>
      </dataBar>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39"/>
  <sheetViews>
    <sheetView topLeftCell="A98" workbookViewId="0">
      <selection activeCell="H130" sqref="H130"/>
    </sheetView>
  </sheetViews>
  <sheetFormatPr baseColWidth="10" defaultColWidth="8.83203125" defaultRowHeight="15" x14ac:dyDescent="0.2"/>
  <cols>
    <col min="1" max="16" width="12" customWidth="1"/>
  </cols>
  <sheetData>
    <row r="1" spans="1:8" ht="16" x14ac:dyDescent="0.2">
      <c r="A1" s="4" t="s">
        <v>1393</v>
      </c>
    </row>
    <row r="2" spans="1:8" x14ac:dyDescent="0.2">
      <c r="A2" t="s">
        <v>1394</v>
      </c>
    </row>
    <row r="3" spans="1:8" x14ac:dyDescent="0.2">
      <c r="A3" t="s">
        <v>1395</v>
      </c>
    </row>
    <row r="5" spans="1:8" ht="16" x14ac:dyDescent="0.2">
      <c r="A5" s="4" t="str">
        <f>HYPERLINK("https://github.com/amy-bo/electroPioreactor/blob/CO2-modular/Media/protocols/gerrit-current.md","ELECTROLYSIS CURRENT")</f>
        <v>ELECTROLYSIS CURRENT</v>
      </c>
    </row>
    <row r="6" spans="1:8" x14ac:dyDescent="0.2">
      <c r="A6" t="s">
        <v>1396</v>
      </c>
    </row>
    <row r="7" spans="1:8" x14ac:dyDescent="0.2">
      <c r="A7" s="16" t="s">
        <v>1397</v>
      </c>
      <c r="B7" s="16" t="s">
        <v>1398</v>
      </c>
      <c r="C7" s="16" t="s">
        <v>1</v>
      </c>
      <c r="D7" s="16" t="s">
        <v>1399</v>
      </c>
      <c r="E7" s="16" t="s">
        <v>1400</v>
      </c>
      <c r="F7" s="16" t="s">
        <v>1401</v>
      </c>
      <c r="G7" s="16" t="s">
        <v>1402</v>
      </c>
      <c r="H7" s="16" t="s">
        <v>1403</v>
      </c>
    </row>
    <row r="8" spans="1:8" x14ac:dyDescent="0.2">
      <c r="A8" s="122"/>
      <c r="B8" s="123"/>
      <c r="C8" s="122"/>
      <c r="D8" s="123"/>
      <c r="E8" s="123"/>
      <c r="F8" s="129" t="str">
        <f>IFERROR(VLOOKUP(C8,Geometry!$A$59:$B$80,2,FALSE),"")</f>
        <v/>
      </c>
      <c r="G8" s="122"/>
      <c r="H8" s="122"/>
    </row>
    <row r="9" spans="1:8" x14ac:dyDescent="0.2">
      <c r="A9" s="122"/>
      <c r="B9" s="123"/>
      <c r="C9" s="122"/>
      <c r="D9" s="123"/>
      <c r="E9" s="123"/>
      <c r="F9" s="129" t="str">
        <f>IFERROR(VLOOKUP(C9,Geometry!$A$59:$B$80,2,FALSE),"")</f>
        <v/>
      </c>
      <c r="G9" s="122"/>
      <c r="H9" s="122"/>
    </row>
    <row r="10" spans="1:8" x14ac:dyDescent="0.2">
      <c r="A10" s="122"/>
      <c r="B10" s="123"/>
      <c r="C10" s="122"/>
      <c r="D10" s="123"/>
      <c r="E10" s="123"/>
      <c r="F10" s="129" t="str">
        <f>IFERROR(VLOOKUP(C10,Geometry!$A$59:$B$80,2,FALSE),"")</f>
        <v/>
      </c>
      <c r="G10" s="122"/>
      <c r="H10" s="122"/>
    </row>
    <row r="11" spans="1:8" x14ac:dyDescent="0.2">
      <c r="A11" s="122"/>
      <c r="B11" s="123"/>
      <c r="C11" s="122"/>
      <c r="D11" s="123"/>
      <c r="E11" s="123"/>
      <c r="F11" s="129" t="str">
        <f>IFERROR(VLOOKUP(C11,Geometry!$A$59:$B$80,2,FALSE),"")</f>
        <v/>
      </c>
      <c r="G11" s="122"/>
      <c r="H11" s="122"/>
    </row>
    <row r="12" spans="1:8" x14ac:dyDescent="0.2">
      <c r="A12" s="122"/>
      <c r="B12" s="123"/>
      <c r="C12" s="122"/>
      <c r="D12" s="123"/>
      <c r="E12" s="123"/>
      <c r="F12" s="129" t="str">
        <f>IFERROR(VLOOKUP(C12,Geometry!$A$59:$B$80,2,FALSE),"")</f>
        <v/>
      </c>
      <c r="G12" s="122"/>
      <c r="H12" s="122"/>
    </row>
    <row r="13" spans="1:8" x14ac:dyDescent="0.2">
      <c r="A13" s="122"/>
      <c r="B13" s="123"/>
      <c r="C13" s="122"/>
      <c r="D13" s="123"/>
      <c r="E13" s="123"/>
      <c r="F13" s="129" t="str">
        <f>IFERROR(VLOOKUP(C13,Geometry!$A$59:$B$80,2,FALSE),"")</f>
        <v/>
      </c>
      <c r="G13" s="122"/>
      <c r="H13" s="122"/>
    </row>
    <row r="14" spans="1:8" x14ac:dyDescent="0.2">
      <c r="A14" s="122"/>
      <c r="B14" s="123"/>
      <c r="C14" s="122"/>
      <c r="D14" s="123"/>
      <c r="E14" s="123"/>
      <c r="F14" s="129" t="str">
        <f>IFERROR(VLOOKUP(C14,Geometry!$A$59:$B$80,2,FALSE),"")</f>
        <v/>
      </c>
      <c r="G14" s="122"/>
      <c r="H14" s="122"/>
    </row>
    <row r="15" spans="1:8" x14ac:dyDescent="0.2">
      <c r="A15" s="122"/>
      <c r="B15" s="123"/>
      <c r="C15" s="122"/>
      <c r="D15" s="123"/>
      <c r="E15" s="123"/>
      <c r="F15" s="129" t="str">
        <f>IFERROR(VLOOKUP(C15,Geometry!$A$59:$B$80,2,FALSE),"")</f>
        <v/>
      </c>
      <c r="G15" s="122"/>
      <c r="H15" s="122"/>
    </row>
    <row r="16" spans="1:8" x14ac:dyDescent="0.2">
      <c r="A16" s="17" t="s">
        <v>1404</v>
      </c>
      <c r="C16" s="19" t="s">
        <v>321</v>
      </c>
      <c r="D16" s="48" t="str">
        <f>IFERROR((COUNTIFS(C8:C15,Summary!$D$2,G8:G15,"y")*SUMPRODUCT((C8:C15=Summary!$D$2)*(G8:G15="y")*D8:D15*E8:E15)-SUMIFS(D8:D15,C8:C15,Summary!$D$2,G8:G15,"y")*SUMIFS(E8:E15,C8:C15,Summary!$D$2,G8:G15,"y"))/(COUNTIFS(C8:C15,Summary!$D$2,G8:G15,"y")*SUMPRODUCT((C8:C15=Summary!$D$2)*(G8:G15="y")*D8:D15*D8:D15)-SUMIFS(D8:D15,C8:C15,Summary!$D$2,G8:G15,"y")*SUMIFS(D8:D15,C8:C15,Summary!$D$2,G8:G15,"y")),"no included runs — model uses its default")</f>
        <v>no included runs — model uses its default</v>
      </c>
    </row>
    <row r="17" spans="1:13" x14ac:dyDescent="0.2">
      <c r="A17" s="17" t="s">
        <v>1405</v>
      </c>
      <c r="C17" s="19" t="s">
        <v>325</v>
      </c>
      <c r="D17" s="48" t="str">
        <f>IFERROR((SUMIFS(E8:E15,C8:C15,Summary!$D$2,G8:G15,"y")-((COUNTIFS(C8:C15,Summary!$D$2,G8:G15,"y")*SUMPRODUCT((C8:C15=Summary!$D$2)*(G8:G15="y")*D8:D15*E8:E15)-SUMIFS(D8:D15,C8:C15,Summary!$D$2,G8:G15,"y")*SUMIFS(E8:E15,C8:C15,Summary!$D$2,G8:G15,"y"))/(COUNTIFS(C8:C15,Summary!$D$2,G8:G15,"y")*SUMPRODUCT((C8:C15=Summary!$D$2)*(G8:G15="y")*D8:D15*D8:D15)-SUMIFS(D8:D15,C8:C15,Summary!$D$2,G8:G15,"y")*SUMIFS(D8:D15,C8:C15,Summary!$D$2,G8:G15,"y")))*SUMIFS(D8:D15,C8:C15,Summary!$D$2,G8:G15,"y"))/COUNTIFS(C8:C15,Summary!$D$2,G8:G15,"y"),"no included runs — model uses its default")</f>
        <v>no included runs — model uses its default</v>
      </c>
    </row>
    <row r="20" spans="1:13" ht="16" x14ac:dyDescent="0.2">
      <c r="A20" s="4" t="str">
        <f>HYPERLINK("https://github.com/amy-bo/electroPioreactor/blob/CO2-modular/Media/protocols/faradaic-efficiency.md","FARADAIC EFFICIENCY  (cathodic etaF, anodic etaF_OER)")</f>
        <v>FARADAIC EFFICIENCY  (cathodic etaF, anodic etaF_OER)</v>
      </c>
    </row>
    <row r="21" spans="1:13" x14ac:dyDescent="0.2">
      <c r="A21" t="s">
        <v>1923</v>
      </c>
    </row>
    <row r="22" spans="1:13" x14ac:dyDescent="0.2">
      <c r="A22" s="16" t="s">
        <v>1397</v>
      </c>
      <c r="B22" s="16" t="s">
        <v>1398</v>
      </c>
      <c r="C22" s="16" t="s">
        <v>1</v>
      </c>
      <c r="D22" s="16" t="s">
        <v>1406</v>
      </c>
      <c r="E22" s="16" t="s">
        <v>1407</v>
      </c>
      <c r="F22" s="16" t="s">
        <v>1408</v>
      </c>
      <c r="G22" s="16" t="s">
        <v>1409</v>
      </c>
      <c r="H22" s="16" t="s">
        <v>33</v>
      </c>
      <c r="I22" s="16" t="s">
        <v>1410</v>
      </c>
      <c r="J22" s="16" t="s">
        <v>1401</v>
      </c>
      <c r="K22" s="16" t="s">
        <v>1402</v>
      </c>
      <c r="L22" s="16" t="s">
        <v>1403</v>
      </c>
    </row>
    <row r="23" spans="1:13" x14ac:dyDescent="0.2">
      <c r="A23" s="122"/>
      <c r="B23" s="123"/>
      <c r="C23" s="122"/>
      <c r="D23" s="123"/>
      <c r="E23" s="123"/>
      <c r="F23" s="123"/>
      <c r="G23" s="123"/>
      <c r="H23" s="123"/>
      <c r="I23" s="129" t="str">
        <f>IFERROR(((G23-'Mass Transfer'!$D$206)*(E23/1000000)/('Mass Transfer'!$D$101*(F23+273.15)))/(D23/(IF(H23="H2",2,4)*Electrochemistry!$D$15)),"")</f>
        <v/>
      </c>
      <c r="J23" s="129" t="str">
        <f>IFERROR(VLOOKUP(C23,Geometry!$A$59:$B$80,2,FALSE),"")</f>
        <v/>
      </c>
      <c r="K23" s="122"/>
      <c r="L23" s="122"/>
      <c r="M23" s="97"/>
    </row>
    <row r="24" spans="1:13" x14ac:dyDescent="0.2">
      <c r="A24" s="122"/>
      <c r="B24" s="123"/>
      <c r="C24" s="122"/>
      <c r="D24" s="123"/>
      <c r="E24" s="123"/>
      <c r="F24" s="123"/>
      <c r="G24" s="123"/>
      <c r="H24" s="123"/>
      <c r="I24" s="129" t="str">
        <f>IFERROR(((G24-'Mass Transfer'!$D$206)*(E24/1000000)/('Mass Transfer'!$D$101*(F24+273.15)))/(D24/(IF(H24="H2",2,4)*Electrochemistry!$D$15)),"")</f>
        <v/>
      </c>
      <c r="J24" s="129" t="str">
        <f>IFERROR(VLOOKUP(C24,Geometry!$A$59:$B$80,2,FALSE),"")</f>
        <v/>
      </c>
      <c r="K24" s="122"/>
      <c r="L24" s="122"/>
      <c r="M24" s="97"/>
    </row>
    <row r="25" spans="1:13" x14ac:dyDescent="0.2">
      <c r="A25" s="122"/>
      <c r="B25" s="123"/>
      <c r="C25" s="122"/>
      <c r="D25" s="123"/>
      <c r="E25" s="123"/>
      <c r="F25" s="123"/>
      <c r="G25" s="123"/>
      <c r="H25" s="123"/>
      <c r="I25" s="129" t="str">
        <f>IFERROR(((G25-'Mass Transfer'!$D$206)*(E25/1000000)/('Mass Transfer'!$D$101*(F25+273.15)))/(D25/(IF(H25="H2",2,4)*Electrochemistry!$D$15)),"")</f>
        <v/>
      </c>
      <c r="J25" s="129" t="str">
        <f>IFERROR(VLOOKUP(C25,Geometry!$A$59:$B$80,2,FALSE),"")</f>
        <v/>
      </c>
      <c r="K25" s="122"/>
      <c r="L25" s="122"/>
      <c r="M25" s="97"/>
    </row>
    <row r="26" spans="1:13" x14ac:dyDescent="0.2">
      <c r="A26" s="122"/>
      <c r="B26" s="123"/>
      <c r="C26" s="122"/>
      <c r="D26" s="123"/>
      <c r="E26" s="123"/>
      <c r="F26" s="123"/>
      <c r="G26" s="123"/>
      <c r="H26" s="123"/>
      <c r="I26" s="129" t="str">
        <f>IFERROR(((G26-'Mass Transfer'!$D$206)*(E26/1000000)/('Mass Transfer'!$D$101*(F26+273.15)))/(D26/(IF(H26="H2",2,4)*Electrochemistry!$D$15)),"")</f>
        <v/>
      </c>
      <c r="J26" s="129" t="str">
        <f>IFERROR(VLOOKUP(C26,Geometry!$A$59:$B$80,2,FALSE),"")</f>
        <v/>
      </c>
      <c r="K26" s="122"/>
      <c r="L26" s="122"/>
      <c r="M26" s="97"/>
    </row>
    <row r="27" spans="1:13" x14ac:dyDescent="0.2">
      <c r="A27" s="122"/>
      <c r="B27" s="123"/>
      <c r="C27" s="122"/>
      <c r="D27" s="123"/>
      <c r="E27" s="123"/>
      <c r="F27" s="123"/>
      <c r="G27" s="123"/>
      <c r="H27" s="123"/>
      <c r="I27" s="129" t="str">
        <f>IFERROR(((G27-'Mass Transfer'!$D$206)*(E27/1000000)/('Mass Transfer'!$D$101*(F27+273.15)))/(D27/(IF(H27="H2",2,4)*Electrochemistry!$D$15)),"")</f>
        <v/>
      </c>
      <c r="J27" s="129" t="str">
        <f>IFERROR(VLOOKUP(C27,Geometry!$A$59:$B$80,2,FALSE),"")</f>
        <v/>
      </c>
      <c r="K27" s="122"/>
      <c r="L27" s="122"/>
      <c r="M27" s="97"/>
    </row>
    <row r="28" spans="1:13" x14ac:dyDescent="0.2">
      <c r="A28" s="122"/>
      <c r="B28" s="123"/>
      <c r="C28" s="122"/>
      <c r="D28" s="123"/>
      <c r="E28" s="123"/>
      <c r="F28" s="123"/>
      <c r="G28" s="123"/>
      <c r="H28" s="123"/>
      <c r="I28" s="129" t="str">
        <f>IFERROR(((G28-'Mass Transfer'!$D$206)*(E28/1000000)/('Mass Transfer'!$D$101*(F28+273.15)))/(D28/(IF(H28="H2",2,4)*Electrochemistry!$D$15)),"")</f>
        <v/>
      </c>
      <c r="J28" s="129" t="str">
        <f>IFERROR(VLOOKUP(C28,Geometry!$A$59:$B$80,2,FALSE),"")</f>
        <v/>
      </c>
      <c r="K28" s="122"/>
      <c r="L28" s="122"/>
      <c r="M28" s="97"/>
    </row>
    <row r="29" spans="1:13" x14ac:dyDescent="0.2">
      <c r="A29" s="122"/>
      <c r="B29" s="123"/>
      <c r="C29" s="122"/>
      <c r="D29" s="123"/>
      <c r="E29" s="123"/>
      <c r="F29" s="123"/>
      <c r="G29" s="123"/>
      <c r="H29" s="123"/>
      <c r="I29" s="129" t="str">
        <f>IFERROR(((G29-'Mass Transfer'!$D$206)*(E29/1000000)/('Mass Transfer'!$D$101*(F29+273.15)))/(D29/(IF(H29="H2",2,4)*Electrochemistry!$D$15)),"")</f>
        <v/>
      </c>
      <c r="J29" s="129" t="str">
        <f>IFERROR(VLOOKUP(C29,Geometry!$A$59:$B$80,2,FALSE),"")</f>
        <v/>
      </c>
      <c r="K29" s="122"/>
      <c r="L29" s="122"/>
      <c r="M29" s="97"/>
    </row>
    <row r="30" spans="1:13" x14ac:dyDescent="0.2">
      <c r="A30" s="122"/>
      <c r="B30" s="123"/>
      <c r="C30" s="122"/>
      <c r="D30" s="123"/>
      <c r="E30" s="123"/>
      <c r="F30" s="123"/>
      <c r="G30" s="123"/>
      <c r="H30" s="123"/>
      <c r="I30" s="129" t="str">
        <f>IFERROR(((G30-'Mass Transfer'!$D$206)*(E30/1000000)/('Mass Transfer'!$D$101*(F30+273.15)))/(D30/(IF(H30="H2",2,4)*Electrochemistry!$D$15)),"")</f>
        <v/>
      </c>
      <c r="J30" s="129" t="str">
        <f>IFERROR(VLOOKUP(C30,Geometry!$A$59:$B$80,2,FALSE),"")</f>
        <v/>
      </c>
      <c r="K30" s="122"/>
      <c r="L30" s="122"/>
      <c r="M30" s="97"/>
    </row>
    <row r="31" spans="1:13" x14ac:dyDescent="0.2">
      <c r="A31" s="125" t="s">
        <v>1411</v>
      </c>
      <c r="B31" s="97"/>
      <c r="C31" s="126" t="s">
        <v>135</v>
      </c>
      <c r="D31" s="124" t="str">
        <f>IFERROR(AVERAGEIFS(I23:I30,C23:C30,Summary!$D$2,K23:K30,"y",H23:H30,"H2"),"no included runs — model uses its default")</f>
        <v>no included runs — model uses its default</v>
      </c>
      <c r="E31" s="97"/>
      <c r="F31" s="97"/>
      <c r="G31" s="97"/>
      <c r="H31" s="97"/>
      <c r="I31" s="97"/>
      <c r="J31" s="97"/>
      <c r="K31" s="97"/>
      <c r="L31" s="97"/>
      <c r="M31" s="97"/>
    </row>
    <row r="32" spans="1:13" x14ac:dyDescent="0.2">
      <c r="A32" s="125" t="s">
        <v>1412</v>
      </c>
      <c r="B32" s="97"/>
      <c r="C32" s="126" t="s">
        <v>135</v>
      </c>
      <c r="D32" s="124" t="str">
        <f>IFERROR(AVERAGEIFS(I23:I30,C23:C30,Summary!$D$2,K23:K30,"y",H23:H30,"O2"),"no included runs — model uses its default")</f>
        <v>no included runs — model uses its default</v>
      </c>
      <c r="E32" s="97"/>
      <c r="F32" s="97"/>
      <c r="G32" s="97"/>
      <c r="H32" s="97"/>
      <c r="I32" s="97"/>
      <c r="J32" s="97"/>
      <c r="K32" s="97"/>
      <c r="L32" s="97"/>
      <c r="M32" s="97"/>
    </row>
    <row r="33" spans="1:13" x14ac:dyDescent="0.2">
      <c r="A33" s="97"/>
      <c r="B33" s="97"/>
      <c r="C33" s="97"/>
      <c r="D33" s="97"/>
      <c r="E33" s="97"/>
      <c r="F33" s="97"/>
      <c r="G33" s="97"/>
      <c r="H33" s="97"/>
      <c r="I33" s="97"/>
      <c r="J33" s="97"/>
      <c r="K33" s="97"/>
      <c r="L33" s="97"/>
      <c r="M33" s="97"/>
    </row>
    <row r="34" spans="1:13" x14ac:dyDescent="0.2">
      <c r="A34" s="97"/>
      <c r="B34" s="97"/>
      <c r="C34" s="97"/>
      <c r="D34" s="97"/>
      <c r="E34" s="97"/>
      <c r="F34" s="97"/>
      <c r="G34" s="97"/>
      <c r="H34" s="97"/>
      <c r="I34" s="97"/>
      <c r="J34" s="97"/>
      <c r="K34" s="97"/>
      <c r="L34" s="97"/>
      <c r="M34" s="97"/>
    </row>
    <row r="35" spans="1:13" ht="16" x14ac:dyDescent="0.2">
      <c r="A35" s="127" t="str">
        <f>HYPERLINK("https://github.com/amy-bo/electroPioreactor/blob/CO2-modular/Media/protocols/surface-kla.md","SURFACE kLa  (oxygen surface transfer)")</f>
        <v>SURFACE kLa  (oxygen surface transfer)</v>
      </c>
      <c r="B35" s="97"/>
      <c r="C35" s="97"/>
      <c r="D35" s="97"/>
      <c r="E35" s="97"/>
      <c r="F35" s="97"/>
      <c r="G35" s="97"/>
      <c r="H35" s="97"/>
      <c r="I35" s="97"/>
      <c r="J35" s="97"/>
      <c r="K35" s="97"/>
      <c r="L35" s="97"/>
      <c r="M35" s="97"/>
    </row>
    <row r="36" spans="1:13" x14ac:dyDescent="0.2">
      <c r="A36" s="97" t="s">
        <v>1413</v>
      </c>
      <c r="B36" s="97"/>
      <c r="C36" s="97"/>
      <c r="D36" s="97"/>
      <c r="E36" s="97"/>
      <c r="F36" s="97"/>
      <c r="G36" s="97"/>
      <c r="H36" s="97"/>
      <c r="I36" s="97"/>
      <c r="J36" s="97"/>
      <c r="K36" s="97"/>
      <c r="L36" s="97"/>
      <c r="M36" s="97"/>
    </row>
    <row r="37" spans="1:13" x14ac:dyDescent="0.2">
      <c r="A37" s="128" t="s">
        <v>1397</v>
      </c>
      <c r="B37" s="128" t="s">
        <v>1398</v>
      </c>
      <c r="C37" s="128" t="s">
        <v>1</v>
      </c>
      <c r="D37" s="128" t="s">
        <v>1414</v>
      </c>
      <c r="E37" s="128" t="s">
        <v>1401</v>
      </c>
      <c r="F37" s="128" t="s">
        <v>1402</v>
      </c>
      <c r="G37" s="128" t="s">
        <v>1403</v>
      </c>
      <c r="H37" s="97"/>
      <c r="I37" s="97"/>
      <c r="J37" s="97"/>
      <c r="K37" s="97"/>
      <c r="L37" s="97"/>
      <c r="M37" s="97"/>
    </row>
    <row r="38" spans="1:13" x14ac:dyDescent="0.2">
      <c r="A38" s="122"/>
      <c r="B38" s="123"/>
      <c r="C38" s="122"/>
      <c r="D38" s="123"/>
      <c r="E38" s="129" t="str">
        <f>IFERROR(VLOOKUP(C38,Geometry!$A$59:$B$80,2,FALSE),"")</f>
        <v/>
      </c>
      <c r="F38" s="122"/>
      <c r="G38" s="122"/>
      <c r="H38" s="97"/>
      <c r="I38" s="97"/>
      <c r="J38" s="97"/>
      <c r="K38" s="97"/>
      <c r="L38" s="97"/>
      <c r="M38" s="97"/>
    </row>
    <row r="39" spans="1:13" x14ac:dyDescent="0.2">
      <c r="A39" s="122"/>
      <c r="B39" s="123"/>
      <c r="C39" s="122"/>
      <c r="D39" s="123"/>
      <c r="E39" s="129" t="str">
        <f>IFERROR(VLOOKUP(C39,Geometry!$A$59:$B$80,2,FALSE),"")</f>
        <v/>
      </c>
      <c r="F39" s="122"/>
      <c r="G39" s="122"/>
      <c r="H39" s="97"/>
      <c r="I39" s="97"/>
      <c r="J39" s="97"/>
      <c r="K39" s="97"/>
      <c r="L39" s="97"/>
      <c r="M39" s="97"/>
    </row>
    <row r="40" spans="1:13" x14ac:dyDescent="0.2">
      <c r="A40" s="122"/>
      <c r="B40" s="123"/>
      <c r="C40" s="122"/>
      <c r="D40" s="123"/>
      <c r="E40" s="129" t="str">
        <f>IFERROR(VLOOKUP(C40,Geometry!$A$59:$B$80,2,FALSE),"")</f>
        <v/>
      </c>
      <c r="F40" s="122"/>
      <c r="G40" s="122"/>
      <c r="H40" s="97"/>
      <c r="I40" s="97"/>
      <c r="J40" s="97"/>
      <c r="K40" s="97"/>
      <c r="L40" s="97"/>
      <c r="M40" s="97"/>
    </row>
    <row r="41" spans="1:13" x14ac:dyDescent="0.2">
      <c r="A41" s="122"/>
      <c r="B41" s="123"/>
      <c r="C41" s="122"/>
      <c r="D41" s="123"/>
      <c r="E41" s="129" t="str">
        <f>IFERROR(VLOOKUP(C41,Geometry!$A$59:$B$80,2,FALSE),"")</f>
        <v/>
      </c>
      <c r="F41" s="122"/>
      <c r="G41" s="122"/>
      <c r="H41" s="97"/>
      <c r="I41" s="97"/>
      <c r="J41" s="97"/>
      <c r="K41" s="97"/>
      <c r="L41" s="97"/>
      <c r="M41" s="97"/>
    </row>
    <row r="42" spans="1:13" x14ac:dyDescent="0.2">
      <c r="A42" s="122"/>
      <c r="B42" s="123"/>
      <c r="C42" s="122"/>
      <c r="D42" s="123"/>
      <c r="E42" s="129" t="str">
        <f>IFERROR(VLOOKUP(C42,Geometry!$A$59:$B$80,2,FALSE),"")</f>
        <v/>
      </c>
      <c r="F42" s="122"/>
      <c r="G42" s="122"/>
      <c r="H42" s="97"/>
      <c r="I42" s="97"/>
      <c r="J42" s="97"/>
      <c r="K42" s="97"/>
      <c r="L42" s="97"/>
      <c r="M42" s="97"/>
    </row>
    <row r="43" spans="1:13" x14ac:dyDescent="0.2">
      <c r="A43" s="122"/>
      <c r="B43" s="123"/>
      <c r="C43" s="122"/>
      <c r="D43" s="123"/>
      <c r="E43" s="129" t="str">
        <f>IFERROR(VLOOKUP(C43,Geometry!$A$59:$B$80,2,FALSE),"")</f>
        <v/>
      </c>
      <c r="F43" s="122"/>
      <c r="G43" s="122"/>
      <c r="H43" s="97"/>
      <c r="I43" s="97"/>
      <c r="J43" s="97"/>
      <c r="K43" s="97"/>
      <c r="L43" s="97"/>
      <c r="M43" s="97"/>
    </row>
    <row r="44" spans="1:13" x14ac:dyDescent="0.2">
      <c r="A44" s="122"/>
      <c r="B44" s="123"/>
      <c r="C44" s="122"/>
      <c r="D44" s="123"/>
      <c r="E44" s="129" t="str">
        <f>IFERROR(VLOOKUP(C44,Geometry!$A$59:$B$80,2,FALSE),"")</f>
        <v/>
      </c>
      <c r="F44" s="122"/>
      <c r="G44" s="122"/>
      <c r="H44" s="97"/>
      <c r="I44" s="97"/>
      <c r="J44" s="97"/>
      <c r="K44" s="97"/>
      <c r="L44" s="97"/>
      <c r="M44" s="97"/>
    </row>
    <row r="45" spans="1:13" x14ac:dyDescent="0.2">
      <c r="A45" s="122"/>
      <c r="B45" s="123"/>
      <c r="C45" s="122"/>
      <c r="D45" s="123"/>
      <c r="E45" s="129" t="str">
        <f>IFERROR(VLOOKUP(C45,Geometry!$A$59:$B$80,2,FALSE),"")</f>
        <v/>
      </c>
      <c r="F45" s="122"/>
      <c r="G45" s="122"/>
      <c r="H45" s="97"/>
      <c r="I45" s="97"/>
      <c r="J45" s="97"/>
      <c r="K45" s="97"/>
      <c r="L45" s="97"/>
      <c r="M45" s="97"/>
    </row>
    <row r="46" spans="1:13" x14ac:dyDescent="0.2">
      <c r="A46" s="125" t="s">
        <v>1415</v>
      </c>
      <c r="B46" s="97"/>
      <c r="C46" s="126" t="s">
        <v>507</v>
      </c>
      <c r="D46" s="124" t="str">
        <f>IFERROR(AVERAGEIFS(D38:D45,C38:C45,Summary!$D$2,F38:F45,"y"),"no included runs — model uses its default")</f>
        <v>no included runs — model uses its default</v>
      </c>
      <c r="E46" s="97"/>
      <c r="F46" s="97"/>
      <c r="G46" s="97"/>
      <c r="H46" s="97"/>
      <c r="I46" s="97"/>
      <c r="J46" s="97"/>
      <c r="K46" s="97"/>
      <c r="L46" s="97"/>
      <c r="M46" s="97"/>
    </row>
    <row r="47" spans="1:13" x14ac:dyDescent="0.2">
      <c r="A47" s="97"/>
      <c r="B47" s="97"/>
      <c r="C47" s="97"/>
      <c r="D47" s="97"/>
      <c r="E47" s="97"/>
      <c r="F47" s="97"/>
      <c r="G47" s="97"/>
      <c r="H47" s="97"/>
      <c r="I47" s="97"/>
      <c r="J47" s="97"/>
      <c r="K47" s="97"/>
      <c r="L47" s="97"/>
      <c r="M47" s="97"/>
    </row>
    <row r="48" spans="1:13" x14ac:dyDescent="0.2">
      <c r="A48" s="97"/>
      <c r="B48" s="97"/>
      <c r="C48" s="97"/>
      <c r="D48" s="97"/>
      <c r="E48" s="97"/>
      <c r="F48" s="97"/>
      <c r="G48" s="97"/>
      <c r="H48" s="97"/>
      <c r="I48" s="97"/>
      <c r="J48" s="97"/>
      <c r="K48" s="97"/>
      <c r="L48" s="97"/>
      <c r="M48" s="97"/>
    </row>
    <row r="49" spans="1:13" ht="16" x14ac:dyDescent="0.2">
      <c r="A49" s="127" t="str">
        <f>HYPERLINK("https://github.com/amy-bo/electroPioreactor/blob/CO2-modular/Media/protocols/flow-calibration.md","CO2 FLOW  (dosing flow rate)")</f>
        <v>CO2 FLOW  (dosing flow rate)</v>
      </c>
      <c r="B49" s="97"/>
      <c r="C49" s="97"/>
      <c r="D49" s="97"/>
      <c r="E49" s="97"/>
      <c r="F49" s="97"/>
      <c r="G49" s="97"/>
      <c r="H49" s="97"/>
      <c r="I49" s="97"/>
      <c r="J49" s="97"/>
      <c r="K49" s="97"/>
      <c r="L49" s="97"/>
      <c r="M49" s="97"/>
    </row>
    <row r="50" spans="1:13" x14ac:dyDescent="0.2">
      <c r="A50" s="97" t="s">
        <v>1416</v>
      </c>
      <c r="B50" s="97"/>
      <c r="C50" s="97"/>
      <c r="D50" s="97"/>
      <c r="E50" s="97"/>
      <c r="F50" s="97"/>
      <c r="G50" s="97"/>
      <c r="H50" s="97"/>
      <c r="I50" s="97"/>
      <c r="J50" s="97"/>
      <c r="K50" s="97"/>
      <c r="L50" s="97"/>
      <c r="M50" s="97"/>
    </row>
    <row r="51" spans="1:13" x14ac:dyDescent="0.2">
      <c r="A51" s="128" t="s">
        <v>1397</v>
      </c>
      <c r="B51" s="128" t="s">
        <v>1398</v>
      </c>
      <c r="C51" s="128" t="s">
        <v>1</v>
      </c>
      <c r="D51" s="128" t="s">
        <v>1417</v>
      </c>
      <c r="E51" s="128" t="s">
        <v>1418</v>
      </c>
      <c r="F51" s="128" t="s">
        <v>1419</v>
      </c>
      <c r="G51" s="128" t="s">
        <v>1401</v>
      </c>
      <c r="H51" s="128" t="s">
        <v>1402</v>
      </c>
      <c r="I51" s="128" t="s">
        <v>1403</v>
      </c>
      <c r="J51" s="97"/>
      <c r="K51" s="97"/>
      <c r="L51" s="97"/>
      <c r="M51" s="97"/>
    </row>
    <row r="52" spans="1:13" x14ac:dyDescent="0.2">
      <c r="A52" s="122"/>
      <c r="B52" s="123"/>
      <c r="C52" s="122"/>
      <c r="D52" s="123"/>
      <c r="E52" s="123"/>
      <c r="F52" s="129" t="str">
        <f t="shared" ref="F52:F59" si="0">IFERROR(D52/E52,"")</f>
        <v/>
      </c>
      <c r="G52" s="129" t="str">
        <f>IFERROR(VLOOKUP(C52,Geometry!$A$59:$B$80,2,FALSE),"")</f>
        <v/>
      </c>
      <c r="H52" s="122"/>
      <c r="I52" s="122"/>
      <c r="J52" s="97"/>
      <c r="K52" s="97"/>
      <c r="L52" s="97"/>
      <c r="M52" s="97"/>
    </row>
    <row r="53" spans="1:13" x14ac:dyDescent="0.2">
      <c r="A53" s="122"/>
      <c r="B53" s="123"/>
      <c r="C53" s="122"/>
      <c r="D53" s="123"/>
      <c r="E53" s="123"/>
      <c r="F53" s="129" t="str">
        <f t="shared" si="0"/>
        <v/>
      </c>
      <c r="G53" s="129" t="str">
        <f>IFERROR(VLOOKUP(C53,Geometry!$A$59:$B$80,2,FALSE),"")</f>
        <v/>
      </c>
      <c r="H53" s="122"/>
      <c r="I53" s="122"/>
      <c r="J53" s="97"/>
      <c r="K53" s="97"/>
      <c r="L53" s="97"/>
      <c r="M53" s="97"/>
    </row>
    <row r="54" spans="1:13" x14ac:dyDescent="0.2">
      <c r="A54" s="122"/>
      <c r="B54" s="123"/>
      <c r="C54" s="122"/>
      <c r="D54" s="123"/>
      <c r="E54" s="123"/>
      <c r="F54" s="129" t="str">
        <f t="shared" si="0"/>
        <v/>
      </c>
      <c r="G54" s="129" t="str">
        <f>IFERROR(VLOOKUP(C54,Geometry!$A$59:$B$80,2,FALSE),"")</f>
        <v/>
      </c>
      <c r="H54" s="122"/>
      <c r="I54" s="122"/>
      <c r="J54" s="97"/>
      <c r="K54" s="97"/>
      <c r="L54" s="97"/>
      <c r="M54" s="97"/>
    </row>
    <row r="55" spans="1:13" x14ac:dyDescent="0.2">
      <c r="A55" s="122"/>
      <c r="B55" s="123"/>
      <c r="C55" s="122"/>
      <c r="D55" s="123"/>
      <c r="E55" s="123"/>
      <c r="F55" s="129" t="str">
        <f t="shared" si="0"/>
        <v/>
      </c>
      <c r="G55" s="129" t="str">
        <f>IFERROR(VLOOKUP(C55,Geometry!$A$59:$B$80,2,FALSE),"")</f>
        <v/>
      </c>
      <c r="H55" s="122"/>
      <c r="I55" s="122"/>
      <c r="J55" s="97"/>
      <c r="K55" s="97"/>
      <c r="L55" s="97"/>
      <c r="M55" s="97"/>
    </row>
    <row r="56" spans="1:13" x14ac:dyDescent="0.2">
      <c r="A56" s="122"/>
      <c r="B56" s="123"/>
      <c r="C56" s="122"/>
      <c r="D56" s="123"/>
      <c r="E56" s="123"/>
      <c r="F56" s="129" t="str">
        <f t="shared" si="0"/>
        <v/>
      </c>
      <c r="G56" s="129" t="str">
        <f>IFERROR(VLOOKUP(C56,Geometry!$A$59:$B$80,2,FALSE),"")</f>
        <v/>
      </c>
      <c r="H56" s="122"/>
      <c r="I56" s="122"/>
      <c r="J56" s="97"/>
      <c r="K56" s="97"/>
      <c r="L56" s="97"/>
      <c r="M56" s="97"/>
    </row>
    <row r="57" spans="1:13" x14ac:dyDescent="0.2">
      <c r="A57" s="122"/>
      <c r="B57" s="123"/>
      <c r="C57" s="122"/>
      <c r="D57" s="123"/>
      <c r="E57" s="123"/>
      <c r="F57" s="129" t="str">
        <f t="shared" si="0"/>
        <v/>
      </c>
      <c r="G57" s="129" t="str">
        <f>IFERROR(VLOOKUP(C57,Geometry!$A$59:$B$80,2,FALSE),"")</f>
        <v/>
      </c>
      <c r="H57" s="122"/>
      <c r="I57" s="122"/>
      <c r="J57" s="97"/>
      <c r="K57" s="97"/>
      <c r="L57" s="97"/>
      <c r="M57" s="97"/>
    </row>
    <row r="58" spans="1:13" x14ac:dyDescent="0.2">
      <c r="A58" s="122"/>
      <c r="B58" s="123"/>
      <c r="C58" s="122"/>
      <c r="D58" s="123"/>
      <c r="E58" s="123"/>
      <c r="F58" s="129" t="str">
        <f t="shared" si="0"/>
        <v/>
      </c>
      <c r="G58" s="129" t="str">
        <f>IFERROR(VLOOKUP(C58,Geometry!$A$59:$B$80,2,FALSE),"")</f>
        <v/>
      </c>
      <c r="H58" s="122"/>
      <c r="I58" s="122"/>
      <c r="J58" s="97"/>
      <c r="K58" s="97"/>
      <c r="L58" s="97"/>
      <c r="M58" s="97"/>
    </row>
    <row r="59" spans="1:13" x14ac:dyDescent="0.2">
      <c r="A59" s="122"/>
      <c r="B59" s="123"/>
      <c r="C59" s="122"/>
      <c r="D59" s="123"/>
      <c r="E59" s="123"/>
      <c r="F59" s="129" t="str">
        <f t="shared" si="0"/>
        <v/>
      </c>
      <c r="G59" s="129" t="str">
        <f>IFERROR(VLOOKUP(C59,Geometry!$A$59:$B$80,2,FALSE),"")</f>
        <v/>
      </c>
      <c r="H59" s="122"/>
      <c r="I59" s="122"/>
      <c r="J59" s="97"/>
      <c r="K59" s="97"/>
      <c r="L59" s="97"/>
      <c r="M59" s="97"/>
    </row>
    <row r="60" spans="1:13" x14ac:dyDescent="0.2">
      <c r="A60" s="125" t="s">
        <v>1420</v>
      </c>
      <c r="B60" s="97"/>
      <c r="C60" s="126" t="s">
        <v>1421</v>
      </c>
      <c r="D60" s="124" t="str">
        <f>IFERROR(AVERAGEIFS(F52:F59,C52:C59,Summary!$D$2,H52:H59,"y",B52:B59,SUMPRODUCT(MAX((C52:C59=Summary!$D$2)*(H52:H59="y")*B52:B59))),"no included runs — model uses its default")</f>
        <v>no included runs — model uses its default</v>
      </c>
      <c r="E60" s="97"/>
      <c r="F60" s="97"/>
      <c r="G60" s="97"/>
      <c r="H60" s="97"/>
      <c r="I60" s="97"/>
      <c r="J60" s="97"/>
      <c r="K60" s="97"/>
      <c r="L60" s="97"/>
      <c r="M60" s="97"/>
    </row>
    <row r="61" spans="1:13" x14ac:dyDescent="0.2">
      <c r="A61" s="97"/>
      <c r="B61" s="97"/>
      <c r="C61" s="97"/>
      <c r="D61" s="97"/>
      <c r="E61" s="97"/>
      <c r="F61" s="97"/>
      <c r="G61" s="97"/>
      <c r="H61" s="97"/>
      <c r="I61" s="97"/>
      <c r="J61" s="97"/>
      <c r="K61" s="97"/>
      <c r="L61" s="97"/>
      <c r="M61" s="97"/>
    </row>
    <row r="62" spans="1:13" x14ac:dyDescent="0.2">
      <c r="A62" s="97"/>
      <c r="B62" s="97"/>
      <c r="C62" s="97"/>
      <c r="D62" s="97"/>
      <c r="E62" s="97"/>
      <c r="F62" s="97"/>
      <c r="G62" s="97"/>
      <c r="H62" s="97"/>
      <c r="I62" s="97"/>
      <c r="J62" s="97"/>
      <c r="K62" s="97"/>
      <c r="L62" s="97"/>
      <c r="M62" s="97"/>
    </row>
    <row r="63" spans="1:13" ht="16" x14ac:dyDescent="0.2">
      <c r="A63" s="127" t="str">
        <f>HYPERLINK("https://github.com/amy-bo/electroPioreactor/blob/CO2-modular/Media/protocols/vial-geometry.md","VIAL GEOMETRY  (true volume &amp; bore depth)")</f>
        <v>VIAL GEOMETRY  (true volume &amp; bore depth)</v>
      </c>
      <c r="B63" s="97"/>
      <c r="C63" s="97"/>
      <c r="D63" s="97"/>
      <c r="E63" s="97"/>
      <c r="F63" s="97"/>
      <c r="G63" s="97"/>
      <c r="H63" s="97"/>
      <c r="I63" s="97"/>
      <c r="J63" s="97"/>
      <c r="K63" s="97"/>
      <c r="L63" s="97"/>
      <c r="M63" s="97"/>
    </row>
    <row r="64" spans="1:13" x14ac:dyDescent="0.2">
      <c r="A64" s="97" t="s">
        <v>1422</v>
      </c>
      <c r="B64" s="97"/>
      <c r="C64" s="97"/>
      <c r="D64" s="97"/>
      <c r="E64" s="97"/>
      <c r="F64" s="97"/>
      <c r="G64" s="97"/>
      <c r="H64" s="97"/>
      <c r="I64" s="97"/>
      <c r="J64" s="97"/>
      <c r="K64" s="97"/>
      <c r="L64" s="97"/>
      <c r="M64" s="97"/>
    </row>
    <row r="65" spans="1:13" x14ac:dyDescent="0.2">
      <c r="A65" s="128" t="s">
        <v>1397</v>
      </c>
      <c r="B65" s="128" t="s">
        <v>1398</v>
      </c>
      <c r="C65" s="128" t="s">
        <v>1</v>
      </c>
      <c r="D65" s="128" t="s">
        <v>1423</v>
      </c>
      <c r="E65" s="128" t="s">
        <v>1424</v>
      </c>
      <c r="F65" s="128" t="s">
        <v>1408</v>
      </c>
      <c r="G65" s="128" t="s">
        <v>1425</v>
      </c>
      <c r="H65" s="128" t="s">
        <v>1426</v>
      </c>
      <c r="I65" s="128" t="s">
        <v>1401</v>
      </c>
      <c r="J65" s="128" t="s">
        <v>1402</v>
      </c>
      <c r="K65" s="128" t="s">
        <v>1403</v>
      </c>
      <c r="L65" s="97"/>
      <c r="M65" s="97"/>
    </row>
    <row r="66" spans="1:13" x14ac:dyDescent="0.2">
      <c r="A66" s="122"/>
      <c r="B66" s="123"/>
      <c r="C66" s="122"/>
      <c r="D66" s="123"/>
      <c r="E66" s="123"/>
      <c r="F66" s="123"/>
      <c r="G66" s="129">
        <f t="shared" ref="G66:G73" si="1">IFERROR(E66/(0.99705-0.00028*(F66-25)),"")</f>
        <v>0</v>
      </c>
      <c r="H66" s="129">
        <f>IFERROR((E66/(0.99705-0.00028*(F66-25)))*1000/Geometry!$D$21,"")</f>
        <v>0</v>
      </c>
      <c r="I66" s="129" t="str">
        <f>IFERROR(VLOOKUP(C66,Geometry!$A$59:$B$80,2,FALSE),"")</f>
        <v/>
      </c>
      <c r="J66" s="122"/>
      <c r="K66" s="122"/>
      <c r="L66" s="97"/>
      <c r="M66" s="97"/>
    </row>
    <row r="67" spans="1:13" x14ac:dyDescent="0.2">
      <c r="A67" s="122"/>
      <c r="B67" s="123"/>
      <c r="C67" s="122"/>
      <c r="D67" s="123"/>
      <c r="E67" s="123"/>
      <c r="F67" s="123"/>
      <c r="G67" s="129">
        <f t="shared" si="1"/>
        <v>0</v>
      </c>
      <c r="H67" s="129">
        <f>IFERROR((E67/(0.99705-0.00028*(F67-25)))*1000/Geometry!$D$21,"")</f>
        <v>0</v>
      </c>
      <c r="I67" s="129" t="str">
        <f>IFERROR(VLOOKUP(C67,Geometry!$A$59:$B$80,2,FALSE),"")</f>
        <v/>
      </c>
      <c r="J67" s="122"/>
      <c r="K67" s="122"/>
      <c r="L67" s="97"/>
      <c r="M67" s="97"/>
    </row>
    <row r="68" spans="1:13" x14ac:dyDescent="0.2">
      <c r="A68" s="122"/>
      <c r="B68" s="123"/>
      <c r="C68" s="122"/>
      <c r="D68" s="123"/>
      <c r="E68" s="123"/>
      <c r="F68" s="123"/>
      <c r="G68" s="129">
        <f t="shared" si="1"/>
        <v>0</v>
      </c>
      <c r="H68" s="129">
        <f>IFERROR((E68/(0.99705-0.00028*(F68-25)))*1000/Geometry!$D$21,"")</f>
        <v>0</v>
      </c>
      <c r="I68" s="129" t="str">
        <f>IFERROR(VLOOKUP(C68,Geometry!$A$59:$B$80,2,FALSE),"")</f>
        <v/>
      </c>
      <c r="J68" s="122"/>
      <c r="K68" s="122"/>
      <c r="L68" s="97"/>
      <c r="M68" s="97"/>
    </row>
    <row r="69" spans="1:13" x14ac:dyDescent="0.2">
      <c r="A69" s="122"/>
      <c r="B69" s="123"/>
      <c r="C69" s="122"/>
      <c r="D69" s="123"/>
      <c r="E69" s="123"/>
      <c r="F69" s="123"/>
      <c r="G69" s="129">
        <f t="shared" si="1"/>
        <v>0</v>
      </c>
      <c r="H69" s="129">
        <f>IFERROR((E69/(0.99705-0.00028*(F69-25)))*1000/Geometry!$D$21,"")</f>
        <v>0</v>
      </c>
      <c r="I69" s="129" t="str">
        <f>IFERROR(VLOOKUP(C69,Geometry!$A$59:$B$80,2,FALSE),"")</f>
        <v/>
      </c>
      <c r="J69" s="122"/>
      <c r="K69" s="122"/>
      <c r="L69" s="97"/>
      <c r="M69" s="97"/>
    </row>
    <row r="70" spans="1:13" x14ac:dyDescent="0.2">
      <c r="A70" s="122"/>
      <c r="B70" s="123"/>
      <c r="C70" s="122"/>
      <c r="D70" s="123"/>
      <c r="E70" s="123"/>
      <c r="F70" s="123"/>
      <c r="G70" s="129">
        <f t="shared" si="1"/>
        <v>0</v>
      </c>
      <c r="H70" s="129">
        <f>IFERROR((E70/(0.99705-0.00028*(F70-25)))*1000/Geometry!$D$21,"")</f>
        <v>0</v>
      </c>
      <c r="I70" s="129" t="str">
        <f>IFERROR(VLOOKUP(C70,Geometry!$A$59:$B$80,2,FALSE),"")</f>
        <v/>
      </c>
      <c r="J70" s="122"/>
      <c r="K70" s="122"/>
      <c r="L70" s="97"/>
      <c r="M70" s="97"/>
    </row>
    <row r="71" spans="1:13" x14ac:dyDescent="0.2">
      <c r="A71" s="122"/>
      <c r="B71" s="123"/>
      <c r="C71" s="122"/>
      <c r="D71" s="123"/>
      <c r="E71" s="123"/>
      <c r="F71" s="123"/>
      <c r="G71" s="129">
        <f t="shared" si="1"/>
        <v>0</v>
      </c>
      <c r="H71" s="129">
        <f>IFERROR((E71/(0.99705-0.00028*(F71-25)))*1000/Geometry!$D$21,"")</f>
        <v>0</v>
      </c>
      <c r="I71" s="129" t="str">
        <f>IFERROR(VLOOKUP(C71,Geometry!$A$59:$B$80,2,FALSE),"")</f>
        <v/>
      </c>
      <c r="J71" s="122"/>
      <c r="K71" s="122"/>
      <c r="L71" s="97"/>
      <c r="M71" s="97"/>
    </row>
    <row r="72" spans="1:13" x14ac:dyDescent="0.2">
      <c r="A72" s="122"/>
      <c r="B72" s="123"/>
      <c r="C72" s="122"/>
      <c r="D72" s="123"/>
      <c r="E72" s="123"/>
      <c r="F72" s="123"/>
      <c r="G72" s="129">
        <f t="shared" si="1"/>
        <v>0</v>
      </c>
      <c r="H72" s="129">
        <f>IFERROR((E72/(0.99705-0.00028*(F72-25)))*1000/Geometry!$D$21,"")</f>
        <v>0</v>
      </c>
      <c r="I72" s="129" t="str">
        <f>IFERROR(VLOOKUP(C72,Geometry!$A$59:$B$80,2,FALSE),"")</f>
        <v/>
      </c>
      <c r="J72" s="122"/>
      <c r="K72" s="122"/>
      <c r="L72" s="97"/>
      <c r="M72" s="97"/>
    </row>
    <row r="73" spans="1:13" x14ac:dyDescent="0.2">
      <c r="A73" s="122"/>
      <c r="B73" s="123"/>
      <c r="C73" s="122"/>
      <c r="D73" s="123"/>
      <c r="E73" s="123"/>
      <c r="F73" s="123"/>
      <c r="G73" s="129">
        <f t="shared" si="1"/>
        <v>0</v>
      </c>
      <c r="H73" s="129">
        <f>IFERROR((E73/(0.99705-0.00028*(F73-25)))*1000/Geometry!$D$21,"")</f>
        <v>0</v>
      </c>
      <c r="I73" s="129" t="str">
        <f>IFERROR(VLOOKUP(C73,Geometry!$A$59:$B$80,2,FALSE),"")</f>
        <v/>
      </c>
      <c r="J73" s="122"/>
      <c r="K73" s="122"/>
      <c r="L73" s="97"/>
      <c r="M73" s="97"/>
    </row>
    <row r="74" spans="1:13" x14ac:dyDescent="0.2">
      <c r="A74" s="125" t="s">
        <v>1427</v>
      </c>
      <c r="B74" s="97"/>
      <c r="C74" s="126" t="s">
        <v>57</v>
      </c>
      <c r="D74" s="124" t="str">
        <f>IFERROR(AVERAGEIFS(G66:G73,I66:I73,Geometry!$D$51,J66:J73,"y"),"no included runs — model uses its default")</f>
        <v>no included runs — model uses its default</v>
      </c>
      <c r="E74" s="97"/>
      <c r="F74" s="97"/>
      <c r="G74" s="97"/>
      <c r="H74" s="97"/>
      <c r="I74" s="97"/>
      <c r="J74" s="97"/>
      <c r="K74" s="97"/>
      <c r="L74" s="97"/>
      <c r="M74" s="97"/>
    </row>
    <row r="75" spans="1:13" x14ac:dyDescent="0.2">
      <c r="A75" s="125" t="s">
        <v>1428</v>
      </c>
      <c r="B75" s="97"/>
      <c r="C75" s="126" t="s">
        <v>146</v>
      </c>
      <c r="D75" s="124" t="str">
        <f>IFERROR(AVERAGEIFS(H66:H73,I66:I73,Geometry!$D$51,J66:J73,"y"),"no included runs — model uses its default")</f>
        <v>no included runs — model uses its default</v>
      </c>
      <c r="E75" s="97"/>
      <c r="F75" s="97"/>
      <c r="G75" s="97"/>
      <c r="H75" s="97"/>
      <c r="I75" s="97"/>
      <c r="J75" s="97"/>
      <c r="K75" s="97"/>
      <c r="L75" s="97"/>
      <c r="M75" s="97"/>
    </row>
    <row r="76" spans="1:13" x14ac:dyDescent="0.2">
      <c r="A76" s="97"/>
      <c r="B76" s="97"/>
      <c r="C76" s="97"/>
      <c r="D76" s="97"/>
      <c r="E76" s="97"/>
      <c r="F76" s="97"/>
      <c r="G76" s="97"/>
      <c r="H76" s="97"/>
      <c r="I76" s="97"/>
      <c r="J76" s="97"/>
      <c r="K76" s="97"/>
      <c r="L76" s="97"/>
      <c r="M76" s="97"/>
    </row>
    <row r="77" spans="1:13" x14ac:dyDescent="0.2">
      <c r="A77" s="97"/>
      <c r="B77" s="97"/>
      <c r="C77" s="97"/>
      <c r="D77" s="97"/>
      <c r="E77" s="97"/>
      <c r="F77" s="97"/>
      <c r="G77" s="97"/>
      <c r="H77" s="97"/>
      <c r="I77" s="97"/>
      <c r="J77" s="97"/>
      <c r="K77" s="97"/>
      <c r="L77" s="97"/>
      <c r="M77" s="97"/>
    </row>
    <row r="78" spans="1:13" ht="16" x14ac:dyDescent="0.2">
      <c r="A78" s="127" t="str">
        <f>HYPERLINK("https://github.com/amy-bo/electroPioreactor/blob/CO2-modular/Media/protocols/sinter-porosity.md","SINTER POROSITY  (sparger frit grade)")</f>
        <v>SINTER POROSITY  (sparger frit grade)</v>
      </c>
      <c r="B78" s="97"/>
      <c r="C78" s="97"/>
      <c r="D78" s="97"/>
      <c r="E78" s="97"/>
      <c r="F78" s="97"/>
      <c r="G78" s="97"/>
      <c r="H78" s="97"/>
      <c r="I78" s="97"/>
      <c r="J78" s="97"/>
      <c r="K78" s="97"/>
      <c r="L78" s="97"/>
      <c r="M78" s="97"/>
    </row>
    <row r="79" spans="1:13" x14ac:dyDescent="0.2">
      <c r="A79" s="97" t="s">
        <v>1429</v>
      </c>
      <c r="B79" s="97"/>
      <c r="C79" s="97"/>
      <c r="D79" s="97"/>
      <c r="E79" s="97"/>
      <c r="F79" s="123"/>
      <c r="G79" s="97"/>
      <c r="H79" s="97"/>
      <c r="I79" s="97"/>
      <c r="J79" s="97"/>
      <c r="K79" s="97"/>
      <c r="L79" s="97"/>
      <c r="M79" s="97"/>
    </row>
    <row r="80" spans="1:13" x14ac:dyDescent="0.2">
      <c r="A80" s="128" t="s">
        <v>1397</v>
      </c>
      <c r="B80" s="128" t="s">
        <v>1398</v>
      </c>
      <c r="C80" s="128" t="s">
        <v>1</v>
      </c>
      <c r="D80" s="128" t="s">
        <v>1430</v>
      </c>
      <c r="E80" s="128" t="s">
        <v>1431</v>
      </c>
      <c r="F80" s="128" t="s">
        <v>1401</v>
      </c>
      <c r="G80" s="128" t="s">
        <v>1402</v>
      </c>
      <c r="H80" s="128" t="s">
        <v>1403</v>
      </c>
      <c r="I80" s="97"/>
      <c r="J80" s="97"/>
      <c r="K80" s="97"/>
      <c r="L80" s="97"/>
      <c r="M80" s="97"/>
    </row>
    <row r="81" spans="1:13" x14ac:dyDescent="0.2">
      <c r="A81" s="122"/>
      <c r="B81" s="123"/>
      <c r="C81" s="122"/>
      <c r="D81" s="123"/>
      <c r="E81" s="129" t="str">
        <f t="shared" ref="E81:E88" si="2">IFERROR(IF((291.2/D81)&gt;160,0,IF((291.2/D81)&gt;100,1,IF((291.2/D81)&gt;40,2,IF((291.2/D81)&gt;16,3,IF((291.2/D81)&gt;10,4,5))))),"")</f>
        <v/>
      </c>
      <c r="F81" s="129" t="str">
        <f>IFERROR(VLOOKUP(C81,Geometry!$A$59:$B$80,2,FALSE),"")</f>
        <v/>
      </c>
      <c r="G81" s="122"/>
      <c r="H81" s="122"/>
      <c r="I81" s="97"/>
      <c r="J81" s="97"/>
      <c r="K81" s="97"/>
      <c r="L81" s="97"/>
      <c r="M81" s="97"/>
    </row>
    <row r="82" spans="1:13" x14ac:dyDescent="0.2">
      <c r="A82" s="122"/>
      <c r="B82" s="123"/>
      <c r="C82" s="122"/>
      <c r="D82" s="123"/>
      <c r="E82" s="129" t="str">
        <f t="shared" si="2"/>
        <v/>
      </c>
      <c r="F82" s="130" t="str">
        <f>IFERROR(VLOOKUP(C82,Geometry!$A$59:$B$80,2,FALSE),"")</f>
        <v/>
      </c>
      <c r="G82" s="122"/>
      <c r="H82" s="122"/>
      <c r="I82" s="97"/>
      <c r="J82" s="97"/>
      <c r="K82" s="97"/>
      <c r="L82" s="97"/>
      <c r="M82" s="97"/>
    </row>
    <row r="83" spans="1:13" x14ac:dyDescent="0.2">
      <c r="A83" s="122"/>
      <c r="B83" s="123"/>
      <c r="C83" s="122"/>
      <c r="D83" s="123"/>
      <c r="E83" s="129" t="str">
        <f t="shared" si="2"/>
        <v/>
      </c>
      <c r="F83" s="130" t="str">
        <f>IFERROR(VLOOKUP(C83,Geometry!$A$59:$B$80,2,FALSE),"")</f>
        <v/>
      </c>
      <c r="G83" s="122"/>
      <c r="H83" s="122"/>
      <c r="I83" s="97"/>
      <c r="J83" s="97"/>
      <c r="K83" s="97"/>
      <c r="L83" s="97"/>
      <c r="M83" s="97"/>
    </row>
    <row r="84" spans="1:13" x14ac:dyDescent="0.2">
      <c r="A84" s="122"/>
      <c r="B84" s="123"/>
      <c r="C84" s="122"/>
      <c r="D84" s="123"/>
      <c r="E84" s="129" t="str">
        <f t="shared" si="2"/>
        <v/>
      </c>
      <c r="F84" s="130" t="str">
        <f>IFERROR(VLOOKUP(C84,Geometry!$A$59:$B$80,2,FALSE),"")</f>
        <v/>
      </c>
      <c r="G84" s="122"/>
      <c r="H84" s="122"/>
      <c r="I84" s="97"/>
      <c r="J84" s="97"/>
      <c r="K84" s="97"/>
      <c r="L84" s="97"/>
      <c r="M84" s="97"/>
    </row>
    <row r="85" spans="1:13" x14ac:dyDescent="0.2">
      <c r="A85" s="122"/>
      <c r="B85" s="123"/>
      <c r="C85" s="122"/>
      <c r="D85" s="123"/>
      <c r="E85" s="129" t="str">
        <f t="shared" si="2"/>
        <v/>
      </c>
      <c r="F85" s="130" t="str">
        <f>IFERROR(VLOOKUP(C85,Geometry!$A$59:$B$80,2,FALSE),"")</f>
        <v/>
      </c>
      <c r="G85" s="122"/>
      <c r="H85" s="122"/>
      <c r="I85" s="97"/>
      <c r="J85" s="97"/>
      <c r="K85" s="97"/>
      <c r="L85" s="97"/>
      <c r="M85" s="97"/>
    </row>
    <row r="86" spans="1:13" x14ac:dyDescent="0.2">
      <c r="A86" s="122"/>
      <c r="B86" s="123"/>
      <c r="C86" s="122"/>
      <c r="D86" s="123"/>
      <c r="E86" s="129" t="str">
        <f t="shared" si="2"/>
        <v/>
      </c>
      <c r="F86" s="129" t="str">
        <f>IFERROR(VLOOKUP(C86,Geometry!$A$59:$B$80,2,FALSE),"")</f>
        <v/>
      </c>
      <c r="G86" s="122"/>
      <c r="H86" s="122"/>
      <c r="I86" s="97"/>
      <c r="J86" s="97"/>
      <c r="K86" s="97"/>
      <c r="L86" s="97"/>
      <c r="M86" s="97"/>
    </row>
    <row r="87" spans="1:13" x14ac:dyDescent="0.2">
      <c r="A87" s="122"/>
      <c r="B87" s="123"/>
      <c r="C87" s="122"/>
      <c r="D87" s="123"/>
      <c r="E87" s="129" t="str">
        <f t="shared" si="2"/>
        <v/>
      </c>
      <c r="F87" s="129" t="str">
        <f>IFERROR(VLOOKUP(C87,Geometry!$A$59:$B$80,2,FALSE),"")</f>
        <v/>
      </c>
      <c r="G87" s="122"/>
      <c r="H87" s="122"/>
      <c r="I87" s="97"/>
      <c r="J87" s="97"/>
      <c r="K87" s="97"/>
      <c r="L87" s="97"/>
      <c r="M87" s="97"/>
    </row>
    <row r="88" spans="1:13" x14ac:dyDescent="0.2">
      <c r="A88" s="122"/>
      <c r="B88" s="123"/>
      <c r="C88" s="122"/>
      <c r="D88" s="123"/>
      <c r="E88" s="129" t="str">
        <f t="shared" si="2"/>
        <v/>
      </c>
      <c r="F88" s="129" t="str">
        <f>IFERROR(VLOOKUP(C88,Geometry!$A$59:$B$80,2,FALSE),"")</f>
        <v/>
      </c>
      <c r="G88" s="122"/>
      <c r="H88" s="122"/>
      <c r="I88" s="97"/>
      <c r="J88" s="97"/>
      <c r="K88" s="97"/>
      <c r="L88" s="97"/>
      <c r="M88" s="97"/>
    </row>
    <row r="89" spans="1:13" x14ac:dyDescent="0.2">
      <c r="A89" s="125" t="s">
        <v>1432</v>
      </c>
      <c r="B89" s="97"/>
      <c r="C89" s="126" t="s">
        <v>553</v>
      </c>
      <c r="D89" s="124" t="str">
        <f>IFERROR(AVERAGEIFS(E81:E88,C81:C88,Summary!$D$2,G81:G88,"y",B81:B88,SUMPRODUCT(MAX((C81:C88=Summary!$D$2)*(G81:G88="y")*B81:B88))),"no included runs — model uses its default")</f>
        <v>no included runs — model uses its default</v>
      </c>
      <c r="E89" s="97"/>
      <c r="F89" s="97"/>
      <c r="G89" s="97"/>
      <c r="H89" s="97"/>
      <c r="I89" s="97"/>
      <c r="J89" s="97"/>
      <c r="K89" s="97"/>
      <c r="L89" s="97"/>
      <c r="M89" s="97"/>
    </row>
    <row r="90" spans="1:13" x14ac:dyDescent="0.2">
      <c r="A90" s="97"/>
      <c r="B90" s="97"/>
      <c r="C90" s="97"/>
      <c r="D90" s="97"/>
      <c r="E90" s="97"/>
      <c r="F90" s="97"/>
      <c r="G90" s="97"/>
      <c r="H90" s="97"/>
      <c r="I90" s="97"/>
      <c r="J90" s="97"/>
      <c r="K90" s="97"/>
      <c r="L90" s="97"/>
      <c r="M90" s="97"/>
    </row>
    <row r="91" spans="1:13" x14ac:dyDescent="0.2">
      <c r="A91" s="97"/>
      <c r="B91" s="97"/>
      <c r="C91" s="97"/>
      <c r="D91" s="97"/>
      <c r="E91" s="97"/>
      <c r="F91" s="97"/>
      <c r="G91" s="97"/>
      <c r="H91" s="97"/>
      <c r="I91" s="97"/>
      <c r="J91" s="97"/>
      <c r="K91" s="97"/>
      <c r="L91" s="97"/>
      <c r="M91" s="97"/>
    </row>
    <row r="92" spans="1:13" ht="16" x14ac:dyDescent="0.2">
      <c r="A92" s="127" t="str">
        <f>HYPERLINK("https://github.com/amy-bo/electroPioreactor/blob/CO2-modular/Media/protocols/dissolved-oxygen.md","DISSOLVED-OXYGEN THRESHOLDS  (per organism)")</f>
        <v>DISSOLVED-OXYGEN THRESHOLDS  (per organism)</v>
      </c>
      <c r="B92" s="97"/>
      <c r="C92" s="97"/>
      <c r="D92" s="97"/>
      <c r="E92" s="97"/>
      <c r="F92" s="97"/>
      <c r="G92" s="97"/>
      <c r="H92" s="97"/>
      <c r="I92" s="97"/>
      <c r="J92" s="97"/>
      <c r="K92" s="97"/>
      <c r="L92" s="97"/>
      <c r="M92" s="97"/>
    </row>
    <row r="93" spans="1:13" x14ac:dyDescent="0.2">
      <c r="A93" s="97" t="s">
        <v>1433</v>
      </c>
      <c r="B93" s="97"/>
      <c r="C93" s="97"/>
      <c r="D93" s="97"/>
      <c r="E93" s="97"/>
      <c r="F93" s="97"/>
      <c r="G93" s="97"/>
      <c r="H93" s="97"/>
      <c r="I93" s="97"/>
      <c r="J93" s="97"/>
      <c r="K93" s="97"/>
      <c r="L93" s="97"/>
      <c r="M93" s="97"/>
    </row>
    <row r="94" spans="1:13" x14ac:dyDescent="0.2">
      <c r="A94" s="128" t="s">
        <v>1397</v>
      </c>
      <c r="B94" s="128" t="s">
        <v>1398</v>
      </c>
      <c r="C94" s="128" t="s">
        <v>522</v>
      </c>
      <c r="D94" s="128" t="s">
        <v>1434</v>
      </c>
      <c r="E94" s="128" t="s">
        <v>1435</v>
      </c>
      <c r="F94" s="128" t="s">
        <v>1436</v>
      </c>
      <c r="G94" s="128" t="s">
        <v>1437</v>
      </c>
      <c r="H94" s="128" t="s">
        <v>1402</v>
      </c>
      <c r="I94" s="128" t="s">
        <v>1403</v>
      </c>
      <c r="J94" s="97"/>
      <c r="K94" s="97"/>
      <c r="L94" s="97"/>
      <c r="M94" s="97"/>
    </row>
    <row r="95" spans="1:13" x14ac:dyDescent="0.2">
      <c r="A95" s="122"/>
      <c r="B95" s="123"/>
      <c r="C95" s="122"/>
      <c r="D95" s="123"/>
      <c r="E95" s="123"/>
      <c r="F95" s="123"/>
      <c r="G95" s="123"/>
      <c r="H95" s="122"/>
      <c r="I95" s="122"/>
      <c r="J95" s="97"/>
      <c r="K95" s="97"/>
      <c r="L95" s="97"/>
      <c r="M95" s="97"/>
    </row>
    <row r="96" spans="1:13" x14ac:dyDescent="0.2">
      <c r="A96" s="122"/>
      <c r="B96" s="123"/>
      <c r="C96" s="122"/>
      <c r="D96" s="123"/>
      <c r="E96" s="123"/>
      <c r="F96" s="123"/>
      <c r="G96" s="123"/>
      <c r="H96" s="122"/>
      <c r="I96" s="122"/>
      <c r="J96" s="97"/>
      <c r="K96" s="97"/>
      <c r="L96" s="97"/>
      <c r="M96" s="97"/>
    </row>
    <row r="97" spans="1:13" x14ac:dyDescent="0.2">
      <c r="A97" s="122"/>
      <c r="B97" s="123"/>
      <c r="C97" s="122"/>
      <c r="D97" s="123"/>
      <c r="E97" s="123"/>
      <c r="F97" s="123"/>
      <c r="G97" s="123"/>
      <c r="H97" s="122"/>
      <c r="I97" s="122"/>
      <c r="J97" s="97"/>
      <c r="K97" s="97"/>
      <c r="L97" s="97"/>
      <c r="M97" s="97"/>
    </row>
    <row r="98" spans="1:13" x14ac:dyDescent="0.2">
      <c r="A98" s="122"/>
      <c r="B98" s="123"/>
      <c r="C98" s="122"/>
      <c r="D98" s="123"/>
      <c r="E98" s="123"/>
      <c r="F98" s="123"/>
      <c r="G98" s="123"/>
      <c r="H98" s="122"/>
      <c r="I98" s="122"/>
      <c r="J98" s="97"/>
      <c r="K98" s="97"/>
      <c r="L98" s="97"/>
      <c r="M98" s="97"/>
    </row>
    <row r="99" spans="1:13" x14ac:dyDescent="0.2">
      <c r="A99" s="122"/>
      <c r="B99" s="123"/>
      <c r="C99" s="122"/>
      <c r="D99" s="123"/>
      <c r="E99" s="123"/>
      <c r="F99" s="123"/>
      <c r="G99" s="123"/>
      <c r="H99" s="122"/>
      <c r="I99" s="122"/>
      <c r="J99" s="97"/>
      <c r="K99" s="97"/>
      <c r="L99" s="97"/>
      <c r="M99" s="97"/>
    </row>
    <row r="100" spans="1:13" x14ac:dyDescent="0.2">
      <c r="A100" s="122"/>
      <c r="B100" s="123"/>
      <c r="C100" s="122"/>
      <c r="D100" s="123"/>
      <c r="E100" s="123"/>
      <c r="F100" s="123"/>
      <c r="G100" s="123"/>
      <c r="H100" s="122"/>
      <c r="I100" s="122"/>
      <c r="J100" s="97"/>
      <c r="K100" s="97"/>
      <c r="L100" s="97"/>
      <c r="M100" s="97"/>
    </row>
    <row r="101" spans="1:13" x14ac:dyDescent="0.2">
      <c r="A101" s="122"/>
      <c r="B101" s="123"/>
      <c r="C101" s="122"/>
      <c r="D101" s="123"/>
      <c r="E101" s="123"/>
      <c r="F101" s="123"/>
      <c r="G101" s="123"/>
      <c r="H101" s="122"/>
      <c r="I101" s="122"/>
      <c r="J101" s="97"/>
      <c r="K101" s="97"/>
      <c r="L101" s="97"/>
      <c r="M101" s="97"/>
    </row>
    <row r="102" spans="1:13" x14ac:dyDescent="0.2">
      <c r="A102" s="122"/>
      <c r="B102" s="123"/>
      <c r="C102" s="122"/>
      <c r="D102" s="123"/>
      <c r="E102" s="123"/>
      <c r="F102" s="123"/>
      <c r="G102" s="123"/>
      <c r="H102" s="122"/>
      <c r="I102" s="122"/>
      <c r="J102" s="97"/>
      <c r="K102" s="97"/>
      <c r="L102" s="97"/>
      <c r="M102" s="97"/>
    </row>
    <row r="103" spans="1:13" x14ac:dyDescent="0.2">
      <c r="A103" s="125" t="s">
        <v>1438</v>
      </c>
      <c r="B103" s="97"/>
      <c r="C103" s="126" t="s">
        <v>102</v>
      </c>
      <c r="D103" s="124" t="str">
        <f>IFERROR(AVERAGEIFS(D95:D102,C95:C102,Summary!$D$4,H95:H102,"y"),"no included runs — model uses its default")</f>
        <v>no included runs — model uses its default</v>
      </c>
      <c r="E103" s="97"/>
      <c r="F103" s="97"/>
      <c r="G103" s="97"/>
      <c r="H103" s="97"/>
      <c r="I103" s="97"/>
      <c r="J103" s="97"/>
      <c r="K103" s="97"/>
      <c r="L103" s="97"/>
      <c r="M103" s="97"/>
    </row>
    <row r="104" spans="1:13" x14ac:dyDescent="0.2">
      <c r="A104" s="125" t="s">
        <v>1439</v>
      </c>
      <c r="B104" s="97"/>
      <c r="C104" s="126" t="s">
        <v>102</v>
      </c>
      <c r="D104" s="124" t="str">
        <f>IFERROR(AVERAGEIFS(E95:E102,C95:C102,Summary!$D$4,H95:H102,"y"),"no included runs — model uses its default")</f>
        <v>no included runs — model uses its default</v>
      </c>
      <c r="E104" s="97"/>
      <c r="F104" s="97"/>
      <c r="G104" s="97"/>
      <c r="H104" s="97"/>
      <c r="I104" s="97"/>
      <c r="J104" s="97"/>
      <c r="K104" s="97"/>
      <c r="L104" s="97"/>
      <c r="M104" s="97"/>
    </row>
    <row r="105" spans="1:13" x14ac:dyDescent="0.2">
      <c r="A105" s="125" t="s">
        <v>1440</v>
      </c>
      <c r="B105" s="97"/>
      <c r="C105" s="126" t="s">
        <v>102</v>
      </c>
      <c r="D105" s="124" t="str">
        <f>IFERROR(AVERAGEIFS(F95:F102,C95:C102,Summary!$D$4,H95:H102,"y"),"no included runs — model uses its default")</f>
        <v>no included runs — model uses its default</v>
      </c>
      <c r="E105" s="97"/>
      <c r="F105" s="97"/>
      <c r="G105" s="97"/>
      <c r="H105" s="97"/>
      <c r="I105" s="97"/>
      <c r="J105" s="97"/>
      <c r="K105" s="97"/>
      <c r="L105" s="97"/>
      <c r="M105" s="97"/>
    </row>
    <row r="106" spans="1:13" x14ac:dyDescent="0.2">
      <c r="A106" s="125" t="s">
        <v>1441</v>
      </c>
      <c r="B106" s="97"/>
      <c r="C106" s="126" t="s">
        <v>102</v>
      </c>
      <c r="D106" s="124" t="str">
        <f>IFERROR(AVERAGEIFS(G95:G102,C95:C102,Summary!$D$4,H95:H102,"y"),"no included runs — model uses its default")</f>
        <v>no included runs — model uses its default</v>
      </c>
      <c r="E106" s="97"/>
      <c r="F106" s="97"/>
      <c r="G106" s="97"/>
      <c r="H106" s="97"/>
      <c r="I106" s="97"/>
      <c r="J106" s="97"/>
      <c r="K106" s="97"/>
      <c r="L106" s="97"/>
      <c r="M106" s="97"/>
    </row>
    <row r="107" spans="1:13" x14ac:dyDescent="0.2">
      <c r="A107" s="97"/>
      <c r="B107" s="97"/>
      <c r="C107" s="97"/>
      <c r="D107" s="97"/>
      <c r="E107" s="97"/>
      <c r="F107" s="97"/>
      <c r="G107" s="97"/>
      <c r="H107" s="97"/>
      <c r="I107" s="97"/>
      <c r="J107" s="97"/>
      <c r="K107" s="97"/>
      <c r="L107" s="97"/>
      <c r="M107" s="97"/>
    </row>
    <row r="108" spans="1:13" x14ac:dyDescent="0.2">
      <c r="A108" s="97"/>
      <c r="B108" s="97"/>
      <c r="C108" s="97"/>
      <c r="D108" s="97"/>
      <c r="E108" s="97"/>
      <c r="F108" s="97"/>
      <c r="G108" s="97"/>
      <c r="H108" s="97"/>
      <c r="I108" s="97"/>
      <c r="J108" s="97"/>
      <c r="K108" s="97"/>
      <c r="L108" s="97"/>
      <c r="M108" s="97"/>
    </row>
    <row r="109" spans="1:13" ht="16" x14ac:dyDescent="0.2">
      <c r="A109" s="127" t="str">
        <f>HYPERLINK("https://github.com/amy-bo/electroPioreactor/blob/CO2-modular/Media/protocols/knallgas-stoichiometry.md","KNALLGAS UPTAKE RATIO  (per organism)")</f>
        <v>KNALLGAS UPTAKE RATIO  (per organism)</v>
      </c>
      <c r="B109" s="97"/>
      <c r="C109" s="97"/>
      <c r="D109" s="97"/>
      <c r="E109" s="97"/>
      <c r="F109" s="97"/>
      <c r="G109" s="97"/>
      <c r="H109" s="97"/>
      <c r="I109" s="97"/>
      <c r="J109" s="97"/>
      <c r="K109" s="97"/>
      <c r="L109" s="97"/>
      <c r="M109" s="97"/>
    </row>
    <row r="110" spans="1:13" x14ac:dyDescent="0.2">
      <c r="A110" s="97" t="s">
        <v>1442</v>
      </c>
      <c r="B110" s="97"/>
      <c r="C110" s="97"/>
      <c r="D110" s="97"/>
      <c r="E110" s="97"/>
      <c r="F110" s="97"/>
      <c r="G110" s="97"/>
      <c r="H110" s="97"/>
      <c r="I110" s="97"/>
      <c r="J110" s="97"/>
      <c r="K110" s="97"/>
      <c r="L110" s="97"/>
      <c r="M110" s="97"/>
    </row>
    <row r="111" spans="1:13" x14ac:dyDescent="0.2">
      <c r="A111" s="128" t="s">
        <v>1397</v>
      </c>
      <c r="B111" s="128" t="s">
        <v>1398</v>
      </c>
      <c r="C111" s="128" t="s">
        <v>522</v>
      </c>
      <c r="D111" s="128" t="s">
        <v>1443</v>
      </c>
      <c r="E111" s="128" t="s">
        <v>1444</v>
      </c>
      <c r="F111" s="128" t="s">
        <v>1445</v>
      </c>
      <c r="G111" s="128" t="s">
        <v>1402</v>
      </c>
      <c r="H111" s="128" t="s">
        <v>1403</v>
      </c>
      <c r="I111" s="97"/>
      <c r="J111" s="97"/>
      <c r="K111" s="97"/>
      <c r="L111" s="97"/>
      <c r="M111" s="97"/>
    </row>
    <row r="112" spans="1:13" x14ac:dyDescent="0.2">
      <c r="A112" s="122"/>
      <c r="B112" s="123"/>
      <c r="C112" s="122"/>
      <c r="D112" s="123"/>
      <c r="E112" s="123"/>
      <c r="F112" s="123"/>
      <c r="G112" s="122"/>
      <c r="H112" s="122"/>
      <c r="I112" s="97"/>
      <c r="J112" s="97"/>
      <c r="K112" s="97"/>
      <c r="L112" s="97"/>
      <c r="M112" s="97"/>
    </row>
    <row r="113" spans="1:13" x14ac:dyDescent="0.2">
      <c r="A113" s="122"/>
      <c r="B113" s="123"/>
      <c r="C113" s="122"/>
      <c r="D113" s="123"/>
      <c r="E113" s="123"/>
      <c r="F113" s="123"/>
      <c r="G113" s="122"/>
      <c r="H113" s="122"/>
      <c r="I113" s="97"/>
      <c r="J113" s="97"/>
      <c r="K113" s="97"/>
      <c r="L113" s="97"/>
      <c r="M113" s="97"/>
    </row>
    <row r="114" spans="1:13" x14ac:dyDescent="0.2">
      <c r="A114" s="122"/>
      <c r="B114" s="123"/>
      <c r="C114" s="122"/>
      <c r="D114" s="123"/>
      <c r="E114" s="123"/>
      <c r="F114" s="123"/>
      <c r="G114" s="122"/>
      <c r="H114" s="122"/>
      <c r="I114" s="97"/>
      <c r="J114" s="97"/>
      <c r="K114" s="97"/>
      <c r="L114" s="97"/>
      <c r="M114" s="97"/>
    </row>
    <row r="115" spans="1:13" x14ac:dyDescent="0.2">
      <c r="A115" s="122"/>
      <c r="B115" s="123"/>
      <c r="C115" s="122"/>
      <c r="D115" s="123"/>
      <c r="E115" s="123"/>
      <c r="F115" s="123"/>
      <c r="G115" s="122"/>
      <c r="H115" s="122"/>
      <c r="I115" s="97"/>
      <c r="J115" s="97"/>
      <c r="K115" s="97"/>
      <c r="L115" s="97"/>
      <c r="M115" s="97"/>
    </row>
    <row r="116" spans="1:13" x14ac:dyDescent="0.2">
      <c r="A116" s="122"/>
      <c r="B116" s="123"/>
      <c r="C116" s="122"/>
      <c r="D116" s="123"/>
      <c r="E116" s="123"/>
      <c r="F116" s="123"/>
      <c r="G116" s="122"/>
      <c r="H116" s="122"/>
      <c r="I116" s="97"/>
      <c r="J116" s="97"/>
      <c r="K116" s="97"/>
      <c r="L116" s="97"/>
      <c r="M116" s="97"/>
    </row>
    <row r="117" spans="1:13" x14ac:dyDescent="0.2">
      <c r="A117" s="122"/>
      <c r="B117" s="123"/>
      <c r="C117" s="122"/>
      <c r="D117" s="123"/>
      <c r="E117" s="123"/>
      <c r="F117" s="123"/>
      <c r="G117" s="122"/>
      <c r="H117" s="122"/>
      <c r="I117" s="97"/>
      <c r="J117" s="97"/>
      <c r="K117" s="97"/>
      <c r="L117" s="97"/>
      <c r="M117" s="97"/>
    </row>
    <row r="118" spans="1:13" x14ac:dyDescent="0.2">
      <c r="A118" s="122"/>
      <c r="B118" s="123"/>
      <c r="C118" s="122"/>
      <c r="D118" s="123"/>
      <c r="E118" s="123"/>
      <c r="F118" s="123"/>
      <c r="G118" s="122"/>
      <c r="H118" s="122"/>
      <c r="I118" s="97"/>
      <c r="J118" s="97"/>
      <c r="K118" s="97"/>
      <c r="L118" s="97"/>
      <c r="M118" s="97"/>
    </row>
    <row r="119" spans="1:13" x14ac:dyDescent="0.2">
      <c r="A119" s="122"/>
      <c r="B119" s="123"/>
      <c r="C119" s="122"/>
      <c r="D119" s="123"/>
      <c r="E119" s="123"/>
      <c r="F119" s="123"/>
      <c r="G119" s="122"/>
      <c r="H119" s="122"/>
      <c r="I119" s="97"/>
      <c r="J119" s="97"/>
      <c r="K119" s="97"/>
      <c r="L119" s="97"/>
      <c r="M119" s="97"/>
    </row>
    <row r="120" spans="1:13" x14ac:dyDescent="0.2">
      <c r="A120" s="125" t="s">
        <v>1446</v>
      </c>
      <c r="B120" s="97"/>
      <c r="C120" s="126" t="s">
        <v>1447</v>
      </c>
      <c r="D120" s="124" t="str">
        <f>IFERROR(AVERAGEIFS(D112:D119,C112:C119,Summary!$D$4,G112:G119,"y"),"no included runs — model uses its default")</f>
        <v>no included runs — model uses its default</v>
      </c>
      <c r="E120" s="97"/>
      <c r="F120" s="97"/>
      <c r="G120" s="97"/>
      <c r="H120" s="97"/>
      <c r="I120" s="97"/>
      <c r="J120" s="97"/>
      <c r="K120" s="97"/>
      <c r="L120" s="97"/>
      <c r="M120" s="97"/>
    </row>
    <row r="121" spans="1:13" x14ac:dyDescent="0.2">
      <c r="A121" s="125" t="s">
        <v>1448</v>
      </c>
      <c r="B121" s="97"/>
      <c r="C121" s="126" t="s">
        <v>1447</v>
      </c>
      <c r="D121" s="124" t="str">
        <f>IFERROR(AVERAGEIFS(E112:E119,C112:C119,Summary!$D$4,G112:G119,"y"),"no included runs — model uses its default")</f>
        <v>no included runs — model uses its default</v>
      </c>
      <c r="E121" s="97"/>
      <c r="F121" s="97"/>
      <c r="G121" s="97"/>
      <c r="H121" s="97"/>
      <c r="I121" s="97"/>
      <c r="J121" s="97"/>
      <c r="K121" s="97"/>
      <c r="L121" s="97"/>
      <c r="M121" s="97"/>
    </row>
    <row r="122" spans="1:13" x14ac:dyDescent="0.2">
      <c r="A122" s="125" t="s">
        <v>1449</v>
      </c>
      <c r="B122" s="97"/>
      <c r="C122" s="126" t="s">
        <v>1447</v>
      </c>
      <c r="D122" s="124" t="str">
        <f>IFERROR(AVERAGEIFS(F112:F119,C112:C119,Summary!$D$4,G112:G119,"y"),"no included runs — model uses its default")</f>
        <v>no included runs — model uses its default</v>
      </c>
      <c r="E122" s="97"/>
      <c r="F122" s="97"/>
      <c r="G122" s="97"/>
      <c r="H122" s="97"/>
      <c r="I122" s="97"/>
      <c r="J122" s="97"/>
      <c r="K122" s="97"/>
      <c r="L122" s="97"/>
      <c r="M122" s="97"/>
    </row>
    <row r="123" spans="1:13" x14ac:dyDescent="0.2">
      <c r="A123" s="97"/>
      <c r="B123" s="97"/>
      <c r="C123" s="97"/>
      <c r="D123" s="97"/>
      <c r="E123" s="97"/>
      <c r="F123" s="97"/>
      <c r="G123" s="97"/>
      <c r="H123" s="97"/>
      <c r="I123" s="97"/>
      <c r="J123" s="97"/>
      <c r="K123" s="97"/>
      <c r="L123" s="97"/>
      <c r="M123" s="97"/>
    </row>
    <row r="124" spans="1:13" x14ac:dyDescent="0.2">
      <c r="A124" s="97"/>
      <c r="B124" s="97"/>
      <c r="C124" s="97"/>
      <c r="D124" s="97"/>
      <c r="E124" s="97"/>
      <c r="F124" s="97"/>
      <c r="G124" s="97"/>
      <c r="H124" s="97"/>
      <c r="I124" s="97"/>
      <c r="J124" s="97"/>
      <c r="K124" s="97"/>
      <c r="L124" s="97"/>
      <c r="M124" s="97"/>
    </row>
    <row r="125" spans="1:13" ht="16" x14ac:dyDescent="0.2">
      <c r="A125" s="127" t="str">
        <f>HYPERLINK("https://github.com/amy-bo/electroPioreactor/blob/CO2-modular/Media/protocols/current-density-screen.md","CURRENT-DENSITY TOLERANCE  (per organism)")</f>
        <v>CURRENT-DENSITY TOLERANCE  (per organism)</v>
      </c>
      <c r="B125" s="97"/>
      <c r="C125" s="97"/>
      <c r="D125" s="97"/>
      <c r="E125" s="97"/>
      <c r="F125" s="97"/>
      <c r="G125" s="97"/>
      <c r="H125" s="97"/>
      <c r="I125" s="97"/>
      <c r="J125" s="97"/>
      <c r="K125" s="97"/>
      <c r="L125" s="97"/>
      <c r="M125" s="97"/>
    </row>
    <row r="126" spans="1:13" x14ac:dyDescent="0.2">
      <c r="A126" s="97" t="s">
        <v>1450</v>
      </c>
      <c r="B126" s="97"/>
      <c r="C126" s="97"/>
      <c r="D126" s="97"/>
      <c r="E126" s="97"/>
      <c r="F126" s="97"/>
      <c r="G126" s="97"/>
      <c r="H126" s="97"/>
      <c r="I126" s="97"/>
      <c r="J126" s="97"/>
      <c r="K126" s="97"/>
      <c r="L126" s="97"/>
      <c r="M126" s="97"/>
    </row>
    <row r="127" spans="1:13" x14ac:dyDescent="0.2">
      <c r="A127" s="128" t="s">
        <v>1397</v>
      </c>
      <c r="B127" s="128" t="s">
        <v>1398</v>
      </c>
      <c r="C127" s="128" t="s">
        <v>522</v>
      </c>
      <c r="D127" s="128" t="s">
        <v>1451</v>
      </c>
      <c r="E127" s="128" t="s">
        <v>1452</v>
      </c>
      <c r="F127" s="128" t="s">
        <v>1402</v>
      </c>
      <c r="G127" s="128" t="s">
        <v>1403</v>
      </c>
      <c r="H127" s="97"/>
      <c r="I127" s="97"/>
      <c r="J127" s="97"/>
      <c r="K127" s="97"/>
      <c r="L127" s="97"/>
      <c r="M127" s="97"/>
    </row>
    <row r="128" spans="1:13" x14ac:dyDescent="0.2">
      <c r="A128" s="122"/>
      <c r="B128" s="123"/>
      <c r="C128" s="122"/>
      <c r="D128" s="123"/>
      <c r="E128" s="123"/>
      <c r="F128" s="122"/>
      <c r="G128" s="122"/>
      <c r="H128" s="97"/>
      <c r="I128" s="97"/>
      <c r="J128" s="97"/>
      <c r="K128" s="97"/>
      <c r="L128" s="97"/>
      <c r="M128" s="97"/>
    </row>
    <row r="129" spans="1:13" x14ac:dyDescent="0.2">
      <c r="A129" s="122"/>
      <c r="B129" s="123"/>
      <c r="C129" s="122"/>
      <c r="D129" s="123"/>
      <c r="E129" s="123"/>
      <c r="F129" s="122"/>
      <c r="G129" s="122"/>
      <c r="H129" s="97"/>
      <c r="I129" s="97"/>
      <c r="J129" s="97"/>
      <c r="K129" s="97"/>
      <c r="L129" s="97"/>
      <c r="M129" s="97"/>
    </row>
    <row r="130" spans="1:13" x14ac:dyDescent="0.2">
      <c r="A130" s="122"/>
      <c r="B130" s="123"/>
      <c r="C130" s="122"/>
      <c r="D130" s="123"/>
      <c r="E130" s="123"/>
      <c r="F130" s="122"/>
      <c r="G130" s="122"/>
      <c r="H130" s="97"/>
      <c r="I130" s="97"/>
      <c r="J130" s="97"/>
      <c r="K130" s="97"/>
      <c r="L130" s="97"/>
      <c r="M130" s="97"/>
    </row>
    <row r="131" spans="1:13" x14ac:dyDescent="0.2">
      <c r="A131" s="122"/>
      <c r="B131" s="123"/>
      <c r="C131" s="122"/>
      <c r="D131" s="123"/>
      <c r="E131" s="123"/>
      <c r="F131" s="122"/>
      <c r="G131" s="122"/>
      <c r="H131" s="97"/>
      <c r="I131" s="97"/>
      <c r="J131" s="97"/>
      <c r="K131" s="97"/>
      <c r="L131" s="97"/>
      <c r="M131" s="97"/>
    </row>
    <row r="132" spans="1:13" x14ac:dyDescent="0.2">
      <c r="A132" s="122"/>
      <c r="B132" s="123"/>
      <c r="C132" s="122"/>
      <c r="D132" s="123"/>
      <c r="E132" s="123"/>
      <c r="F132" s="122"/>
      <c r="G132" s="122"/>
      <c r="H132" s="97"/>
      <c r="I132" s="97"/>
      <c r="J132" s="97"/>
      <c r="K132" s="97"/>
      <c r="L132" s="97"/>
      <c r="M132" s="97"/>
    </row>
    <row r="133" spans="1:13" x14ac:dyDescent="0.2">
      <c r="A133" s="122"/>
      <c r="B133" s="123"/>
      <c r="C133" s="122"/>
      <c r="D133" s="123"/>
      <c r="E133" s="123"/>
      <c r="F133" s="122"/>
      <c r="G133" s="122"/>
      <c r="H133" s="97"/>
      <c r="I133" s="97"/>
      <c r="J133" s="97"/>
      <c r="K133" s="97"/>
      <c r="L133" s="97"/>
      <c r="M133" s="97"/>
    </row>
    <row r="134" spans="1:13" x14ac:dyDescent="0.2">
      <c r="A134" s="122"/>
      <c r="B134" s="123"/>
      <c r="C134" s="122"/>
      <c r="D134" s="123"/>
      <c r="E134" s="123"/>
      <c r="F134" s="122"/>
      <c r="G134" s="122"/>
      <c r="H134" s="97"/>
      <c r="I134" s="97"/>
      <c r="J134" s="97"/>
      <c r="K134" s="97"/>
      <c r="L134" s="97"/>
      <c r="M134" s="97"/>
    </row>
    <row r="135" spans="1:13" x14ac:dyDescent="0.2">
      <c r="A135" s="122"/>
      <c r="B135" s="123"/>
      <c r="C135" s="122"/>
      <c r="D135" s="123"/>
      <c r="E135" s="123"/>
      <c r="F135" s="122"/>
      <c r="G135" s="122"/>
      <c r="H135" s="97"/>
      <c r="I135" s="97"/>
      <c r="J135" s="97"/>
      <c r="K135" s="97"/>
      <c r="L135" s="97"/>
      <c r="M135" s="97"/>
    </row>
    <row r="136" spans="1:13" x14ac:dyDescent="0.2">
      <c r="A136" s="125" t="s">
        <v>1453</v>
      </c>
      <c r="B136" s="97"/>
      <c r="C136" s="126" t="s">
        <v>1282</v>
      </c>
      <c r="D136" s="124" t="str">
        <f>IFERROR(AVERAGEIFS(D128:D135,C128:C135,Summary!$D$4,F128:F135,"y"),"no included runs — model uses its default")</f>
        <v>no included runs — model uses its default</v>
      </c>
      <c r="E136" s="97"/>
      <c r="F136" s="97"/>
      <c r="G136" s="97"/>
      <c r="H136" s="97"/>
      <c r="I136" s="97"/>
      <c r="J136" s="97"/>
      <c r="K136" s="97"/>
      <c r="L136" s="97"/>
      <c r="M136" s="97"/>
    </row>
    <row r="137" spans="1:13" x14ac:dyDescent="0.2">
      <c r="A137" s="125" t="s">
        <v>1454</v>
      </c>
      <c r="B137" s="97"/>
      <c r="C137" s="126" t="s">
        <v>1282</v>
      </c>
      <c r="D137" s="124" t="str">
        <f>IFERROR(AVERAGEIFS(E128:E135,C128:C135,Summary!$D$4,F128:F135,"y"),"no included runs — model uses its default")</f>
        <v>no included runs — model uses its default</v>
      </c>
      <c r="E137" s="97"/>
      <c r="F137" s="97"/>
      <c r="G137" s="97"/>
      <c r="H137" s="97"/>
      <c r="I137" s="97"/>
      <c r="J137" s="97"/>
      <c r="K137" s="97"/>
      <c r="L137" s="97"/>
      <c r="M137" s="97"/>
    </row>
    <row r="138" spans="1:13" x14ac:dyDescent="0.2">
      <c r="A138" s="97"/>
      <c r="B138" s="97"/>
      <c r="C138" s="97"/>
      <c r="D138" s="97"/>
      <c r="E138" s="97"/>
      <c r="F138" s="97"/>
      <c r="G138" s="97"/>
      <c r="H138" s="97"/>
      <c r="I138" s="97"/>
      <c r="J138" s="97"/>
      <c r="K138" s="97"/>
      <c r="L138" s="97"/>
      <c r="M138" s="97"/>
    </row>
    <row r="139" spans="1:13" x14ac:dyDescent="0.2">
      <c r="A139" s="97"/>
      <c r="B139" s="97"/>
      <c r="C139" s="97"/>
      <c r="D139" s="97"/>
      <c r="E139" s="97"/>
      <c r="F139" s="97"/>
      <c r="G139" s="97"/>
      <c r="H139" s="97"/>
      <c r="I139" s="97"/>
      <c r="J139" s="97"/>
      <c r="K139" s="97"/>
      <c r="L139" s="97"/>
      <c r="M139" s="97"/>
    </row>
  </sheetData>
  <dataValidations count="4">
    <dataValidation type="list" allowBlank="1" showInputMessage="1" showErrorMessage="1" sqref="C8:C15 C81:C88 C66:C73 C52:C59 C38:C45 C23:C30" xr:uid="{00000000-0002-0000-0700-000000000000}">
      <formula1>ReactorList</formula1>
    </dataValidation>
    <dataValidation type="list" allowBlank="1" showInputMessage="1" showErrorMessage="1" sqref="G8:G15 F128:F135 G112:G119 H95:H102 G81:G88 J66:J73 H52:H59 F38:F45 K23:K30" xr:uid="{00000000-0002-0000-0700-000001000000}">
      <formula1>"y,n"</formula1>
    </dataValidation>
    <dataValidation type="list" allowBlank="1" showInputMessage="1" showErrorMessage="1" sqref="H23:H30" xr:uid="{00000000-0002-0000-0700-000004000000}">
      <formula1>"H2,O2"</formula1>
    </dataValidation>
    <dataValidation type="list" allowBlank="1" showInputMessage="1" showErrorMessage="1" sqref="C95:C102 C128:C135 C112:C119" xr:uid="{00000000-0002-0000-0700-00000D000000}">
      <formula1>OrganismList</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557</vt:i4>
      </vt:variant>
    </vt:vector>
  </HeadingPairs>
  <TitlesOfParts>
    <vt:vector size="565" baseType="lpstr">
      <vt:lpstr>Summary</vt:lpstr>
      <vt:lpstr>Geometry</vt:lpstr>
      <vt:lpstr>Electrochemistry</vt:lpstr>
      <vt:lpstr>Chemistry</vt:lpstr>
      <vt:lpstr>Biology</vt:lpstr>
      <vt:lpstr>Mass Transfer</vt:lpstr>
      <vt:lpstr>CO2 flows</vt:lpstr>
      <vt:lpstr>Calibrations</vt:lpstr>
      <vt:lpstr>Chemistry!A_anode</vt:lpstr>
      <vt:lpstr>Electrochemistry!A_anode_wet</vt:lpstr>
      <vt:lpstr>Electrochemistry!A_cath_wet</vt:lpstr>
      <vt:lpstr>Chemistry!A_DH</vt:lpstr>
      <vt:lpstr>'Mass Transfer'!a_int</vt:lpstr>
      <vt:lpstr>'Mass Transfer'!a_surf</vt:lpstr>
      <vt:lpstr>Geometry!A_x</vt:lpstr>
      <vt:lpstr>'Mass Transfer'!A_x</vt:lpstr>
      <vt:lpstr>Electrochemistry!anode_dia</vt:lpstr>
      <vt:lpstr>Electrochemistry!anode_j_cont</vt:lpstr>
      <vt:lpstr>Electrochemistry!anode_j_max</vt:lpstr>
      <vt:lpstr>Electrochemistry!anode_material</vt:lpstr>
      <vt:lpstr>Electrochemistry!anode_shape</vt:lpstr>
      <vt:lpstr>Electrochemistry!b_anode</vt:lpstr>
      <vt:lpstr>Electrochemistry!b_cath</vt:lpstr>
      <vt:lpstr>Biology!bio_CO2</vt:lpstr>
      <vt:lpstr>Biology!bio_H2</vt:lpstr>
      <vt:lpstr>Biology!bio_O2</vt:lpstr>
      <vt:lpstr>Chemistry!bleach_flag</vt:lpstr>
      <vt:lpstr>Chemistry!bleach_rate</vt:lpstr>
      <vt:lpstr>Chemistry!bleach_t1ppm</vt:lpstr>
      <vt:lpstr>'Mass Transfer'!bubble_regime</vt:lpstr>
      <vt:lpstr>Chemistry!buffer_flag</vt:lpstr>
      <vt:lpstr>'Mass Transfer'!C_air_CO2</vt:lpstr>
      <vt:lpstr>'Mass Transfer'!C_cycle_peak</vt:lpstr>
      <vt:lpstr>'Mass Transfer'!C_cycle_start</vt:lpstr>
      <vt:lpstr>Chemistry!C_eff</vt:lpstr>
      <vt:lpstr>Chemistry!C_eff_Cl2</vt:lpstr>
      <vt:lpstr>Chemistry!C_eff_hi</vt:lpstr>
      <vt:lpstr>Chemistry!C_eff_lo</vt:lpstr>
      <vt:lpstr>Biology!C_H2_sat</vt:lpstr>
      <vt:lpstr>'Mass Transfer'!C_sat_CO2</vt:lpstr>
      <vt:lpstr>'Mass Transfer'!Ca_CO2</vt:lpstr>
      <vt:lpstr>cal_Dint</vt:lpstr>
      <vt:lpstr>cal_DO_impair</vt:lpstr>
      <vt:lpstr>cal_DO_min</vt:lpstr>
      <vt:lpstr>cal_DO_opt</vt:lpstr>
      <vt:lpstr>cal_DO_toxic</vt:lpstr>
      <vt:lpstr>cal_etaF</vt:lpstr>
      <vt:lpstr>cal_etaF_OER</vt:lpstr>
      <vt:lpstr>cal_flow</vt:lpstr>
      <vt:lpstr>cal_gerrit_int</vt:lpstr>
      <vt:lpstr>cal_gerrit_slope</vt:lpstr>
      <vt:lpstr>cal_j_ceiling</vt:lpstr>
      <vt:lpstr>cal_j_opt</vt:lpstr>
      <vt:lpstr>cal_kLa</vt:lpstr>
      <vt:lpstr>cal_knall_CO2</vt:lpstr>
      <vt:lpstr>cal_knall_H2</vt:lpstr>
      <vt:lpstr>cal_knall_O2</vt:lpstr>
      <vt:lpstr>cal_sinter</vt:lpstr>
      <vt:lpstr>cal_Vtot</vt:lpstr>
      <vt:lpstr>'Mass Transfer'!cal_warning</vt:lpstr>
      <vt:lpstr>'Mass Transfer'!carbon_margin_min</vt:lpstr>
      <vt:lpstr>'Mass Transfer'!carry_flag</vt:lpstr>
      <vt:lpstr>Electrochemistry!cath_j_cont</vt:lpstr>
      <vt:lpstr>Electrochemistry!cath_j_max</vt:lpstr>
      <vt:lpstr>Electrochemistry!cathode_dia</vt:lpstr>
      <vt:lpstr>Electrochemistry!cathode_shape</vt:lpstr>
      <vt:lpstr>'Mass Transfer'!Cb_CO2</vt:lpstr>
      <vt:lpstr>Chemistry!Cl_kill</vt:lpstr>
      <vt:lpstr>Chemistry!Cl_mc02</vt:lpstr>
      <vt:lpstr>Chemistry!Cl_onset</vt:lpstr>
      <vt:lpstr>Chemistry!cl_per_N</vt:lpstr>
      <vt:lpstr>Chemistry!Cl_pool_mgL</vt:lpstr>
      <vt:lpstr>Chemistry!Cl_udg</vt:lpstr>
      <vt:lpstr>Biology!CO2_carbon_margin</vt:lpstr>
      <vt:lpstr>Biology!CO2_cons</vt:lpstr>
      <vt:lpstr>'Mass Transfer'!CO2_cons</vt:lpstr>
      <vt:lpstr>'Mass Transfer'!CO2_cyc_avg</vt:lpstr>
      <vt:lpstr>'Mass Transfer'!CO2_cyc_avg_new</vt:lpstr>
      <vt:lpstr>Biology!CO2_diss</vt:lpstr>
      <vt:lpstr>'Mass Transfer'!CO2_int_off</vt:lpstr>
      <vt:lpstr>'Mass Transfer'!CO2_int_on</vt:lpstr>
      <vt:lpstr>'Mass Transfer'!CO2_pulse</vt:lpstr>
      <vt:lpstr>'Mass Transfer'!CO2_rate_full</vt:lpstr>
      <vt:lpstr>'Mass Transfer'!CO2_sd_ratio</vt:lpstr>
      <vt:lpstr>'Mass Transfer'!CO2_supply</vt:lpstr>
      <vt:lpstr>Chemistry!CO2aqc</vt:lpstr>
      <vt:lpstr>'Mass Transfer'!CO2aqc_ss</vt:lpstr>
      <vt:lpstr>'Mass Transfer'!coef_CO2</vt:lpstr>
      <vt:lpstr>Chemistry!corr_I_frac</vt:lpstr>
      <vt:lpstr>'Mass Transfer'!d_bubble</vt:lpstr>
      <vt:lpstr>'Mass Transfer'!d_bubble_mm</vt:lpstr>
      <vt:lpstr>'Mass Transfer'!D_CO2</vt:lpstr>
      <vt:lpstr>'Mass Transfer'!D_CO2_ref</vt:lpstr>
      <vt:lpstr>Chemistry!D_HPO4</vt:lpstr>
      <vt:lpstr>Geometry!D_int</vt:lpstr>
      <vt:lpstr>Geometry!D_int_1</vt:lpstr>
      <vt:lpstr>Geometry!D_int_2</vt:lpstr>
      <vt:lpstr>'Mass Transfer'!D_O2</vt:lpstr>
      <vt:lpstr>'Mass Transfer'!d_orifice</vt:lpstr>
      <vt:lpstr>Chemistry!delta_diff</vt:lpstr>
      <vt:lpstr>Geometry!depth_warn</vt:lpstr>
      <vt:lpstr>Geometry!disp_tot</vt:lpstr>
      <vt:lpstr>Biology!DO_frac_fallback</vt:lpstr>
      <vt:lpstr>Biology!DO_frac_target</vt:lpstr>
      <vt:lpstr>'Mass Transfer'!DO_hs_floor</vt:lpstr>
      <vt:lpstr>Biology!DO_impair</vt:lpstr>
      <vt:lpstr>'Mass Transfer'!DO_impair</vt:lpstr>
      <vt:lpstr>Biology!DO_min</vt:lpstr>
      <vt:lpstr>'Mass Transfer'!DO_min</vt:lpstr>
      <vt:lpstr>Biology!DO_opt</vt:lpstr>
      <vt:lpstr>'Mass Transfer'!DO_opt</vt:lpstr>
      <vt:lpstr>'Mass Transfer'!DO_ss</vt:lpstr>
      <vt:lpstr>'Mass Transfer'!DO_ss_sawtooth</vt:lpstr>
      <vt:lpstr>'Mass Transfer'!DO_ss_sawtooth_lag</vt:lpstr>
      <vt:lpstr>'Mass Transfer'!DO_ss_vs_min</vt:lpstr>
      <vt:lpstr>'Mass Transfer'!DO_ss_vs_opt</vt:lpstr>
      <vt:lpstr>'Mass Transfer'!DO_surf_excess</vt:lpstr>
      <vt:lpstr>'Mass Transfer'!DO_surf_excess_lag</vt:lpstr>
      <vt:lpstr>'Mass Transfer'!DO_target</vt:lpstr>
      <vt:lpstr>Biology!DO_toxic</vt:lpstr>
      <vt:lpstr>'Mass Transfer'!DO_toxic</vt:lpstr>
      <vt:lpstr>'Mass Transfer'!DO_vent_eq</vt:lpstr>
      <vt:lpstr>'Mass Transfer'!dur_ok</vt:lpstr>
      <vt:lpstr>'Mass Transfer'!duty</vt:lpstr>
      <vt:lpstr>'Mass Transfer'!duty_actual</vt:lpstr>
      <vt:lpstr>'Mass Transfer'!duty_carbon</vt:lpstr>
      <vt:lpstr>'Mass Transfer'!duty_DO</vt:lpstr>
      <vt:lpstr>'Mass Transfer'!duty_O2vent</vt:lpstr>
      <vt:lpstr>'Mass Transfer'!duty_opt</vt:lpstr>
      <vt:lpstr>Chemistry!E_Cl_margin</vt:lpstr>
      <vt:lpstr>Chemistry!E_Cl2</vt:lpstr>
      <vt:lpstr>Chemistry!E_Cu_margin</vt:lpstr>
      <vt:lpstr>Chemistry!E_HER</vt:lpstr>
      <vt:lpstr>Chemistry!E_OER</vt:lpstr>
      <vt:lpstr>Chemistry!E_ORR2</vt:lpstr>
      <vt:lpstr>Chemistry!E0_Cl2</vt:lpstr>
      <vt:lpstr>Chemistry!E0_Cu</vt:lpstr>
      <vt:lpstr>Chemistry!E0_HER</vt:lpstr>
      <vt:lpstr>Chemistry!E0_OER</vt:lpstr>
      <vt:lpstr>Chemistry!E0_ORR2</vt:lpstr>
      <vt:lpstr>'Mass Transfer'!e1_CO2</vt:lpstr>
      <vt:lpstr>'Mass Transfer'!e2_CO2</vt:lpstr>
      <vt:lpstr>'Mass Transfer'!Ea_D_CO2</vt:lpstr>
      <vt:lpstr>Electrochemistry!ec_corr_I</vt:lpstr>
      <vt:lpstr>Electrochemistry!ec_D_O2</vt:lpstr>
      <vt:lpstr>Electrochemistry!ec_DO_design</vt:lpstr>
      <vt:lpstr>Electrochemistry!ec_DO_frac</vt:lpstr>
      <vt:lpstr>Electrochemistry!ec_E_rev</vt:lpstr>
      <vt:lpstr>Electrochemistry!ec_gap</vt:lpstr>
      <vt:lpstr>Electrochemistry!ec_I_Cl</vt:lpstr>
      <vt:lpstr>Electrochemistry!ec_kappa</vt:lpstr>
      <vt:lpstr>Electrochemistry!ec_O2_ceil</vt:lpstr>
      <vt:lpstr>Electrochemistry!ec_V_L</vt:lpstr>
      <vt:lpstr>Geometry!eff_disp</vt:lpstr>
      <vt:lpstr>Geometry!eff_ID</vt:lpstr>
      <vt:lpstr>Geometry!eff_OD</vt:lpstr>
      <vt:lpstr>Geometry!eff_sub_L</vt:lpstr>
      <vt:lpstr>Geometry!elec_clear</vt:lpstr>
      <vt:lpstr>Geometry!elec_disp</vt:lpstr>
      <vt:lpstr>Geometry!elec_gap</vt:lpstr>
      <vt:lpstr>Geometry!elec_ins</vt:lpstr>
      <vt:lpstr>Geometry!elec_sub_L</vt:lpstr>
      <vt:lpstr>Geometry!elec_sub_L_act</vt:lpstr>
      <vt:lpstr>Electrochemistry!electrode_sel</vt:lpstr>
      <vt:lpstr>Summary!electrode_sel</vt:lpstr>
      <vt:lpstr>ElectrodeList</vt:lpstr>
      <vt:lpstr>'Mass Transfer'!eon_CO2</vt:lpstr>
      <vt:lpstr>Electrochemistry!eta_anode</vt:lpstr>
      <vt:lpstr>Electrochemistry!eta_cath</vt:lpstr>
      <vt:lpstr>Electrochemistry!etaF</vt:lpstr>
      <vt:lpstr>Electrochemistry!etaF_calc</vt:lpstr>
      <vt:lpstr>Electrochemistry!etaF_calc_min</vt:lpstr>
      <vt:lpstr>Electrochemistry!etaF_OER</vt:lpstr>
      <vt:lpstr>Electrochemistry!etaF_OER_calc</vt:lpstr>
      <vt:lpstr>Electrochemistry!f_Cl_anode</vt:lpstr>
      <vt:lpstr>Electrochemistry!F_const</vt:lpstr>
      <vt:lpstr>Electrochemistry!f_HOOH</vt:lpstr>
      <vt:lpstr>Chemistry!f_local</vt:lpstr>
      <vt:lpstr>Chemistry!Fcc</vt:lpstr>
      <vt:lpstr>Chemistry!FE_CER</vt:lpstr>
      <vt:lpstr>'Mass Transfer'!flowrate_cal</vt:lpstr>
      <vt:lpstr>'Mass Transfer'!flush_factor</vt:lpstr>
      <vt:lpstr>'Mass Transfer'!g_const</vt:lpstr>
      <vt:lpstr>Chemistry!gam1</vt:lpstr>
      <vt:lpstr>Chemistry!gam2</vt:lpstr>
      <vt:lpstr>Chemistry!gam3</vt:lpstr>
      <vt:lpstr>Geometry!geom_check</vt:lpstr>
      <vt:lpstr>Electrochemistry!gerrit_int</vt:lpstr>
      <vt:lpstr>Electrochemistry!gerrit_max</vt:lpstr>
      <vt:lpstr>Electrochemistry!gerrit_min</vt:lpstr>
      <vt:lpstr>Electrochemistry!gerrit_slope</vt:lpstr>
      <vt:lpstr>Geometry!h_actual</vt:lpstr>
      <vt:lpstr>Biology!H_CO2_T</vt:lpstr>
      <vt:lpstr>Biology!H_CO2ref</vt:lpstr>
      <vt:lpstr>Biology!H_CO2T</vt:lpstr>
      <vt:lpstr>Geometry!h_datum</vt:lpstr>
      <vt:lpstr>Biology!H_H2_T</vt:lpstr>
      <vt:lpstr>Biology!H_H2ref</vt:lpstr>
      <vt:lpstr>Biology!H_H2T</vt:lpstr>
      <vt:lpstr>Biology!H_O2_T</vt:lpstr>
      <vt:lpstr>'Mass Transfer'!H_O2_T</vt:lpstr>
      <vt:lpstr>Biology!H_O2ref</vt:lpstr>
      <vt:lpstr>Biology!H_O2T</vt:lpstr>
      <vt:lpstr>Biology!H2_cons</vt:lpstr>
      <vt:lpstr>Biology!H2_safety</vt:lpstr>
      <vt:lpstr>Biology!H2_turnover</vt:lpstr>
      <vt:lpstr>Electrochemistry!H2O2_flag</vt:lpstr>
      <vt:lpstr>Electrochemistry!H2O2_lag_1h</vt:lpstr>
      <vt:lpstr>Electrochemistry!H2O2_ss</vt:lpstr>
      <vt:lpstr>Electrochemistry!H2O2_thresh</vt:lpstr>
      <vt:lpstr>'Mass Transfer'!has_cal</vt:lpstr>
      <vt:lpstr>'Mass Transfer'!HB_a</vt:lpstr>
      <vt:lpstr>'Mass Transfer'!HB_b</vt:lpstr>
      <vt:lpstr>'Mass Transfer'!HB_c</vt:lpstr>
      <vt:lpstr>Geometry!headspace_V</vt:lpstr>
      <vt:lpstr>'Mass Transfer'!headspace_V</vt:lpstr>
      <vt:lpstr>'Mass Transfer'!headspace_V_m3</vt:lpstr>
      <vt:lpstr>Chemistry!HOCl_max</vt:lpstr>
      <vt:lpstr>Chemistry!HOCl_ss</vt:lpstr>
      <vt:lpstr>Chemistry!HOCl_ss_mgL</vt:lpstr>
      <vt:lpstr>'Mass Transfer'!holdup</vt:lpstr>
      <vt:lpstr>'Mass Transfer'!hs_flush_time</vt:lpstr>
      <vt:lpstr>'Mass Transfer'!hs_H_CO2</vt:lpstr>
      <vt:lpstr>'Mass Transfer'!hs_O2_allow</vt:lpstr>
      <vt:lpstr>Electrochemistry!I_app</vt:lpstr>
      <vt:lpstr>Chemistry!I_Cl</vt:lpstr>
      <vt:lpstr>Chemistry!I_Cl_FE</vt:lpstr>
      <vt:lpstr>Chemistry!I_Cl_mt</vt:lpstr>
      <vt:lpstr>Chemistry!I_ionic</vt:lpstr>
      <vt:lpstr>Electrochemistry!I_max</vt:lpstr>
      <vt:lpstr>Chemistry!I_mc02</vt:lpstr>
      <vt:lpstr>Electrochemistry!i_ORR_ceiling</vt:lpstr>
      <vt:lpstr>Electrochemistry!i_ORR_design</vt:lpstr>
      <vt:lpstr>Chemistry!I_udg</vt:lpstr>
      <vt:lpstr>Electrochemistry!I_valid</vt:lpstr>
      <vt:lpstr>Chemistry!Iappc</vt:lpstr>
      <vt:lpstr>Electrochemistry!intensity</vt:lpstr>
      <vt:lpstr>Geometry!interface_A</vt:lpstr>
      <vt:lpstr>'Mass Transfer'!interface_A</vt:lpstr>
      <vt:lpstr>Electrochemistry!j_anode</vt:lpstr>
      <vt:lpstr>Chemistry!j_anode_c</vt:lpstr>
      <vt:lpstr>Electrochemistry!j_anode_max</vt:lpstr>
      <vt:lpstr>Electrochemistry!j_bio_flag</vt:lpstr>
      <vt:lpstr>Chemistry!j_buffer_lim</vt:lpstr>
      <vt:lpstr>Chemistry!j_buffer_ratio</vt:lpstr>
      <vt:lpstr>Electrochemistry!j_cath_flag</vt:lpstr>
      <vt:lpstr>Electrochemistry!j_cathode</vt:lpstr>
      <vt:lpstr>Electrochemistry!j_ceiling_default</vt:lpstr>
      <vt:lpstr>Electrochemistry!j_ceiling_strain</vt:lpstr>
      <vt:lpstr>Electrochemistry!j_flag</vt:lpstr>
      <vt:lpstr>Electrochemistry!j_flag_max</vt:lpstr>
      <vt:lpstr>Electrochemistry!j_mat_flag</vt:lpstr>
      <vt:lpstr>Electrochemistry!j_opt_default</vt:lpstr>
      <vt:lpstr>Electrochemistry!j_opt_strain</vt:lpstr>
      <vt:lpstr>Electrochemistry!j_strain_conf</vt:lpstr>
      <vt:lpstr>Electrochemistry!j0_anode</vt:lpstr>
      <vt:lpstr>Electrochemistry!j0_cath</vt:lpstr>
      <vt:lpstr>Electrochemistry!k_cat_cells</vt:lpstr>
      <vt:lpstr>'Mass Transfer'!k_eff_CO2</vt:lpstr>
      <vt:lpstr>Electrochemistry!k_geom</vt:lpstr>
      <vt:lpstr>'Mass Transfer'!k_vent</vt:lpstr>
      <vt:lpstr>Chemistry!k1_NH2Cl</vt:lpstr>
      <vt:lpstr>Chemistry!Ka_HOCl</vt:lpstr>
      <vt:lpstr>Chemistry!Ka_NH4</vt:lpstr>
      <vt:lpstr>Biology!Ka1_carb</vt:lpstr>
      <vt:lpstr>Chemistry!Ka1c</vt:lpstr>
      <vt:lpstr>Chemistry!Ka1c_c</vt:lpstr>
      <vt:lpstr>Chemistry!Ka1p</vt:lpstr>
      <vt:lpstr>Chemistry!Ka1p_c</vt:lpstr>
      <vt:lpstr>Chemistry!Ka2c</vt:lpstr>
      <vt:lpstr>Chemistry!Ka2c_c</vt:lpstr>
      <vt:lpstr>Chemistry!Ka2p</vt:lpstr>
      <vt:lpstr>Chemistry!Ka2p_c</vt:lpstr>
      <vt:lpstr>Chemistry!Ka3p</vt:lpstr>
      <vt:lpstr>Chemistry!Ka3p_c</vt:lpstr>
      <vt:lpstr>Chemistry!KaHOCl_c</vt:lpstr>
      <vt:lpstr>Chemistry!KaN_c</vt:lpstr>
      <vt:lpstr>Chemistry!kappa_fI</vt:lpstr>
      <vt:lpstr>Chemistry!kappa_med</vt:lpstr>
      <vt:lpstr>Chemistry!kappa_TC</vt:lpstr>
      <vt:lpstr>Chemistry!kappa0_mc02</vt:lpstr>
      <vt:lpstr>Chemistry!kappa0_udg</vt:lpstr>
      <vt:lpstr>'Mass Transfer'!kinetic_caveat</vt:lpstr>
      <vt:lpstr>'Mass Transfer'!kL</vt:lpstr>
      <vt:lpstr>'Mass Transfer'!kL_surf</vt:lpstr>
      <vt:lpstr>'Mass Transfer'!kL_surf_crit</vt:lpstr>
      <vt:lpstr>'Mass Transfer'!kLa_avg</vt:lpstr>
      <vt:lpstr>'Mass Transfer'!kLa_CO2_off</vt:lpstr>
      <vt:lpstr>'Mass Transfer'!kLa_meas</vt:lpstr>
      <vt:lpstr>'Mass Transfer'!kLa_req</vt:lpstr>
      <vt:lpstr>'Mass Transfer'!kLa_sparge</vt:lpstr>
      <vt:lpstr>'Mass Transfer'!kLa_surf</vt:lpstr>
      <vt:lpstr>'Mass Transfer'!kLa_surf_req</vt:lpstr>
      <vt:lpstr>'Mass Transfer'!kLa_surf_used</vt:lpstr>
      <vt:lpstr>Chemistry!km_Cl</vt:lpstr>
      <vt:lpstr>Biology!Km_CO2</vt:lpstr>
      <vt:lpstr>Electrochemistry!km_exp</vt:lpstr>
      <vt:lpstr>Electrochemistry!km_O2</vt:lpstr>
      <vt:lpstr>Chemistry!Kw_c</vt:lpstr>
      <vt:lpstr>Chemistry!Kw_w</vt:lpstr>
      <vt:lpstr>Electrochemistry!L_sub</vt:lpstr>
      <vt:lpstr>Chemistry!lam_Ca</vt:lpstr>
      <vt:lpstr>Chemistry!lam_Cl</vt:lpstr>
      <vt:lpstr>Chemistry!lam_H2PO4</vt:lpstr>
      <vt:lpstr>Chemistry!lam_HCO3</vt:lpstr>
      <vt:lpstr>Chemistry!lam_HPO4</vt:lpstr>
      <vt:lpstr>Chemistry!lam_K</vt:lpstr>
      <vt:lpstr>Chemistry!lam_Mg</vt:lpstr>
      <vt:lpstr>Chemistry!lam_Na</vt:lpstr>
      <vt:lpstr>Chemistry!lam_NH4</vt:lpstr>
      <vt:lpstr>Chemistry!lam_SO4</vt:lpstr>
      <vt:lpstr>'Mass Transfer'!latest_date</vt:lpstr>
      <vt:lpstr>Summary!led_intensity</vt:lpstr>
      <vt:lpstr>Chemistry!M_Cl2</vt:lpstr>
      <vt:lpstr>'Mass Transfer'!M_CO2</vt:lpstr>
      <vt:lpstr>Electrochemistry!M_H2O2</vt:lpstr>
      <vt:lpstr>Chemistry!M_HOCl</vt:lpstr>
      <vt:lpstr>Chemistry!mc_CaSO4_2H2O</vt:lpstr>
      <vt:lpstr>Chemistry!mc_K2SO4</vt:lpstr>
      <vt:lpstr>Chemistry!mc_MgSO4_7H2O</vt:lpstr>
      <vt:lpstr>Chemistry!mc_Na2HPO4</vt:lpstr>
      <vt:lpstr>Chemistry!mc_NaH2PO4_2H2O</vt:lpstr>
      <vt:lpstr>Chemistry!mc_NH42SO4</vt:lpstr>
      <vt:lpstr>Summary!media_sel</vt:lpstr>
      <vt:lpstr>Geometry!media_vol_warn</vt:lpstr>
      <vt:lpstr>Geometry!media_volume</vt:lpstr>
      <vt:lpstr>Summary!media_volume</vt:lpstr>
      <vt:lpstr>MediaList</vt:lpstr>
      <vt:lpstr>'Mass Transfer'!mend_a</vt:lpstr>
      <vt:lpstr>'Mass Transfer'!mend_b</vt:lpstr>
      <vt:lpstr>Chemistry!metal_flag</vt:lpstr>
      <vt:lpstr>Chemistry!metal_leach_rate</vt:lpstr>
      <vt:lpstr>Chemistry!metal_MW</vt:lpstr>
      <vt:lpstr>Chemistry!metal_tox_thresh</vt:lpstr>
      <vt:lpstr>Chemistry!metal_z</vt:lpstr>
      <vt:lpstr>'Mass Transfer'!min_sparge_cal</vt:lpstr>
      <vt:lpstr>Chemistry!MW_CaCl2</vt:lpstr>
      <vt:lpstr>Chemistry!MW_CaSO4_2H2O</vt:lpstr>
      <vt:lpstr>Chemistry!MW_K2SO4</vt:lpstr>
      <vt:lpstr>Chemistry!MW_KH2PO4</vt:lpstr>
      <vt:lpstr>Chemistry!MW_MgSO4_7H2O</vt:lpstr>
      <vt:lpstr>Chemistry!MW_N</vt:lpstr>
      <vt:lpstr>Chemistry!MW_Na2HPO4</vt:lpstr>
      <vt:lpstr>Chemistry!MW_NaH2PO4_2H2O</vt:lpstr>
      <vt:lpstr>Chemistry!MW_NaHCO3</vt:lpstr>
      <vt:lpstr>Chemistry!MW_NH42SO4</vt:lpstr>
      <vt:lpstr>Chemistry!n_cross</vt:lpstr>
      <vt:lpstr>Chemistry!n_e_Cl</vt:lpstr>
      <vt:lpstr>'Mass Transfer'!n_hs_gas</vt:lpstr>
      <vt:lpstr>'Mass Transfer'!n_pores_active</vt:lpstr>
      <vt:lpstr>'Mass Transfer'!nCO2_rate</vt:lpstr>
      <vt:lpstr>Chemistry!nernst_slope</vt:lpstr>
      <vt:lpstr>Chemistry!NH2Cl_hi</vt:lpstr>
      <vt:lpstr>Chemistry!NH2Cl_lo</vt:lpstr>
      <vt:lpstr>Chemistry!NH2Cl_mgL</vt:lpstr>
      <vt:lpstr>Chemistry!NH3_free</vt:lpstr>
      <vt:lpstr>Chemistry!NH3_N</vt:lpstr>
      <vt:lpstr>Chemistry!NT_mc02</vt:lpstr>
      <vt:lpstr>Chemistry!NT_udg</vt:lpstr>
      <vt:lpstr>'Mass Transfer'!O2_accum</vt:lpstr>
      <vt:lpstr>Electrochemistry!O2_cathode_ORR</vt:lpstr>
      <vt:lpstr>Biology!O2_ceil_atm</vt:lpstr>
      <vt:lpstr>Biology!O2_ceil_C</vt:lpstr>
      <vt:lpstr>'Mass Transfer'!O2_ceil_C</vt:lpstr>
      <vt:lpstr>Biology!O2_ceil_Pa</vt:lpstr>
      <vt:lpstr>'Mass Transfer'!O2_ceil_Pa</vt:lpstr>
      <vt:lpstr>Biology!O2_ceil_uM</vt:lpstr>
      <vt:lpstr>Biology!O2_cons</vt:lpstr>
      <vt:lpstr>Biology!O2_excess</vt:lpstr>
      <vt:lpstr>'Mass Transfer'!O2_excess</vt:lpstr>
      <vt:lpstr>Biology!O2_net_gen</vt:lpstr>
      <vt:lpstr>Electrochemistry!O2_net_gen</vt:lpstr>
      <vt:lpstr>'Mass Transfer'!O2_net_gen</vt:lpstr>
      <vt:lpstr>'Mass Transfer'!O2_removal_ratio</vt:lpstr>
      <vt:lpstr>'Mass Transfer'!O2_src_guard</vt:lpstr>
      <vt:lpstr>'Mass Transfer'!O2_strip_pulse</vt:lpstr>
      <vt:lpstr>'Mass Transfer'!od_ok</vt:lpstr>
      <vt:lpstr>'Mass Transfer'!opt_binding</vt:lpstr>
      <vt:lpstr>Biology!organism_sel</vt:lpstr>
      <vt:lpstr>Summary!organism_sel</vt:lpstr>
      <vt:lpstr>OrganismList</vt:lpstr>
      <vt:lpstr>Biology!P_atm</vt:lpstr>
      <vt:lpstr>Electrochemistry!P_atm</vt:lpstr>
      <vt:lpstr>'Mass Transfer'!P_atm</vt:lpstr>
      <vt:lpstr>Summary!P_atm_set</vt:lpstr>
      <vt:lpstr>Biology!p_CO2_sparge</vt:lpstr>
      <vt:lpstr>Chemistry!P_HOCl</vt:lpstr>
      <vt:lpstr>'Mass Transfer'!p_sat_w</vt:lpstr>
      <vt:lpstr>Biology!Pa_per_atm</vt:lpstr>
      <vt:lpstr>Electrochemistry!pcet_credit</vt:lpstr>
      <vt:lpstr>'Mass Transfer'!pCO2_air</vt:lpstr>
      <vt:lpstr>Chemistry!pH_band_flag</vt:lpstr>
      <vt:lpstr>Chemistry!pH_Cl</vt:lpstr>
      <vt:lpstr>Biology!pH_CO2_unbuf</vt:lpstr>
      <vt:lpstr>Chemistry!pH_fHOCl</vt:lpstr>
      <vt:lpstr>Chemistry!pH_meas</vt:lpstr>
      <vt:lpstr>Chemistry!pH_NT</vt:lpstr>
      <vt:lpstr>Chemistry!pH_op</vt:lpstr>
      <vt:lpstr>Chemistry!pH_PT</vt:lpstr>
      <vt:lpstr>Chemistry!pH_SID</vt:lpstr>
      <vt:lpstr>Chemistry!pKa_HOCl</vt:lpstr>
      <vt:lpstr>Chemistry!pKa_NH4</vt:lpstr>
      <vt:lpstr>'Mass Transfer'!pool_a</vt:lpstr>
      <vt:lpstr>'Mass Transfer'!pool_b</vt:lpstr>
      <vt:lpstr>'Mass Transfer'!pool_beta_ratio</vt:lpstr>
      <vt:lpstr>'Mass Transfer'!pool_e</vt:lpstr>
      <vt:lpstr>'Mass Transfer'!por_grade</vt:lpstr>
      <vt:lpstr>Electrochemistry!por_grade_e</vt:lpstr>
      <vt:lpstr>'Mass Transfer'!por_pore</vt:lpstr>
      <vt:lpstr>'Mass Transfer'!por0_um</vt:lpstr>
      <vt:lpstr>'Mass Transfer'!por1_um</vt:lpstr>
      <vt:lpstr>'Mass Transfer'!por2_um</vt:lpstr>
      <vt:lpstr>'Mass Transfer'!por3_um</vt:lpstr>
      <vt:lpstr>'Mass Transfer'!por4_um</vt:lpstr>
      <vt:lpstr>'Mass Transfer'!por5_um</vt:lpstr>
      <vt:lpstr>Electrochemistry!power_max</vt:lpstr>
      <vt:lpstr>Chemistry!PT_mc02</vt:lpstr>
      <vt:lpstr>Chemistry!PT_udg</vt:lpstr>
      <vt:lpstr>'Mass Transfer'!pulse_floor</vt:lpstr>
      <vt:lpstr>'Mass Transfer'!pulses_d</vt:lpstr>
      <vt:lpstr>'Mass Transfer'!pulses_h</vt:lpstr>
      <vt:lpstr>'Mass Transfer'!pw_A</vt:lpstr>
      <vt:lpstr>'Mass Transfer'!pw_B</vt:lpstr>
      <vt:lpstr>'Mass Transfer'!pw_C</vt:lpstr>
      <vt:lpstr>'Mass Transfer'!Q_CO2</vt:lpstr>
      <vt:lpstr>'Mass Transfer'!Q_vent</vt:lpstr>
      <vt:lpstr>Electrochemistry!R_cell</vt:lpstr>
      <vt:lpstr>Chemistry!R_chloramine</vt:lpstr>
      <vt:lpstr>Chemistry!R_chloramine_hi</vt:lpstr>
      <vt:lpstr>Chemistry!R_chloramine_lo</vt:lpstr>
      <vt:lpstr>Chemistry!R_gas</vt:lpstr>
      <vt:lpstr>Electrochemistry!R_gas</vt:lpstr>
      <vt:lpstr>'Mass Transfer'!R_gas</vt:lpstr>
      <vt:lpstr>Electrochemistry!r_H2O2</vt:lpstr>
      <vt:lpstr>'Mass Transfer'!Reactor</vt:lpstr>
      <vt:lpstr>Geometry!reactor_sel</vt:lpstr>
      <vt:lpstr>Summary!Reactor_sel</vt:lpstr>
      <vt:lpstr>ReactorList</vt:lpstr>
      <vt:lpstr>Biology!rH2_gen</vt:lpstr>
      <vt:lpstr>Electrochemistry!rH2_gen</vt:lpstr>
      <vt:lpstr>'Mass Transfer'!rho_0</vt:lpstr>
      <vt:lpstr>'Mass Transfer'!rho_CO2</vt:lpstr>
      <vt:lpstr>'Mass Transfer'!rho_k</vt:lpstr>
      <vt:lpstr>'Mass Transfer'!rho_L</vt:lpstr>
      <vt:lpstr>Electrochemistry!rO2_gen</vt:lpstr>
      <vt:lpstr>Geometry!rod_d</vt:lpstr>
      <vt:lpstr>Geometry!rod_n</vt:lpstr>
      <vt:lpstr>Geometry!rx_ver</vt:lpstr>
      <vt:lpstr>'Mass Transfer'!s_renew</vt:lpstr>
      <vt:lpstr>'Mass Transfer'!sched_bal</vt:lpstr>
      <vt:lpstr>'Mass Transfer'!sched_mode</vt:lpstr>
      <vt:lpstr>'Mass Transfer'!sched_regime</vt:lpstr>
      <vt:lpstr>'Mass Transfer'!sched_valid</vt:lpstr>
      <vt:lpstr>Chemistry!SID_mc02</vt:lpstr>
      <vt:lpstr>Chemistry!SID_udg</vt:lpstr>
      <vt:lpstr>'Mass Transfer'!sigma</vt:lpstr>
      <vt:lpstr>'Mass Transfer'!sigma_0</vt:lpstr>
      <vt:lpstr>'Mass Transfer'!sigma_k</vt:lpstr>
      <vt:lpstr>Geometry!sparge_depth</vt:lpstr>
      <vt:lpstr>'Mass Transfer'!sparger</vt:lpstr>
      <vt:lpstr>Electrochemistry!sparger_e</vt:lpstr>
      <vt:lpstr>Geometry!spg_disp</vt:lpstr>
      <vt:lpstr>'Mass Transfer'!spg_dur</vt:lpstr>
      <vt:lpstr>'Mass Transfer'!spg_dur_man</vt:lpstr>
      <vt:lpstr>'Mass Transfer'!spg_dur_opt</vt:lpstr>
      <vt:lpstr>Geometry!spg_ID</vt:lpstr>
      <vt:lpstr>'Mass Transfer'!spg_ID</vt:lpstr>
      <vt:lpstr>'Mass Transfer'!spg_int</vt:lpstr>
      <vt:lpstr>'Mass Transfer'!spg_int_carbon</vt:lpstr>
      <vt:lpstr>'Mass Transfer'!spg_int_DO</vt:lpstr>
      <vt:lpstr>'Mass Transfer'!spg_int_man</vt:lpstr>
      <vt:lpstr>'Mass Transfer'!spg_int_max</vt:lpstr>
      <vt:lpstr>'Mass Transfer'!spg_int_opt</vt:lpstr>
      <vt:lpstr>'Mass Transfer'!spg_int_opt_s</vt:lpstr>
      <vt:lpstr>'Mass Transfer'!spg_int_regime</vt:lpstr>
      <vt:lpstr>Geometry!spg_len</vt:lpstr>
      <vt:lpstr>'Mass Transfer'!spg_name_1</vt:lpstr>
      <vt:lpstr>'Mass Transfer'!spg_name_2</vt:lpstr>
      <vt:lpstr>Geometry!spg_OD</vt:lpstr>
      <vt:lpstr>Geometry!spg_tip_h</vt:lpstr>
      <vt:lpstr>'Mass Transfer'!sqrtD_CO2</vt:lpstr>
      <vt:lpstr>Geometry!stir_bar_L</vt:lpstr>
      <vt:lpstr>'Mass Transfer'!stir_len</vt:lpstr>
      <vt:lpstr>'Mass Transfer'!stir_rpm</vt:lpstr>
      <vt:lpstr>Summary!stir_rpm_set</vt:lpstr>
      <vt:lpstr>'Mass Transfer'!strip_avg</vt:lpstr>
      <vt:lpstr>'Mass Transfer'!strip_ratio</vt:lpstr>
      <vt:lpstr>'Mass Transfer'!strip_sparge</vt:lpstr>
      <vt:lpstr>'Mass Transfer'!surf_ratio</vt:lpstr>
      <vt:lpstr>'Mass Transfer'!surf_strip</vt:lpstr>
      <vt:lpstr>Biology!T_C</vt:lpstr>
      <vt:lpstr>'Mass Transfer'!t_contact</vt:lpstr>
      <vt:lpstr>Biology!t_H2_sat</vt:lpstr>
      <vt:lpstr>Electrochemistry!t_H2O2_thresh</vt:lpstr>
      <vt:lpstr>Biology!T_K</vt:lpstr>
      <vt:lpstr>Electrochemistry!T_K</vt:lpstr>
      <vt:lpstr>'Mass Transfer'!T_K</vt:lpstr>
      <vt:lpstr>'Mass Transfer'!t_O2_ceiling</vt:lpstr>
      <vt:lpstr>'Mass Transfer'!t_O2_ceiling_lag</vt:lpstr>
      <vt:lpstr>'Mass Transfer'!t_O2_ceiling_rem</vt:lpstr>
      <vt:lpstr>'Mass Transfer'!t_O2_ceiling_strip</vt:lpstr>
      <vt:lpstr>'Mass Transfer'!t_off_CO2</vt:lpstr>
      <vt:lpstr>'Mass Transfer'!t_on_CO2</vt:lpstr>
      <vt:lpstr>Biology!T_ref</vt:lpstr>
      <vt:lpstr>'Mass Transfer'!target_DO_frac</vt:lpstr>
      <vt:lpstr>'Mass Transfer'!tau_hs</vt:lpstr>
      <vt:lpstr>Chemistry!tau_NH2Cl</vt:lpstr>
      <vt:lpstr>Chemistry!tau_NH2Cl_hi</vt:lpstr>
      <vt:lpstr>Chemistry!tau_NH2Cl_lo</vt:lpstr>
      <vt:lpstr>'Mass Transfer'!tau_surf_floor</vt:lpstr>
      <vt:lpstr>Summary!temp_C</vt:lpstr>
      <vt:lpstr>'Mass Transfer'!tip_speed</vt:lpstr>
      <vt:lpstr>'Mass Transfer'!tip_warn</vt:lpstr>
      <vt:lpstr>Chemistry!TKc</vt:lpstr>
      <vt:lpstr>'Mass Transfer'!tube_d_m</vt:lpstr>
      <vt:lpstr>'Mass Transfer'!u_g_max</vt:lpstr>
      <vt:lpstr>'Mass Transfer'!u_rise</vt:lpstr>
      <vt:lpstr>'Mass Transfer'!u_sg</vt:lpstr>
      <vt:lpstr>Chemistry!udg_CaCl2</vt:lpstr>
      <vt:lpstr>Chemistry!udg_KH2PO4</vt:lpstr>
      <vt:lpstr>Chemistry!udg_MgSO4_7H2O</vt:lpstr>
      <vt:lpstr>Chemistry!udg_Na2HPO4</vt:lpstr>
      <vt:lpstr>Chemistry!udg_NaHCO3</vt:lpstr>
      <vt:lpstr>Chemistry!udg_NH42SO4</vt:lpstr>
      <vt:lpstr>Electrochemistry!V_cell_est</vt:lpstr>
      <vt:lpstr>Biology!V_charge</vt:lpstr>
      <vt:lpstr>Geometry!V_charge</vt:lpstr>
      <vt:lpstr>'Mass Transfer'!V_charge</vt:lpstr>
      <vt:lpstr>Electrochemistry!V_flag</vt:lpstr>
      <vt:lpstr>Electrochemistry!V_gas_total</vt:lpstr>
      <vt:lpstr>Electrochemistry!V_H2_gen</vt:lpstr>
      <vt:lpstr>Electrochemistry!V_headroom</vt:lpstr>
      <vt:lpstr>Geometry!V_inserts</vt:lpstr>
      <vt:lpstr>Electrochemistry!V_IR</vt:lpstr>
      <vt:lpstr>'Mass Transfer'!V_L_m3</vt:lpstr>
      <vt:lpstr>Geometry!V_max</vt:lpstr>
      <vt:lpstr>Electrochemistry!V_O2_gen</vt:lpstr>
      <vt:lpstr>'Mass Transfer'!v_orifice</vt:lpstr>
      <vt:lpstr>Electrochemistry!V_rail</vt:lpstr>
      <vt:lpstr>Geometry!V_vial_total</vt:lpstr>
      <vt:lpstr>'Mass Transfer'!vent_floor_chk</vt:lpstr>
      <vt:lpstr>Geometry!ver_name_1</vt:lpstr>
      <vt:lpstr>Geometry!ver_name_2</vt:lpstr>
      <vt:lpstr>'Mass Transfer'!Vg_CO2</vt:lpstr>
      <vt:lpstr>Geometry!vial_ID</vt:lpstr>
      <vt:lpstr>'Mass Transfer'!vial_ID</vt:lpstr>
      <vt:lpstr>Geometry!vial_OD</vt:lpstr>
      <vt:lpstr>Geometry!vial_OD_1</vt:lpstr>
      <vt:lpstr>Geometry!vial_OD_2</vt:lpstr>
      <vt:lpstr>Geometry!vial_wall</vt:lpstr>
      <vt:lpstr>Chemistry!VLc</vt:lpstr>
      <vt:lpstr>Geometry!Vmax_1</vt:lpstr>
      <vt:lpstr>Geometry!Vmax_2</vt:lpstr>
      <vt:lpstr>Geometry!Vtot_1</vt:lpstr>
      <vt:lpstr>Geometry!Vtot_2</vt:lpstr>
      <vt:lpstr>'Mass Transfer'!We_orifice</vt:lpstr>
      <vt:lpstr>Geometry!xtube_n</vt:lpstr>
      <vt:lpstr>Geometry!xtube_OD</vt:lpstr>
      <vt:lpstr>Geometry!xtube_pro</vt:lpstr>
      <vt:lpstr>'Mass Transfer'!y_O2_actual</vt:lpstr>
      <vt:lpstr>'Mass Transfer'!y_O2_star</vt:lpstr>
      <vt:lpstr>'Mass Transfer'!y_O2_vent</vt:lpstr>
      <vt:lpstr>Electrochemistry!z_e_H2</vt:lpstr>
      <vt:lpstr>Electrochemistry!z_e_O2</vt:lpstr>
      <vt:lpstr>Electrochemistry!z_e_ORR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Currie</cp:lastModifiedBy>
  <cp:revision>0</cp:revision>
  <dcterms:created xsi:type="dcterms:W3CDTF">2026-06-05T08:40:06Z</dcterms:created>
  <dcterms:modified xsi:type="dcterms:W3CDTF">2026-08-12T13:10:48Z</dcterms:modified>
  <dc:language>en-US</dc:language>
</cp:coreProperties>
</file>