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Lists" sheetId="2" state="hidden" r:id="rId4"/>
  </sheets>
  <definedNames>
    <definedName function="false" hidden="false" name="a_int" vbProcedure="false">Model!$D$151</definedName>
    <definedName function="false" hidden="false" name="A_x" vbProcedure="false">Model!$D$38</definedName>
    <definedName function="false" hidden="false" name="bio_CO2" vbProcedure="false">Model!$D$88</definedName>
    <definedName function="false" hidden="false" name="bio_H2" vbProcedure="false">Model!$D$86</definedName>
    <definedName function="false" hidden="false" name="bio_O2" vbProcedure="false">Model!$D$87</definedName>
    <definedName function="false" hidden="false" name="carry_flag" vbProcedure="false">Model!$D$164</definedName>
    <definedName function="false" hidden="false" name="CO2_cons" vbProcedure="false">Model!$D$91</definedName>
    <definedName function="false" hidden="false" name="CO2_pulse" vbProcedure="false">Model!$D$119</definedName>
    <definedName function="false" hidden="false" name="CO2_sd_ratio" vbProcedure="false">Model!$D$123</definedName>
    <definedName function="false" hidden="false" name="CO2_supply" vbProcedure="false">Model!$D$122</definedName>
    <definedName function="false" hidden="false" name="disp_tot" vbProcedure="false">Model!$D$57</definedName>
    <definedName function="false" hidden="false" name="dur_ok" vbProcedure="false">Model!$D$171</definedName>
    <definedName function="false" hidden="false" name="duty" vbProcedure="false">Model!$D$124</definedName>
    <definedName function="false" hidden="false" name="d_bubble" vbProcedure="false">Model!$D$141</definedName>
    <definedName function="false" hidden="false" name="d_bubble_mm" vbProcedure="false">Model!$D$142</definedName>
    <definedName function="false" hidden="false" name="D_int" vbProcedure="false">Model!$D$39</definedName>
    <definedName function="false" hidden="false" name="D_int_1" vbProcedure="false">Model!$D$26</definedName>
    <definedName function="false" hidden="false" name="D_int_2" vbProcedure="false">Model!$D$27</definedName>
    <definedName function="false" hidden="false" name="D_O2" vbProcedure="false">Model!$D$131</definedName>
    <definedName function="false" hidden="false" name="d_orifice" vbProcedure="false">Model!$D$140</definedName>
    <definedName function="false" hidden="false" name="eff_disp" vbProcedure="false">Model!$D$56</definedName>
    <definedName function="false" hidden="false" name="eff_ID" vbProcedure="false">Model!$D$51</definedName>
    <definedName function="false" hidden="false" name="eff_OD" vbProcedure="false">Model!$D$50</definedName>
    <definedName function="false" hidden="false" name="eff_sub_L" vbProcedure="false">Model!$D$55</definedName>
    <definedName function="false" hidden="false" name="elec_clear" vbProcedure="false">Model!$D$45</definedName>
    <definedName function="false" hidden="false" name="elec_disp" vbProcedure="false">Model!$D$53</definedName>
    <definedName function="false" hidden="false" name="elec_ins" vbProcedure="false">Model!$D$46</definedName>
    <definedName function="false" hidden="false" name="elec_sub_L" vbProcedure="false">Model!$D$52</definedName>
    <definedName function="false" hidden="false" name="etaF" vbProcedure="false">Model!$D$78</definedName>
    <definedName function="false" hidden="false" name="F_const" vbProcedure="false">Model!$D$75</definedName>
    <definedName function="false" hidden="false" name="gerrit_int" vbProcedure="false">Model!$D$72</definedName>
    <definedName function="false" hidden="false" name="gerrit_max" vbProcedure="false">Model!$D$74</definedName>
    <definedName function="false" hidden="false" name="gerrit_min" vbProcedure="false">Model!$D$73</definedName>
    <definedName function="false" hidden="false" name="gerrit_slope" vbProcedure="false">Model!$D$71</definedName>
    <definedName function="false" hidden="false" name="g_const" vbProcedure="false">Model!$D$130</definedName>
    <definedName function="false" hidden="false" name="H2_cons" vbProcedure="false">Model!$D$89</definedName>
    <definedName function="false" hidden="false" name="headspace_V" vbProcedure="false">Model!$D$66</definedName>
    <definedName function="false" hidden="false" name="holdup" vbProcedure="false">Model!$D$150</definedName>
    <definedName function="false" hidden="false" name="h_actual" vbProcedure="false">Model!$D$59</definedName>
    <definedName function="false" hidden="false" name="h_datum" vbProcedure="false">Model!$D$42</definedName>
    <definedName function="false" hidden="false" name="H_O2ref" vbProcedure="false">Model!$D$100</definedName>
    <definedName function="false" hidden="false" name="H_O2T" vbProcedure="false">Model!$D$101</definedName>
    <definedName function="false" hidden="false" name="H_O2_T" vbProcedure="false">Model!$D$103</definedName>
    <definedName function="false" hidden="false" name="intensity" vbProcedure="false">Model!$D$70</definedName>
    <definedName function="false" hidden="false" name="interface_A" vbProcedure="false">Model!$D$61</definedName>
    <definedName function="false" hidden="false" name="I_app" vbProcedure="false">Model!$D$79</definedName>
    <definedName function="false" hidden="false" name="I_valid" vbProcedure="false">Model!$D$80</definedName>
    <definedName function="false" hidden="false" name="kL" vbProcedure="false">Model!$D$153</definedName>
    <definedName function="false" hidden="false" name="kLa_avg" vbProcedure="false">Model!$D$155</definedName>
    <definedName function="false" hidden="false" name="kLa_req" vbProcedure="false">Model!$D$159</definedName>
    <definedName function="false" hidden="false" name="kLa_sparge" vbProcedure="false">Model!$D$154</definedName>
    <definedName function="false" hidden="false" name="mend_a" vbProcedure="false">Model!$D$143</definedName>
    <definedName function="false" hidden="false" name="mend_b" vbProcedure="false">Model!$D$144</definedName>
    <definedName function="false" hidden="false" name="M_CO2" vbProcedure="false">Model!$D$117</definedName>
    <definedName function="false" hidden="false" name="nCO2_rate" vbProcedure="false">Model!$D$118</definedName>
    <definedName function="false" hidden="false" name="O2_accum" vbProcedure="false">Model!$D$168</definedName>
    <definedName function="false" hidden="false" name="O2_ceil_atm" vbProcedure="false">Model!$D$104</definedName>
    <definedName function="false" hidden="false" name="O2_ceil_C" vbProcedure="false">Model!$D$107</definedName>
    <definedName function="false" hidden="false" name="O2_ceil_Pa" vbProcedure="false">Model!$D$106</definedName>
    <definedName function="false" hidden="false" name="O2_ceil_uM" vbProcedure="false">Model!$D$108</definedName>
    <definedName function="false" hidden="false" name="O2_cons" vbProcedure="false">Model!$D$90</definedName>
    <definedName function="false" hidden="false" name="O2_excess" vbProcedure="false">Model!$D$92</definedName>
    <definedName function="false" hidden="false" name="O2_strip_pulse" vbProcedure="false">Model!$D$169</definedName>
    <definedName function="false" hidden="false" name="Pa_per_atm" vbProcedure="false">Model!$D$99</definedName>
    <definedName function="false" hidden="false" name="por0_um" vbProcedure="false">Model!$D$132</definedName>
    <definedName function="false" hidden="false" name="por1_um" vbProcedure="false">Model!$D$133</definedName>
    <definedName function="false" hidden="false" name="por2_um" vbProcedure="false">Model!$D$134</definedName>
    <definedName function="false" hidden="false" name="por3_um" vbProcedure="false">Model!$D$135</definedName>
    <definedName function="false" hidden="false" name="por4_um" vbProcedure="false">Model!$D$136</definedName>
    <definedName function="false" hidden="false" name="por5_um" vbProcedure="false">Model!$D$137</definedName>
    <definedName function="false" hidden="false" name="por_grade" vbProcedure="false">Model!$D$16</definedName>
    <definedName function="false" hidden="false" name="por_pore" vbProcedure="false">Model!$D$138</definedName>
    <definedName function="false" hidden="false" name="pulses_d" vbProcedure="false">Model!$D$121</definedName>
    <definedName function="false" hidden="false" name="pulses_h" vbProcedure="false">Model!$D$120</definedName>
    <definedName function="false" hidden="false" name="pulse_floor" vbProcedure="false">Model!$D$115</definedName>
    <definedName function="false" hidden="false" name="P_atm" vbProcedure="false">Model!$D$98</definedName>
    <definedName function="false" hidden="false" name="Q_CO2" vbProcedure="false">Model!$D$112</definedName>
    <definedName function="false" hidden="false" name="rH2_gen" vbProcedure="false">Model!$D$81</definedName>
    <definedName function="false" hidden="false" name="rho_L" vbProcedure="false">Model!$D$129</definedName>
    <definedName function="false" hidden="false" name="rO2_gen" vbProcedure="false">Model!$D$82</definedName>
    <definedName function="false" hidden="false" name="rod_d" vbProcedure="false">Model!$D$43</definedName>
    <definedName function="false" hidden="false" name="rod_n" vbProcedure="false">Model!$D$44</definedName>
    <definedName function="false" hidden="false" name="rx_ver" vbProcedure="false">Model!$D$14</definedName>
    <definedName function="false" hidden="false" name="R_gas" vbProcedure="false">Model!$D$116</definedName>
    <definedName function="false" hidden="false" name="sched_bal" vbProcedure="false">Model!$D$170</definedName>
    <definedName function="false" hidden="false" name="sched_verdict" vbProcedure="false">Model!$D$172</definedName>
    <definedName function="false" hidden="false" name="sigma" vbProcedure="false">Model!$D$128</definedName>
    <definedName function="false" hidden="false" name="sparger" vbProcedure="false">Model!$D$15</definedName>
    <definedName function="false" hidden="false" name="sparge_depth" vbProcedure="false">Model!$D$60</definedName>
    <definedName function="false" hidden="false" name="spg_disp" vbProcedure="false">Model!$D$54</definedName>
    <definedName function="false" hidden="false" name="spg_dur" vbProcedure="false">Model!$D$113</definedName>
    <definedName function="false" hidden="false" name="spg_ID" vbProcedure="false">Model!$D$48</definedName>
    <definedName function="false" hidden="false" name="spg_int" vbProcedure="false">Model!$D$114</definedName>
    <definedName function="false" hidden="false" name="spg_name_1" vbProcedure="false">Model!$D$19</definedName>
    <definedName function="false" hidden="false" name="spg_name_2" vbProcedure="false">Model!$D$20</definedName>
    <definedName function="false" hidden="false" name="spg_OD" vbProcedure="false">Model!$D$47</definedName>
    <definedName function="false" hidden="false" name="spg_tip_h" vbProcedure="false">Model!$D$49</definedName>
    <definedName function="false" hidden="false" name="strip_avg" vbProcedure="false">Model!$D$157</definedName>
    <definedName function="false" hidden="false" name="strip_ratio" vbProcedure="false">Model!$D$158</definedName>
    <definedName function="false" hidden="false" name="strip_sparge" vbProcedure="false">Model!$D$156</definedName>
    <definedName function="false" hidden="false" name="tube_d_m" vbProcedure="false">Model!$D$139</definedName>
    <definedName function="false" hidden="false" name="T_C" vbProcedure="false">Model!$D$96</definedName>
    <definedName function="false" hidden="false" name="t_contact" vbProcedure="false">Model!$D$152</definedName>
    <definedName function="false" hidden="false" name="T_K" vbProcedure="false">Model!$D$97</definedName>
    <definedName function="false" hidden="false" name="T_ref" vbProcedure="false">Model!$D$102</definedName>
    <definedName function="false" hidden="false" name="u_g_max" vbProcedure="false">Model!$D$163</definedName>
    <definedName function="false" hidden="false" name="u_rise" vbProcedure="false">Model!$D$145</definedName>
    <definedName function="false" hidden="false" name="u_sg" vbProcedure="false">Model!$D$149</definedName>
    <definedName function="false" hidden="false" name="ver_name_1" vbProcedure="false">Model!$D$17</definedName>
    <definedName function="false" hidden="false" name="ver_name_2" vbProcedure="false">Model!$D$18</definedName>
    <definedName function="false" hidden="false" name="vial_ID" vbProcedure="false">Model!$D$37</definedName>
    <definedName function="false" hidden="false" name="vial_OD" vbProcedure="false">Model!$D$35</definedName>
    <definedName function="false" hidden="false" name="vial_OD_1" vbProcedure="false">Model!$D$24</definedName>
    <definedName function="false" hidden="false" name="vial_OD_2" vbProcedure="false">Model!$D$25</definedName>
    <definedName function="false" hidden="false" name="vial_wall" vbProcedure="false">Model!$D$36</definedName>
    <definedName function="false" hidden="false" name="Vmax_1" vbProcedure="false">Model!$D$28</definedName>
    <definedName function="false" hidden="false" name="Vmax_2" vbProcedure="false">Model!$D$29</definedName>
    <definedName function="false" hidden="false" name="Vtot_1" vbProcedure="false">Model!$D$30</definedName>
    <definedName function="false" hidden="false" name="Vtot_2" vbProcedure="false">Model!$D$31</definedName>
    <definedName function="false" hidden="false" name="V_charge" vbProcedure="false">Model!$D$58</definedName>
    <definedName function="false" hidden="false" name="V_inserts" vbProcedure="false">Model!$D$65</definedName>
    <definedName function="false" hidden="false" name="V_max" vbProcedure="false">Model!$D$40</definedName>
    <definedName function="false" hidden="false" name="V_vial_total" vbProcedure="false">Model!$D$41</definedName>
    <definedName function="false" hidden="false" name="xtube_n" vbProcedure="false">Model!$D$63</definedName>
    <definedName function="false" hidden="false" name="xtube_OD" vbProcedure="false">Model!$D$62</definedName>
    <definedName function="false" hidden="false" name="xtube_pro" vbProcedure="false">Model!$D$64</definedName>
    <definedName function="false" hidden="false" name="z_e_H2" vbProcedure="false">Model!$D$76</definedName>
    <definedName function="false" hidden="false" name="z_e_O2" vbProcedure="false">Model!$D$77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<sst xmlns="http://schemas.openxmlformats.org/spreadsheetml/2006/main" count="595" uniqueCount="444">
  <si>
    <t xml:space="preserve">electroPioreactor - CO₂ dosing &amp; O₂ management model</t>
  </si>
  <si>
    <t xml:space="preserve">AMYBO aseptic electro-bioreactor - hydrogen-oxidising bacteria (C. necator) grown on electrolytic H₂/O₂ + dosed CO₂. UK English, SI. PHASE 1 (refined). Rule: every cell is a number, text, or a formula; formulae carry no embedded data values - each datum lives in its own named, sourced cell (only self-evident unit/stoichiometric integers appear inline). Invalid selector entries return an error by design. Sensitivity analysis deferred.</t>
  </si>
  <si>
    <t xml:space="preserve">Confidence legend (source-cell colour):</t>
  </si>
  <si>
    <t xml:space="preserve">Verified / handbook / defined / standard</t>
  </si>
  <si>
    <t xml:space="preserve">Literature-supported (~90%)</t>
  </si>
  <si>
    <t xml:space="preserve">Design assumption (~70%)</t>
  </si>
  <si>
    <t xml:space="preserve">Weak / coarse estimate (~50%)</t>
  </si>
  <si>
    <t xml:space="preserve">Guess - replace when known</t>
  </si>
  <si>
    <t xml:space="preserve">DATA GAP - measure, do not invent</t>
  </si>
  <si>
    <t xml:space="preserve">0.  SELECTORS  (each picker has exactly two valid values; anything else errors)</t>
  </si>
  <si>
    <t xml:space="preserve">Parameter</t>
  </si>
  <si>
    <t xml:space="preserve">Name</t>
  </si>
  <si>
    <t xml:space="preserve">Unit</t>
  </si>
  <si>
    <t xml:space="preserve">Value</t>
  </si>
  <si>
    <t xml:space="preserve">Source / assumption</t>
  </si>
  <si>
    <t xml:space="preserve">Reactor version</t>
  </si>
  <si>
    <t xml:space="preserve">rx_ver</t>
  </si>
  <si>
    <t xml:space="preserve">-</t>
  </si>
  <si>
    <t xml:space="preserve">AEP0.1.1</t>
  </si>
  <si>
    <t xml:space="preserve">Active build. Choose from the two valid values below. Dropdown.</t>
  </si>
  <si>
    <t xml:space="preserve">Sparger type</t>
  </si>
  <si>
    <t xml:space="preserve">sparger</t>
  </si>
  <si>
    <t xml:space="preserve">Sintered</t>
  </si>
  <si>
    <t xml:space="preserve">CO₂ delivery route. Choose from the two valid values below. Dropdown.</t>
  </si>
  <si>
    <t xml:space="preserve">Sinter porosity grade (if Sintered)</t>
  </si>
  <si>
    <t xml:space="preserve">por_grade</t>
  </si>
  <si>
    <t xml:space="preserve">0-5</t>
  </si>
  <si>
    <t xml:space="preserve">ISO 4793 / DURAN class; 0 = coarsest. Dropdown.</t>
  </si>
  <si>
    <t xml:space="preserve">  valid version 1</t>
  </si>
  <si>
    <t xml:space="preserve">ver_name_1</t>
  </si>
  <si>
    <t xml:space="preserve">Current build (20 mL Pioreactor vial, assumed).</t>
  </si>
  <si>
    <t xml:space="preserve">  valid version 2</t>
  </si>
  <si>
    <t xml:space="preserve">ver_name_2</t>
  </si>
  <si>
    <t xml:space="preserve">AEP0.2</t>
  </si>
  <si>
    <t xml:space="preserve">Planned build (40 mL Pioreactor vial).</t>
  </si>
  <si>
    <t xml:space="preserve">  valid sparger 1</t>
  </si>
  <si>
    <t xml:space="preserve">spg_name_1</t>
  </si>
  <si>
    <t xml:space="preserve">Tube</t>
  </si>
  <si>
    <t xml:space="preserve">Bare 1/8" OD x 1/16" ID Flexelene 135C tube orifice.</t>
  </si>
  <si>
    <t xml:space="preserve">  valid sparger 2</t>
  </si>
  <si>
    <t xml:space="preserve">spg_name_2</t>
  </si>
  <si>
    <t xml:space="preserve">10 mm sintered-glass disc annulus on a tubular anode.</t>
  </si>
  <si>
    <t xml:space="preserve">1A.  REACTOR VERSION DATA  (raw per-build values - each its own sourced cell)</t>
  </si>
  <si>
    <t xml:space="preserve">Vial outer diameter - AEP0.1.1</t>
  </si>
  <si>
    <t xml:space="preserve">vial_OD_1</t>
  </si>
  <si>
    <t xml:space="preserve">mm</t>
  </si>
  <si>
    <t xml:space="preserve">Pioreactor 20 mL vial, measured OD.</t>
  </si>
  <si>
    <t xml:space="preserve">Vial outer diameter - AEP0.2</t>
  </si>
  <si>
    <t xml:space="preserve">vial_OD_2</t>
  </si>
  <si>
    <t xml:space="preserve">40 mL vial OD - placeholder, measure.</t>
  </si>
  <si>
    <t xml:space="preserve">Internal usable depth - AEP0.1.1</t>
  </si>
  <si>
    <t xml:space="preserve">D_int_1</t>
  </si>
  <si>
    <t xml:space="preserve">20 mL vial total height 57.4 mm; usable depth est. Measure.</t>
  </si>
  <si>
    <t xml:space="preserve">Internal usable depth - AEP0.2</t>
  </si>
  <si>
    <t xml:space="preserve">D_int_2</t>
  </si>
  <si>
    <t xml:space="preserve">40 mL vial - placeholder, measure.</t>
  </si>
  <si>
    <t xml:space="preserve">Recommended max working volume - AEP0.1.1</t>
  </si>
  <si>
    <t xml:space="preserve">Vmax_1</t>
  </si>
  <si>
    <t xml:space="preserve">mL</t>
  </si>
  <si>
    <t xml:space="preserve">Pioreactor docs: 8-16 mL for 20 mL vial; using max as level datum.</t>
  </si>
  <si>
    <t xml:space="preserve">Recommended max working volume - AEP0.2</t>
  </si>
  <si>
    <t xml:space="preserve">Vmax_2</t>
  </si>
  <si>
    <t xml:space="preserve">Pioreactor: 40 mL vial max 25 mL.</t>
  </si>
  <si>
    <t xml:space="preserve">Total internal vial volume - AEP0.1.1</t>
  </si>
  <si>
    <t xml:space="preserve">Vtot_1</t>
  </si>
  <si>
    <t xml:space="preserve">To cap underside (&gt; nominal). Placeholder - measure (water to fill).</t>
  </si>
  <si>
    <t xml:space="preserve">Total internal vial volume - AEP0.2</t>
  </si>
  <si>
    <t xml:space="preserve">Vtot_2</t>
  </si>
  <si>
    <t xml:space="preserve">Placeholder - measure.</t>
  </si>
  <si>
    <t xml:space="preserve">1B.  ACTIVE REACTOR GEOMETRY  (selected build; level-matched to bare max volume)</t>
  </si>
  <si>
    <t xml:space="preserve">Vial outer diameter</t>
  </si>
  <si>
    <t xml:space="preserve">vial_OD</t>
  </si>
  <si>
    <t xml:space="preserve">Selected by rx_ver; invalid version returns an error.</t>
  </si>
  <si>
    <t xml:space="preserve">Vial wall thickness</t>
  </si>
  <si>
    <t xml:space="preserve">vial_wall</t>
  </si>
  <si>
    <t xml:space="preserve">Borosilicate vial; Pioreactor publish neither wall nor internal diameter, so wall estimated ~1.1 mm (typical for this glass-vial class).</t>
  </si>
  <si>
    <t xml:space="preserve">Vial internal diameter</t>
  </si>
  <si>
    <t xml:space="preserve">vial_ID</t>
  </si>
  <si>
    <t xml:space="preserve">OD minus two wall thicknesses.</t>
  </si>
  <si>
    <t xml:space="preserve">Internal cross-sectional area</t>
  </si>
  <si>
    <t xml:space="preserve">A_x</t>
  </si>
  <si>
    <t xml:space="preserve">mm²</t>
  </si>
  <si>
    <t xml:space="preserve">Uniform-cylinder body approximation (neck excluded - see headspace).</t>
  </si>
  <si>
    <t xml:space="preserve">Internal usable depth</t>
  </si>
  <si>
    <t xml:space="preserve">D_int</t>
  </si>
  <si>
    <t xml:space="preserve">Selected by rx_ver.</t>
  </si>
  <si>
    <t xml:space="preserve">Recommended max working volume (datum)</t>
  </si>
  <si>
    <t xml:space="preserve">V_max</t>
  </si>
  <si>
    <t xml:space="preserve">Total internal vial volume</t>
  </si>
  <si>
    <t xml:space="preserve">V_vial_total</t>
  </si>
  <si>
    <t xml:space="preserve">Bare liquid level (datum height)</t>
  </si>
  <si>
    <t xml:space="preserve">h_datum</t>
  </si>
  <si>
    <t xml:space="preserve">Height the bare max volume reaches with no inserts.</t>
  </si>
  <si>
    <t xml:space="preserve">Electrode rod diameter</t>
  </si>
  <si>
    <t xml:space="preserve">rod_d</t>
  </si>
  <si>
    <t xml:space="preserve">6 mm rod electrodes.</t>
  </si>
  <si>
    <t xml:space="preserve">Number of electrodes</t>
  </si>
  <si>
    <t xml:space="preserve">rod_n</t>
  </si>
  <si>
    <t xml:space="preserve">Anode + cathode.</t>
  </si>
  <si>
    <t xml:space="preserve">Electrode tip clearance above base</t>
  </si>
  <si>
    <t xml:space="preserve">elec_clear</t>
  </si>
  <si>
    <t xml:space="preserve">Held CONSTANT across builds (the OD-measurement clear zone). 22 mm = the 33 mm insertion used in AEP0.1.1 (D_int 55). Raise it (e.g. to 25) if OD is disrupted during electrolysis. Input.</t>
  </si>
  <si>
    <t xml:space="preserve">Electrode insertion depth (derived)</t>
  </si>
  <si>
    <t xml:space="preserve">elec_ins</t>
  </si>
  <si>
    <t xml:space="preserve">Cap underside -&gt; tip. Increases for the taller AEP0.2 to keep clearance constant.</t>
  </si>
  <si>
    <t xml:space="preserve">Sparge tube OD</t>
  </si>
  <si>
    <t xml:space="preserve">spg_OD</t>
  </si>
  <si>
    <t xml:space="preserve">1/8" OD Flexelene 135C.</t>
  </si>
  <si>
    <t xml:space="preserve">Sparge tube ID</t>
  </si>
  <si>
    <t xml:space="preserve">spg_ID</t>
  </si>
  <si>
    <t xml:space="preserve">1/16" ID.</t>
  </si>
  <si>
    <t xml:space="preserve">Sparge release height (= anode tip)</t>
  </si>
  <si>
    <t xml:space="preserve">spg_tip_h</t>
  </si>
  <si>
    <t xml:space="preserve">CO₂ released near anode tip.</t>
  </si>
  <si>
    <t xml:space="preserve">Efflux tube OD</t>
  </si>
  <si>
    <t xml:space="preserve">eff_OD</t>
  </si>
  <si>
    <t xml:space="preserve">Efflux tube ID</t>
  </si>
  <si>
    <t xml:space="preserve">eff_ID</t>
  </si>
  <si>
    <t xml:space="preserve">Electrode submerged length (@datum)</t>
  </si>
  <si>
    <t xml:space="preserve">elec_sub_L</t>
  </si>
  <si>
    <t xml:space="preserve">For displacement bookkeeping.</t>
  </si>
  <si>
    <t xml:space="preserve">Electrode displaced volume</t>
  </si>
  <si>
    <t xml:space="preserve">elec_disp</t>
  </si>
  <si>
    <t xml:space="preserve">Submerged rod volume.</t>
  </si>
  <si>
    <t xml:space="preserve">Sparge tube displaced volume</t>
  </si>
  <si>
    <t xml:space="preserve">spg_disp</t>
  </si>
  <si>
    <t xml:space="preserve">Submerged sparge-tube volume.</t>
  </si>
  <si>
    <t xml:space="preserve">Efflux tube submerged length</t>
  </si>
  <si>
    <t xml:space="preserve">eff_sub_L</t>
  </si>
  <si>
    <t xml:space="preserve">45 deg cut; level held at top of the ID opening, so wall is wetted from tip up to (OD+ID)/2.</t>
  </si>
  <si>
    <t xml:space="preserve">Efflux tube displaced volume</t>
  </si>
  <si>
    <t xml:space="preserve">eff_disp</t>
  </si>
  <si>
    <t xml:space="preserve">Annular wall only (bore is open to withdrawal). 45 deg approximation.</t>
  </si>
  <si>
    <t xml:space="preserve">Total displaced volume</t>
  </si>
  <si>
    <t xml:space="preserve">disp_tot</t>
  </si>
  <si>
    <t xml:space="preserve">Sum of submerged inserts.</t>
  </si>
  <si>
    <t xml:space="preserve">LIQUID VOLUME TO CHARGE</t>
  </si>
  <si>
    <t xml:space="preserve">V_charge</t>
  </si>
  <si>
    <t xml:space="preserve">Integer mL to charge so the level matches the bare datum despite inserts.</t>
  </si>
  <si>
    <t xml:space="preserve">Resulting liquid level</t>
  </si>
  <si>
    <t xml:space="preserve">h_actual</t>
  </si>
  <si>
    <t xml:space="preserve">Level achieved by the integer charge (displacement taken at datum; sub-mm error).</t>
  </si>
  <si>
    <t xml:space="preserve">Sparge depth / bubble path length</t>
  </si>
  <si>
    <t xml:space="preserve">sparge_depth</t>
  </si>
  <si>
    <t xml:space="preserve">Release point to surface.</t>
  </si>
  <si>
    <t xml:space="preserve">Gas-liquid interfacial area</t>
  </si>
  <si>
    <t xml:space="preserve">interface_A</t>
  </si>
  <si>
    <t xml:space="preserve">Free surface = cross-section minus inserts piercing it.</t>
  </si>
  <si>
    <t xml:space="preserve">Extra headspace tube OD</t>
  </si>
  <si>
    <t xml:space="preserve">xtube_OD</t>
  </si>
  <si>
    <t xml:space="preserve">3 further 1/8" tubes (gas-out, etc.) through the cap.</t>
  </si>
  <si>
    <t xml:space="preserve">Number of extra headspace tubes</t>
  </si>
  <si>
    <t xml:space="preserve">xtube_n</t>
  </si>
  <si>
    <t xml:space="preserve">Protrude through the cap into headspace.</t>
  </si>
  <si>
    <t xml:space="preserve">Extra tube protrusion</t>
  </si>
  <si>
    <t xml:space="preserve">xtube_pro</t>
  </si>
  <si>
    <t xml:space="preserve">Each protrudes ~5 mm below cap (45 deg cut). Input.</t>
  </si>
  <si>
    <t xml:space="preserve">Total in-vial insert volume</t>
  </si>
  <si>
    <t xml:space="preserve">V_inserts</t>
  </si>
  <si>
    <t xml:space="preserve">All inserts inside the vial (submerged + headspace): electrodes &amp; sparge full length, efflux to surface, 3 extra tubes.</t>
  </si>
  <si>
    <t xml:space="preserve">Headspace gas volume</t>
  </si>
  <si>
    <t xml:space="preserve">headspace_V</t>
  </si>
  <si>
    <t xml:space="preserve">Total vial volume - liquid charged - inserts (captures neck narrowing).</t>
  </si>
  <si>
    <t xml:space="preserve">2.  ELECTROLYSIS  (Gerrit's Law: constant current from LED intensity)</t>
  </si>
  <si>
    <t xml:space="preserve">LED intensity setpoint (Pioreactor LED_D)</t>
  </si>
  <si>
    <t xml:space="preserve">intensity</t>
  </si>
  <si>
    <t xml:space="preserve">%</t>
  </si>
  <si>
    <t xml:space="preserve">Electrode drive via LED_D channel. Input.</t>
  </si>
  <si>
    <t xml:space="preserve">Gerrit's Law - slope</t>
  </si>
  <si>
    <t xml:space="preserve">gerrit_slope</t>
  </si>
  <si>
    <t xml:space="preserve">mA/%</t>
  </si>
  <si>
    <t xml:space="preserve">Empirical linear fit of current vs LED intensity (constant-current: independent of electrolyte, volume, electrode coverage).</t>
  </si>
  <si>
    <t xml:space="preserve">Gerrit's Law - intercept</t>
  </si>
  <si>
    <t xml:space="preserve">gerrit_int</t>
  </si>
  <si>
    <t xml:space="preserve">mA</t>
  </si>
  <si>
    <t xml:space="preserve">Intercept of the same fit.</t>
  </si>
  <si>
    <t xml:space="preserve">Gerrit's Law - min valid intensity</t>
  </si>
  <si>
    <t xml:space="preserve">gerrit_min</t>
  </si>
  <si>
    <t xml:space="preserve">Fit validated from 3%.</t>
  </si>
  <si>
    <t xml:space="preserve">Gerrit's Law - max valid intensity</t>
  </si>
  <si>
    <t xml:space="preserve">gerrit_max</t>
  </si>
  <si>
    <t xml:space="preserve">Fit validated to 25%; above this constant-current may fail as cell V nears the 5 V rail.</t>
  </si>
  <si>
    <t xml:space="preserve">Faraday constant</t>
  </si>
  <si>
    <t xml:space="preserve">F_const</t>
  </si>
  <si>
    <t xml:space="preserve">C/mol</t>
  </si>
  <si>
    <t xml:space="preserve">NIST CODATA (exact, SI 2019).</t>
  </si>
  <si>
    <t xml:space="preserve">Electrons per H₂</t>
  </si>
  <si>
    <t xml:space="preserve">z_e_H2</t>
  </si>
  <si>
    <t xml:space="preserve">2H⁺ + 2e⁻ -&gt; H₂.</t>
  </si>
  <si>
    <t xml:space="preserve">Electrons per O₂</t>
  </si>
  <si>
    <t xml:space="preserve">z_e_O2</t>
  </si>
  <si>
    <t xml:space="preserve">2H₂O -&gt; O₂ + 4H⁺ + 4e⁻.</t>
  </si>
  <si>
    <t xml:space="preserve">Faradaic efficiency</t>
  </si>
  <si>
    <t xml:space="preserve">etaF</t>
  </si>
  <si>
    <t xml:space="preserve">Clean water electrolysis FE approaches 100% (Nat. Commun. 2022). But in this neutral-pH cell, cathodic O₂ reduction competes with H₂ evolution, so true H₂ FE is likely &lt;1 and UNMEASURED. 1.0 = optimistic upper bound; measure by gas collection.</t>
  </si>
  <si>
    <t xml:space="preserve">Electrolysis current (Gerrit's Law)</t>
  </si>
  <si>
    <t xml:space="preserve">I_app</t>
  </si>
  <si>
    <t xml:space="preserve">A</t>
  </si>
  <si>
    <t xml:space="preserve">I(mA) = slope x intensity + intercept; /1000 -&gt; A.</t>
  </si>
  <si>
    <t xml:space="preserve">Current-law validity flag</t>
  </si>
  <si>
    <t xml:space="preserve">I_valid</t>
  </si>
  <si>
    <t xml:space="preserve">Linear fit only validated over the stated range.</t>
  </si>
  <si>
    <t xml:space="preserve">H₂ generation rate</t>
  </si>
  <si>
    <t xml:space="preserve">rH2_gen</t>
  </si>
  <si>
    <t xml:space="preserve">mol/h</t>
  </si>
  <si>
    <t xml:space="preserve">Faraday: I x etaF /(z F).</t>
  </si>
  <si>
    <t xml:space="preserve">O₂ generation rate</t>
  </si>
  <si>
    <t xml:space="preserve">rO2_gen</t>
  </si>
  <si>
    <t xml:space="preserve">H₂:O₂ = 2:1.</t>
  </si>
  <si>
    <t xml:space="preserve">3.  BIOLOGY  (cells consume 100% of evolved H₂; O₂ &amp; CO₂ pro-rata)</t>
  </si>
  <si>
    <t xml:space="preserve">Gas requirement ratio - H₂</t>
  </si>
  <si>
    <t xml:space="preserve">bio_H2</t>
  </si>
  <si>
    <t xml:space="preserve">H₂:O₂:CO₂ consumption ratio (starting 6:2:1). NB literature recommends a 7:2:1 FEED mix - feed is not consumption.</t>
  </si>
  <si>
    <t xml:space="preserve">Gas requirement ratio - O₂</t>
  </si>
  <si>
    <t xml:space="preserve">bio_O2</t>
  </si>
  <si>
    <t xml:space="preserve">As above.</t>
  </si>
  <si>
    <t xml:space="preserve">Gas requirement ratio - CO₂</t>
  </si>
  <si>
    <t xml:space="preserve">bio_CO2</t>
  </si>
  <si>
    <t xml:space="preserve">H₂ consumed</t>
  </si>
  <si>
    <t xml:space="preserve">H2_cons</t>
  </si>
  <si>
    <t xml:space="preserve">Assumption: 100% of evolved H₂ consumed.</t>
  </si>
  <si>
    <t xml:space="preserve">O₂ consumed</t>
  </si>
  <si>
    <t xml:space="preserve">O2_cons</t>
  </si>
  <si>
    <t xml:space="preserve">H₂ consumed x (O₂/H₂ ratio).</t>
  </si>
  <si>
    <t xml:space="preserve">CO₂ consumed (carbon fixation)</t>
  </si>
  <si>
    <t xml:space="preserve">CO2_cons</t>
  </si>
  <si>
    <t xml:space="preserve">H₂ consumed x (CO₂/H₂ ratio).</t>
  </si>
  <si>
    <t xml:space="preserve">EXCESS O₂ to remove</t>
  </si>
  <si>
    <t xml:space="preserve">O2_excess</t>
  </si>
  <si>
    <t xml:space="preserve">Electrolysis makes more O₂ than the cells use; surplus must be stripped.</t>
  </si>
  <si>
    <t xml:space="preserve">4.  O₂ CONSTRAINT  (growth ceiling; cathodic competition is the real driver)</t>
  </si>
  <si>
    <t xml:space="preserve">Temperature</t>
  </si>
  <si>
    <t xml:space="preserve">T_C</t>
  </si>
  <si>
    <t xml:space="preserve">°C</t>
  </si>
  <si>
    <t xml:space="preserve">C. necator optimum ~30 °C. Input.</t>
  </si>
  <si>
    <t xml:space="preserve">Temperature (absolute)</t>
  </si>
  <si>
    <t xml:space="preserve">T_K</t>
  </si>
  <si>
    <t xml:space="preserve">K</t>
  </si>
  <si>
    <t xml:space="preserve">°C + 273.15.</t>
  </si>
  <si>
    <t xml:space="preserve">Surface pressure</t>
  </si>
  <si>
    <t xml:space="preserve">P_atm</t>
  </si>
  <si>
    <t xml:space="preserve">Pa</t>
  </si>
  <si>
    <t xml:space="preserve">Atmospheric at the liquid surface (assumed).</t>
  </si>
  <si>
    <t xml:space="preserve">Standard atmosphere (atm-&gt;Pa)</t>
  </si>
  <si>
    <t xml:space="preserve">Pa_per_atm</t>
  </si>
  <si>
    <t xml:space="preserve">Pa/atm</t>
  </si>
  <si>
    <t xml:space="preserve">Defined: 1 atm = 101 325 Pa exactly.</t>
  </si>
  <si>
    <t xml:space="preserve">Henry solubility O₂ (ref, 298.15 K)</t>
  </si>
  <si>
    <t xml:space="preserve">H_O2ref</t>
  </si>
  <si>
    <t xml:space="preserve">mol/m³/Pa</t>
  </si>
  <si>
    <t xml:space="preserve">Sander (2023) compilation (supersedes 2015), value from Burkholder et al. 2019.</t>
  </si>
  <si>
    <t xml:space="preserve">Henry T-dependence O₂</t>
  </si>
  <si>
    <t xml:space="preserve">H_O2T</t>
  </si>
  <si>
    <t xml:space="preserve">Sander (2023): d ln(Hcp)/d(1/T).</t>
  </si>
  <si>
    <t xml:space="preserve">Reference temperature</t>
  </si>
  <si>
    <t xml:space="preserve">T_ref</t>
  </si>
  <si>
    <t xml:space="preserve">Standard reference for Henry constants.</t>
  </si>
  <si>
    <t xml:space="preserve">Henry solubility O₂ at T</t>
  </si>
  <si>
    <t xml:space="preserve">H_O2_T</t>
  </si>
  <si>
    <t xml:space="preserve">van 't Hoff correction to reactor T.</t>
  </si>
  <si>
    <t xml:space="preserve">O₂ growth-inhibition ceiling (gas)</t>
  </si>
  <si>
    <t xml:space="preserve">O2_ceil_atm</t>
  </si>
  <si>
    <t xml:space="preserve">atm</t>
  </si>
  <si>
    <t xml:space="preserve">Whole-cell growth inhibited above ~0.30 atm O₂ - NOT a hydrogenase limit (the [NiFe] enzyme is O₂-tolerant).</t>
  </si>
  <si>
    <t xml:space="preserve">  hydrogenase note</t>
  </si>
  <si>
    <t xml:space="preserve">(O₂-tolerant)</t>
  </si>
  <si>
    <t xml:space="preserve">C. necator membrane-bound [NiFe]-hydrogenase tolerates O₂, so the enzyme is not the binding constraint.</t>
  </si>
  <si>
    <t xml:space="preserve">O₂ ceiling (partial pressure)</t>
  </si>
  <si>
    <t xml:space="preserve">O2_ceil_Pa</t>
  </si>
  <si>
    <t xml:space="preserve">Ceiling in Pa.</t>
  </si>
  <si>
    <t xml:space="preserve">Dissolved-O₂ ceiling</t>
  </si>
  <si>
    <t xml:space="preserve">O2_ceil_C</t>
  </si>
  <si>
    <t xml:space="preserve">mol/m³</t>
  </si>
  <si>
    <t xml:space="preserve">Henry's law at the gas ceiling.</t>
  </si>
  <si>
    <t xml:space="preserve">O2_ceil_uM</t>
  </si>
  <si>
    <t xml:space="preserve">µM</t>
  </si>
  <si>
    <t xml:space="preserve">mol/m³ = mmol/L; x1000 = µM. Practical aim is to MINIMISE dissolved O₂ (cathodic O₂ reduction steals H₂-evolution current); floor set by stripping capacity.</t>
  </si>
  <si>
    <t xml:space="preserve">5.  CO₂ DOSING  (SodaStream + regulator + solenoid + needle valve)</t>
  </si>
  <si>
    <t xml:space="preserve">CO₂ volumetric flow rate</t>
  </si>
  <si>
    <t xml:space="preserve">Q_CO2</t>
  </si>
  <si>
    <t xml:space="preserve">mL/min</t>
  </si>
  <si>
    <t xml:space="preserve">Needle-valve setting at ~atmospheric surface. Input.</t>
  </si>
  <si>
    <t xml:space="preserve">Sparge duration per pulse</t>
  </si>
  <si>
    <t xml:space="preserve">spg_dur</t>
  </si>
  <si>
    <t xml:space="preserve">s</t>
  </si>
  <si>
    <t xml:space="preserve">Solenoid open time. Input.</t>
  </si>
  <si>
    <t xml:space="preserve">Sparge interval</t>
  </si>
  <si>
    <t xml:space="preserve">spg_int</t>
  </si>
  <si>
    <t xml:space="preserve">min</t>
  </si>
  <si>
    <t xml:space="preserve">Time between pulse starts. Input.</t>
  </si>
  <si>
    <t xml:space="preserve">Min reliable pulse (solenoid floor)</t>
  </si>
  <si>
    <t xml:space="preserve">pulse_floor</t>
  </si>
  <si>
    <t xml:space="preserve">Smallest dependable actuation. Provisional - characterise.</t>
  </si>
  <si>
    <t xml:space="preserve">Ideal gas constant</t>
  </si>
  <si>
    <t xml:space="preserve">R_gas</t>
  </si>
  <si>
    <t xml:space="preserve">J/mol/K</t>
  </si>
  <si>
    <t xml:space="preserve">Molar mass CO₂</t>
  </si>
  <si>
    <t xml:space="preserve">M_CO2</t>
  </si>
  <si>
    <t xml:space="preserve">g/mol</t>
  </si>
  <si>
    <t xml:space="preserve">NIST WebBook.</t>
  </si>
  <si>
    <t xml:space="preserve">CO₂ molar flow during sparge</t>
  </si>
  <si>
    <t xml:space="preserve">nCO2_rate</t>
  </si>
  <si>
    <t xml:space="preserve">mol/s</t>
  </si>
  <si>
    <t xml:space="preserve">Ideal gas n=PV/RT at surface conditions.</t>
  </si>
  <si>
    <t xml:space="preserve">CO₂ per pulse</t>
  </si>
  <si>
    <t xml:space="preserve">CO2_pulse</t>
  </si>
  <si>
    <t xml:space="preserve">mol</t>
  </si>
  <si>
    <t xml:space="preserve">Molar flow x duration.</t>
  </si>
  <si>
    <t xml:space="preserve">Pulses per hour</t>
  </si>
  <si>
    <t xml:space="preserve">pulses_h</t>
  </si>
  <si>
    <t xml:space="preserve">1/h</t>
  </si>
  <si>
    <t xml:space="preserve">60 / interval(min).</t>
  </si>
  <si>
    <t xml:space="preserve">Pulses per day</t>
  </si>
  <si>
    <t xml:space="preserve">pulses_d</t>
  </si>
  <si>
    <t xml:space="preserve">1/d</t>
  </si>
  <si>
    <t xml:space="preserve">Average CO₂ supply rate</t>
  </si>
  <si>
    <t xml:space="preserve">CO2_supply</t>
  </si>
  <si>
    <t xml:space="preserve">Time-averaged.</t>
  </si>
  <si>
    <t xml:space="preserve">CO₂ supply : carbon demand</t>
  </si>
  <si>
    <t xml:space="preserve">CO2_sd_ratio</t>
  </si>
  <si>
    <t xml:space="preserve">×</t>
  </si>
  <si>
    <t xml:space="preserve">&gt;1 = carbon non-limiting (before stripping use).</t>
  </si>
  <si>
    <t xml:space="preserve">Sparge duty cycle</t>
  </si>
  <si>
    <t xml:space="preserve">duty</t>
  </si>
  <si>
    <t xml:space="preserve">Fraction of time sparging.</t>
  </si>
  <si>
    <t xml:space="preserve">6.  CO₂ BUBBLE SIZE  (orifice vs sinter)</t>
  </si>
  <si>
    <t xml:space="preserve">Surface tension (water, T)</t>
  </si>
  <si>
    <t xml:space="preserve">sigma</t>
  </si>
  <si>
    <t xml:space="preserve">N/m</t>
  </si>
  <si>
    <t xml:space="preserve">IAPWS R1-76(2014) formulation, evaluated at 30 °C.</t>
  </si>
  <si>
    <t xml:space="preserve">Liquid density (water, T)</t>
  </si>
  <si>
    <t xml:space="preserve">rho_L</t>
  </si>
  <si>
    <t xml:space="preserve">kg/m³</t>
  </si>
  <si>
    <t xml:space="preserve">IAPWS-95, evaluated at 30 °C.</t>
  </si>
  <si>
    <t xml:space="preserve">Gravitational acceleration</t>
  </si>
  <si>
    <t xml:space="preserve">g_const</t>
  </si>
  <si>
    <t xml:space="preserve">m/s²</t>
  </si>
  <si>
    <t xml:space="preserve">Standard gravity (defined).</t>
  </si>
  <si>
    <t xml:space="preserve">O₂ diffusivity in water (T)</t>
  </si>
  <si>
    <t xml:space="preserve">D_O2</t>
  </si>
  <si>
    <t xml:space="preserve">m²/s</t>
  </si>
  <si>
    <t xml:space="preserve">Literature ~2.4e-9 at 30 °C (Han &amp; Bartels 1996). Confirm.</t>
  </si>
  <si>
    <t xml:space="preserve">Pore size - grade 0</t>
  </si>
  <si>
    <t xml:space="preserve">por0_um</t>
  </si>
  <si>
    <t xml:space="preserve">µm</t>
  </si>
  <si>
    <t xml:space="preserve">DURAN P0 160-250 µm, midpoint. ISO 4793 (paywalled) underlies; DURAN table is free.</t>
  </si>
  <si>
    <t xml:space="preserve">Pore size - grade 1</t>
  </si>
  <si>
    <t xml:space="preserve">por1_um</t>
  </si>
  <si>
    <t xml:space="preserve">DURAN P1 100-160 µm, midpoint.</t>
  </si>
  <si>
    <t xml:space="preserve">Pore size - grade 2</t>
  </si>
  <si>
    <t xml:space="preserve">por2_um</t>
  </si>
  <si>
    <t xml:space="preserve">DURAN P2 40-100 µm, midpoint.</t>
  </si>
  <si>
    <t xml:space="preserve">Pore size - grade 3</t>
  </si>
  <si>
    <t xml:space="preserve">por3_um</t>
  </si>
  <si>
    <t xml:space="preserve">DURAN P3 16-40 µm, midpoint.</t>
  </si>
  <si>
    <t xml:space="preserve">Pore size - grade 4</t>
  </si>
  <si>
    <t xml:space="preserve">por4_um</t>
  </si>
  <si>
    <t xml:space="preserve">DURAN P4 10-16 µm, midpoint.</t>
  </si>
  <si>
    <t xml:space="preserve">Pore size - grade 5</t>
  </si>
  <si>
    <t xml:space="preserve">por5_um</t>
  </si>
  <si>
    <t xml:space="preserve">DURAN P5 1.0-1.6 µm, midpoint.</t>
  </si>
  <si>
    <t xml:space="preserve">Selected sinter pore diameter</t>
  </si>
  <si>
    <t xml:space="preserve">por_pore</t>
  </si>
  <si>
    <t xml:space="preserve">m</t>
  </si>
  <si>
    <t xml:space="preserve">Picked by por_grade.</t>
  </si>
  <si>
    <t xml:space="preserve">Tube orifice diameter</t>
  </si>
  <si>
    <t xml:space="preserve">tube_d_m</t>
  </si>
  <si>
    <t xml:space="preserve">Tube ID in metres.</t>
  </si>
  <si>
    <t xml:space="preserve">Effective orifice/pore diameter</t>
  </si>
  <si>
    <t xml:space="preserve">d_orifice</t>
  </si>
  <si>
    <t xml:space="preserve">Tube ID or sinter pore; invalid sparger returns an error.</t>
  </si>
  <si>
    <t xml:space="preserve">Bubble detachment diameter</t>
  </si>
  <si>
    <t xml:space="preserve">d_bubble</t>
  </si>
  <si>
    <t xml:space="preserve">Static low-flow force balance (buoyancy vs surface tension). Flow-dependence not modelled.</t>
  </si>
  <si>
    <t xml:space="preserve">Bubble diameter (display)</t>
  </si>
  <si>
    <t xml:space="preserve">d_bubble_mm</t>
  </si>
  <si>
    <t xml:space="preserve">Mendelson coefficient a</t>
  </si>
  <si>
    <t xml:space="preserve">mend_a</t>
  </si>
  <si>
    <t xml:space="preserve">Mendelson (1967) wave-theory bubble rise correlation (AIChE J, paywalled).</t>
  </si>
  <si>
    <t xml:space="preserve">Mendelson coefficient b</t>
  </si>
  <si>
    <t xml:space="preserve">mend_b</t>
  </si>
  <si>
    <t xml:space="preserve">Mendelson (1967), as above.</t>
  </si>
  <si>
    <t xml:space="preserve">Bubble rise velocity</t>
  </si>
  <si>
    <t xml:space="preserve">u_rise</t>
  </si>
  <si>
    <t xml:space="preserve">m/s</t>
  </si>
  <si>
    <t xml:space="preserve">Mendelson correlation, mm-scale bubbles.</t>
  </si>
  <si>
    <t xml:space="preserve">7.  O₂ STRIPPING CAPACITY  (kLa estimate - low confidence)</t>
  </si>
  <si>
    <t xml:space="preserve">Superficial gas velocity (sparge on)</t>
  </si>
  <si>
    <t xml:space="preserve">u_sg</t>
  </si>
  <si>
    <t xml:space="preserve">Gas flow / liquid cross-section.</t>
  </si>
  <si>
    <t xml:space="preserve">Gas holdup (sparge on)</t>
  </si>
  <si>
    <t xml:space="preserve">holdup</t>
  </si>
  <si>
    <t xml:space="preserve">ε ≈ superficial gas velocity / rise velocity.</t>
  </si>
  <si>
    <t xml:space="preserve">Interfacial area for transfer</t>
  </si>
  <si>
    <t xml:space="preserve">a_int</t>
  </si>
  <si>
    <t xml:space="preserve">1/m</t>
  </si>
  <si>
    <t xml:space="preserve">a = 6ε/d_b (spheres).</t>
  </si>
  <si>
    <t xml:space="preserve">Bubble-liquid contact time</t>
  </si>
  <si>
    <t xml:space="preserve">t_contact</t>
  </si>
  <si>
    <t xml:space="preserve">d_b / rise velocity.</t>
  </si>
  <si>
    <t xml:space="preserve">Liquid-film coefficient kL</t>
  </si>
  <si>
    <t xml:space="preserve">kL</t>
  </si>
  <si>
    <t xml:space="preserve">Higbie penetration theory.</t>
  </si>
  <si>
    <t xml:space="preserve">kLa during sparge</t>
  </si>
  <si>
    <t xml:space="preserve">kLa_sparge</t>
  </si>
  <si>
    <t xml:space="preserve">1/s</t>
  </si>
  <si>
    <t xml:space="preserve">kL x a.</t>
  </si>
  <si>
    <t xml:space="preserve">kLa time-averaged</t>
  </si>
  <si>
    <t xml:space="preserve">kLa_avg</t>
  </si>
  <si>
    <t xml:space="preserve">x duty cycle.</t>
  </si>
  <si>
    <t xml:space="preserve">O₂ strip rate at ceiling (sparge on)</t>
  </si>
  <si>
    <t xml:space="preserve">strip_sparge</t>
  </si>
  <si>
    <t xml:space="preserve">Max while sparging, bulk O₂ at ceiling, CO₂ bubbles ~O₂-free.</t>
  </si>
  <si>
    <t xml:space="preserve">O₂ strip rate time-averaged</t>
  </si>
  <si>
    <t xml:space="preserve">strip_avg</t>
  </si>
  <si>
    <t xml:space="preserve">Strip capacity : excess-O₂</t>
  </si>
  <si>
    <t xml:space="preserve">strip_ratio</t>
  </si>
  <si>
    <t xml:space="preserve">&gt;=1 = dissolved-gas stripping holds the ceiling; &lt;1 = relies on bubble knock-off or DO rises.</t>
  </si>
  <si>
    <t xml:space="preserve">Required time-avg kLa</t>
  </si>
  <si>
    <t xml:space="preserve">kLa_req</t>
  </si>
  <si>
    <t xml:space="preserve">kLa that would exactly strip the excess at the ceiling.</t>
  </si>
  <si>
    <t xml:space="preserve">8.  MEDIA CARRYOVER CEILING  (vent-filter clog risk)</t>
  </si>
  <si>
    <t xml:space="preserve">Entrainment velocity ceiling (rule of thumb)</t>
  </si>
  <si>
    <t xml:space="preserve">u_g_max</t>
  </si>
  <si>
    <t xml:space="preserve">Provisional superficial-velocity ceiling above which droplet carryover to the hydrophilic vent filters becomes likely. Replace with measured value.</t>
  </si>
  <si>
    <t xml:space="preserve">Carryover flag</t>
  </si>
  <si>
    <t xml:space="preserve">carry_flag</t>
  </si>
  <si>
    <t xml:space="preserve">Operating gas velocity vs ceiling.</t>
  </si>
  <si>
    <t xml:space="preserve">9.  DOSING-SCHEDULE FEASIBILITY</t>
  </si>
  <si>
    <t xml:space="preserve">O₂ accumulated per interval</t>
  </si>
  <si>
    <t xml:space="preserve">O2_accum</t>
  </si>
  <si>
    <t xml:space="preserve">Excess O₂ generated between pulses.</t>
  </si>
  <si>
    <t xml:space="preserve">O₂ removable per pulse</t>
  </si>
  <si>
    <t xml:space="preserve">O2_strip_pulse</t>
  </si>
  <si>
    <t xml:space="preserve">O₂ a pulse strips (at ceiling).</t>
  </si>
  <si>
    <t xml:space="preserve">Per-pulse balance</t>
  </si>
  <si>
    <t xml:space="preserve">sched_bal</t>
  </si>
  <si>
    <t xml:space="preserve">&gt;=1 = each pulse clears the interval's O₂ by stripping alone.</t>
  </si>
  <si>
    <t xml:space="preserve">Duration floor check</t>
  </si>
  <si>
    <t xml:space="preserve">dur_ok</t>
  </si>
  <si>
    <t xml:space="preserve">Pulse must exceed reliable actuation time.</t>
  </si>
  <si>
    <t xml:space="preserve">Schedule verdict</t>
  </si>
  <si>
    <t xml:space="preserve">sched_verdict</t>
  </si>
  <si>
    <t xml:space="preserve">Synthesised recommendation (Phase 1 logic).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</si>
</sst>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.0"/>
    <numFmt numFmtId="167" formatCode="0.000"/>
    <numFmt numFmtId="168" formatCode="0.0000"/>
    <numFmt numFmtId="169" formatCode="0"/>
    <numFmt numFmtId="170" formatCode="0.00000"/>
    <numFmt numFmtId="171" formatCode="0.000000"/>
    <numFmt numFmtId="172" formatCode="0.00000000"/>
    <numFmt numFmtId="173" formatCode="0.000000000"/>
    <numFmt numFmtId="174" formatCode="0.000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7030A0"/>
      <name val="Consolas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404040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1F3864"/>
        <bgColor rgb="FF333399"/>
      </patternFill>
    </fill>
    <fill>
      <patternFill patternType="solid">
        <fgColor rgb="FF4472C4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FF2CC"/>
      <rgbColor rgb="FFFCE4D6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uran-group.com/en/products-solutions/laboratory-glassware/products/glass-filtration-apparatus-and-accessories/filter-funnel.html" TargetMode="External"/><Relationship Id="rId2" Type="http://schemas.openxmlformats.org/officeDocument/2006/relationships/hyperlink" Target="https://pioreactor.com/products/20ml-glass-vial" TargetMode="External"/><Relationship Id="rId3" Type="http://schemas.openxmlformats.org/officeDocument/2006/relationships/hyperlink" Target="https://pioreactor.com/products/pioreactor-40ml" TargetMode="External"/><Relationship Id="rId4" Type="http://schemas.openxmlformats.org/officeDocument/2006/relationships/hyperlink" Target="https://pioreactor.com/products/20ml-glass-vial" TargetMode="External"/><Relationship Id="rId5" Type="http://schemas.openxmlformats.org/officeDocument/2006/relationships/hyperlink" Target="https://pioreactor.com/products/pioreactor-40ml" TargetMode="External"/><Relationship Id="rId6" Type="http://schemas.openxmlformats.org/officeDocument/2006/relationships/hyperlink" Target="https://docs.pioreactor.com/user-guide/prepare-vial-for-cultures" TargetMode="External"/><Relationship Id="rId7" Type="http://schemas.openxmlformats.org/officeDocument/2006/relationships/hyperlink" Target="https://pioreactor.com/products/pioreactor-40ml" TargetMode="External"/><Relationship Id="rId8" Type="http://schemas.openxmlformats.org/officeDocument/2006/relationships/hyperlink" Target="https://pioreactor.com/products/20ml-glass-vial" TargetMode="External"/><Relationship Id="rId9" Type="http://schemas.openxmlformats.org/officeDocument/2006/relationships/hyperlink" Target="https://pioreactor.com/products/pioreactor-40ml" TargetMode="External"/><Relationship Id="rId10" Type="http://schemas.openxmlformats.org/officeDocument/2006/relationships/hyperlink" Target="https://forum.amybo.org/t/current-measurement-experiment/166" TargetMode="External"/><Relationship Id="rId11" Type="http://schemas.openxmlformats.org/officeDocument/2006/relationships/hyperlink" Target="https://forum.amybo.org/t/current-measurement-experiment/166" TargetMode="External"/><Relationship Id="rId12" Type="http://schemas.openxmlformats.org/officeDocument/2006/relationships/hyperlink" Target="https://forum.amybo.org/t/current-measurement-experiment/166" TargetMode="External"/><Relationship Id="rId13" Type="http://schemas.openxmlformats.org/officeDocument/2006/relationships/hyperlink" Target="https://forum.amybo.org/t/current-measurement-experiment/166" TargetMode="External"/><Relationship Id="rId14" Type="http://schemas.openxmlformats.org/officeDocument/2006/relationships/hyperlink" Target="https://physics.nist.gov/cgi-bin/cuu/Value?f" TargetMode="External"/><Relationship Id="rId15" Type="http://schemas.openxmlformats.org/officeDocument/2006/relationships/hyperlink" Target="https://www.nature.com/articles/s41467-022-28953-x" TargetMode="External"/><Relationship Id="rId16" Type="http://schemas.openxmlformats.org/officeDocument/2006/relationships/hyperlink" Target="https://forum.amybo.org/t/current-measurement-experiment/166" TargetMode="External"/><Relationship Id="rId17" Type="http://schemas.openxmlformats.org/officeDocument/2006/relationships/hyperlink" Target="https://forum.amybo.org/t/current-measurement-experiment/166" TargetMode="External"/><Relationship Id="rId18" Type="http://schemas.openxmlformats.org/officeDocument/2006/relationships/hyperlink" Target="https://journals.asm.org/doi/10.1128/aem.02007-22" TargetMode="External"/><Relationship Id="rId19" Type="http://schemas.openxmlformats.org/officeDocument/2006/relationships/hyperlink" Target="https://journals.asm.org/doi/10.1128/aem.02007-22" TargetMode="External"/><Relationship Id="rId20" Type="http://schemas.openxmlformats.org/officeDocument/2006/relationships/hyperlink" Target="https://journals.asm.org/doi/10.1128/aem.02007-22" TargetMode="External"/><Relationship Id="rId21" Type="http://schemas.openxmlformats.org/officeDocument/2006/relationships/hyperlink" Target="https://acp.copernicus.org/articles/23/10901/2023/" TargetMode="External"/><Relationship Id="rId22" Type="http://schemas.openxmlformats.org/officeDocument/2006/relationships/hyperlink" Target="https://acp.copernicus.org/articles/23/10901/2023/" TargetMode="External"/><Relationship Id="rId23" Type="http://schemas.openxmlformats.org/officeDocument/2006/relationships/hyperlink" Target="https://journals.asm.org/doi/10.1128/aem.02007-22" TargetMode="External"/><Relationship Id="rId24" Type="http://schemas.openxmlformats.org/officeDocument/2006/relationships/hyperlink" Target="https://www.ncbi.nlm.nih.gov/pmc/articles/PMC10583674/" TargetMode="External"/><Relationship Id="rId25" Type="http://schemas.openxmlformats.org/officeDocument/2006/relationships/hyperlink" Target="https://physics.nist.gov/cgi-bin/cuu/Value?r" TargetMode="External"/><Relationship Id="rId26" Type="http://schemas.openxmlformats.org/officeDocument/2006/relationships/hyperlink" Target="https://webbook.nist.gov/cgi/cbook.cgi?ID=C124389&amp;Units=SI" TargetMode="External"/><Relationship Id="rId27" Type="http://schemas.openxmlformats.org/officeDocument/2006/relationships/hyperlink" Target="https://iapws.org/documents/release/Surf-H2O" TargetMode="External"/><Relationship Id="rId28" Type="http://schemas.openxmlformats.org/officeDocument/2006/relationships/hyperlink" Target="https://iapws.org/relguide/IAPWS-95.html" TargetMode="External"/><Relationship Id="rId29" Type="http://schemas.openxmlformats.org/officeDocument/2006/relationships/hyperlink" Target="https://physics.nist.gov/cgi-bin/cuu/Value?gn" TargetMode="External"/><Relationship Id="rId30" Type="http://schemas.openxmlformats.org/officeDocument/2006/relationships/hyperlink" Target="https://www.duran-group.com/en/products-solutions/laboratory-glassware/products/glass-filtration-apparatus-and-accessories/filter-funnel.html" TargetMode="External"/><Relationship Id="rId31" Type="http://schemas.openxmlformats.org/officeDocument/2006/relationships/hyperlink" Target="https://www.duran-group.com/en/products-solutions/laboratory-glassware/products/glass-filtration-apparatus-and-accessories/filter-funnel.html" TargetMode="External"/><Relationship Id="rId32" Type="http://schemas.openxmlformats.org/officeDocument/2006/relationships/hyperlink" Target="https://www.duran-group.com/en/products-solutions/laboratory-glassware/products/glass-filtration-apparatus-and-accessories/filter-funnel.html" TargetMode="External"/><Relationship Id="rId33" Type="http://schemas.openxmlformats.org/officeDocument/2006/relationships/hyperlink" Target="https://www.duran-group.com/en/products-solutions/laboratory-glassware/products/glass-filtration-apparatus-and-accessories/filter-funnel.html" TargetMode="External"/><Relationship Id="rId34" Type="http://schemas.openxmlformats.org/officeDocument/2006/relationships/hyperlink" Target="https://www.duran-group.com/en/products-solutions/laboratory-glassware/products/glass-filtration-apparatus-and-accessories/filter-funnel.html" TargetMode="External"/><Relationship Id="rId35" Type="http://schemas.openxmlformats.org/officeDocument/2006/relationships/hyperlink" Target="https://www.duran-group.com/en/products-solutions/laboratory-glassware/products/glass-filtration-apparatus-and-accessories/filter-funnel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2" customFormat="false" ht="5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  <c r="B5" s="5" t="s">
        <v>3</v>
      </c>
    </row>
    <row r="6" customFormat="false" ht="15" hidden="false" customHeight="false" outlineLevel="0" collapsed="false">
      <c r="A6" s="6"/>
      <c r="B6" s="5" t="s">
        <v>4</v>
      </c>
    </row>
    <row r="7" customFormat="false" ht="15" hidden="false" customHeight="false" outlineLevel="0" collapsed="false">
      <c r="A7" s="7"/>
      <c r="B7" s="5" t="s">
        <v>5</v>
      </c>
    </row>
    <row r="8" customFormat="false" ht="15" hidden="false" customHeight="false" outlineLevel="0" collapsed="false">
      <c r="A8" s="8"/>
      <c r="B8" s="5" t="s">
        <v>6</v>
      </c>
    </row>
    <row r="9" customFormat="false" ht="15" hidden="false" customHeight="false" outlineLevel="0" collapsed="false">
      <c r="A9" s="9"/>
      <c r="B9" s="5" t="s">
        <v>7</v>
      </c>
    </row>
    <row r="10" customFormat="false" ht="15" hidden="false" customHeight="false" outlineLevel="0" collapsed="false">
      <c r="A10" s="10"/>
      <c r="B10" s="5" t="s">
        <v>8</v>
      </c>
    </row>
    <row r="12" customFormat="false" ht="15" hidden="false" customHeight="false" outlineLevel="0" collapsed="false">
      <c r="A12" s="11" t="s">
        <v>9</v>
      </c>
      <c r="B12" s="12"/>
      <c r="C12" s="12"/>
      <c r="D12" s="12"/>
      <c r="E12" s="12"/>
    </row>
    <row r="13" customFormat="false" ht="15" hidden="false" customHeight="false" outlineLevel="0" collapsed="false">
      <c r="A13" s="13" t="s">
        <v>10</v>
      </c>
      <c r="B13" s="13" t="s">
        <v>11</v>
      </c>
      <c r="C13" s="13" t="s">
        <v>12</v>
      </c>
      <c r="D13" s="13" t="s">
        <v>13</v>
      </c>
      <c r="E13" s="13" t="s">
        <v>14</v>
      </c>
    </row>
    <row r="14" customFormat="false" ht="15" hidden="false" customHeight="false" outlineLevel="0" collapsed="false">
      <c r="A14" s="14" t="s">
        <v>15</v>
      </c>
      <c r="B14" s="15" t="s">
        <v>16</v>
      </c>
      <c r="C14" s="16" t="s">
        <v>17</v>
      </c>
      <c r="D14" s="17" t="s">
        <v>18</v>
      </c>
      <c r="E14" s="18" t="s">
        <v>19</v>
      </c>
    </row>
    <row r="15" customFormat="false" ht="15" hidden="false" customHeight="false" outlineLevel="0" collapsed="false">
      <c r="A15" s="14" t="s">
        <v>20</v>
      </c>
      <c r="B15" s="15" t="s">
        <v>21</v>
      </c>
      <c r="C15" s="16" t="s">
        <v>17</v>
      </c>
      <c r="D15" s="17" t="s">
        <v>22</v>
      </c>
      <c r="E15" s="18" t="s">
        <v>23</v>
      </c>
    </row>
    <row r="16" customFormat="false" ht="15" hidden="false" customHeight="false" outlineLevel="0" collapsed="false">
      <c r="A16" s="14" t="s">
        <v>24</v>
      </c>
      <c r="B16" s="15" t="s">
        <v>25</v>
      </c>
      <c r="C16" s="16" t="s">
        <v>26</v>
      </c>
      <c r="D16" s="17" t="n">
        <v>0</v>
      </c>
      <c r="E16" s="19" t="s">
        <v>27</v>
      </c>
    </row>
    <row r="17" customFormat="false" ht="15" hidden="false" customHeight="false" outlineLevel="0" collapsed="false">
      <c r="A17" s="14" t="s">
        <v>28</v>
      </c>
      <c r="B17" s="15" t="s">
        <v>29</v>
      </c>
      <c r="C17" s="16" t="s">
        <v>17</v>
      </c>
      <c r="D17" s="20" t="s">
        <v>18</v>
      </c>
      <c r="E17" s="18" t="s">
        <v>30</v>
      </c>
    </row>
    <row r="18" customFormat="false" ht="15" hidden="false" customHeight="false" outlineLevel="0" collapsed="false">
      <c r="A18" s="14" t="s">
        <v>31</v>
      </c>
      <c r="B18" s="15" t="s">
        <v>32</v>
      </c>
      <c r="C18" s="16" t="s">
        <v>17</v>
      </c>
      <c r="D18" s="20" t="s">
        <v>33</v>
      </c>
      <c r="E18" s="18" t="s">
        <v>34</v>
      </c>
    </row>
    <row r="19" customFormat="false" ht="15" hidden="false" customHeight="false" outlineLevel="0" collapsed="false">
      <c r="A19" s="14" t="s">
        <v>35</v>
      </c>
      <c r="B19" s="15" t="s">
        <v>36</v>
      </c>
      <c r="C19" s="16" t="s">
        <v>17</v>
      </c>
      <c r="D19" s="20" t="s">
        <v>37</v>
      </c>
      <c r="E19" s="18" t="s">
        <v>38</v>
      </c>
    </row>
    <row r="20" customFormat="false" ht="15" hidden="false" customHeight="false" outlineLevel="0" collapsed="false">
      <c r="A20" s="14" t="s">
        <v>39</v>
      </c>
      <c r="B20" s="15" t="s">
        <v>40</v>
      </c>
      <c r="C20" s="16" t="s">
        <v>17</v>
      </c>
      <c r="D20" s="20" t="s">
        <v>22</v>
      </c>
      <c r="E20" s="18" t="s">
        <v>41</v>
      </c>
    </row>
    <row r="22" customFormat="false" ht="15" hidden="false" customHeight="false" outlineLevel="0" collapsed="false">
      <c r="A22" s="11" t="s">
        <v>42</v>
      </c>
      <c r="B22" s="12"/>
      <c r="C22" s="12"/>
      <c r="D22" s="12"/>
      <c r="E22" s="12"/>
    </row>
    <row r="23" customFormat="false" ht="15" hidden="false" customHeight="false" outlineLevel="0" collapsed="false">
      <c r="A23" s="13" t="s">
        <v>10</v>
      </c>
      <c r="B23" s="13" t="s">
        <v>11</v>
      </c>
      <c r="C23" s="13" t="s">
        <v>12</v>
      </c>
      <c r="D23" s="13" t="s">
        <v>13</v>
      </c>
      <c r="E23" s="13" t="s">
        <v>14</v>
      </c>
    </row>
    <row r="24" customFormat="false" ht="15" hidden="false" customHeight="false" outlineLevel="0" collapsed="false">
      <c r="A24" s="14" t="s">
        <v>43</v>
      </c>
      <c r="B24" s="15" t="s">
        <v>44</v>
      </c>
      <c r="C24" s="16" t="s">
        <v>45</v>
      </c>
      <c r="D24" s="21" t="n">
        <v>27.48</v>
      </c>
      <c r="E24" s="19" t="s">
        <v>46</v>
      </c>
    </row>
    <row r="25" customFormat="false" ht="15" hidden="false" customHeight="false" outlineLevel="0" collapsed="false">
      <c r="A25" s="14" t="s">
        <v>47</v>
      </c>
      <c r="B25" s="15" t="s">
        <v>48</v>
      </c>
      <c r="C25" s="16" t="s">
        <v>45</v>
      </c>
      <c r="D25" s="21" t="n">
        <v>28</v>
      </c>
      <c r="E25" s="22" t="s">
        <v>49</v>
      </c>
    </row>
    <row r="26" customFormat="false" ht="15" hidden="false" customHeight="false" outlineLevel="0" collapsed="false">
      <c r="A26" s="14" t="s">
        <v>50</v>
      </c>
      <c r="B26" s="15" t="s">
        <v>51</v>
      </c>
      <c r="C26" s="16" t="s">
        <v>45</v>
      </c>
      <c r="D26" s="23" t="n">
        <v>55</v>
      </c>
      <c r="E26" s="22" t="s">
        <v>52</v>
      </c>
    </row>
    <row r="27" customFormat="false" ht="15" hidden="false" customHeight="false" outlineLevel="0" collapsed="false">
      <c r="A27" s="14" t="s">
        <v>53</v>
      </c>
      <c r="B27" s="15" t="s">
        <v>54</v>
      </c>
      <c r="C27" s="16" t="s">
        <v>45</v>
      </c>
      <c r="D27" s="23" t="n">
        <v>95</v>
      </c>
      <c r="E27" s="22" t="s">
        <v>55</v>
      </c>
    </row>
    <row r="28" customFormat="false" ht="15" hidden="false" customHeight="false" outlineLevel="0" collapsed="false">
      <c r="A28" s="14" t="s">
        <v>56</v>
      </c>
      <c r="B28" s="15" t="s">
        <v>57</v>
      </c>
      <c r="C28" s="16" t="s">
        <v>58</v>
      </c>
      <c r="D28" s="23" t="n">
        <v>16</v>
      </c>
      <c r="E28" s="19" t="s">
        <v>59</v>
      </c>
    </row>
    <row r="29" customFormat="false" ht="15" hidden="false" customHeight="false" outlineLevel="0" collapsed="false">
      <c r="A29" s="14" t="s">
        <v>60</v>
      </c>
      <c r="B29" s="15" t="s">
        <v>61</v>
      </c>
      <c r="C29" s="16" t="s">
        <v>58</v>
      </c>
      <c r="D29" s="23" t="n">
        <v>25</v>
      </c>
      <c r="E29" s="19" t="s">
        <v>62</v>
      </c>
    </row>
    <row r="30" customFormat="false" ht="15" hidden="false" customHeight="false" outlineLevel="0" collapsed="false">
      <c r="A30" s="14" t="s">
        <v>63</v>
      </c>
      <c r="B30" s="15" t="s">
        <v>64</v>
      </c>
      <c r="C30" s="16" t="s">
        <v>58</v>
      </c>
      <c r="D30" s="23" t="n">
        <v>24</v>
      </c>
      <c r="E30" s="24" t="s">
        <v>65</v>
      </c>
    </row>
    <row r="31" customFormat="false" ht="15" hidden="false" customHeight="false" outlineLevel="0" collapsed="false">
      <c r="A31" s="14" t="s">
        <v>66</v>
      </c>
      <c r="B31" s="15" t="s">
        <v>67</v>
      </c>
      <c r="C31" s="16" t="s">
        <v>58</v>
      </c>
      <c r="D31" s="23" t="n">
        <v>42</v>
      </c>
      <c r="E31" s="24" t="s">
        <v>68</v>
      </c>
    </row>
    <row r="33" customFormat="false" ht="15" hidden="false" customHeight="false" outlineLevel="0" collapsed="false">
      <c r="A33" s="11" t="s">
        <v>69</v>
      </c>
      <c r="B33" s="12"/>
      <c r="C33" s="12"/>
      <c r="D33" s="12"/>
      <c r="E33" s="12"/>
    </row>
    <row r="34" customFormat="false" ht="15" hidden="false" customHeight="false" outlineLevel="0" collapsed="false">
      <c r="A34" s="13" t="s">
        <v>10</v>
      </c>
      <c r="B34" s="13" t="s">
        <v>11</v>
      </c>
      <c r="C34" s="13" t="s">
        <v>12</v>
      </c>
      <c r="D34" s="13" t="s">
        <v>13</v>
      </c>
      <c r="E34" s="13" t="s">
        <v>14</v>
      </c>
    </row>
    <row r="35" customFormat="false" ht="15" hidden="false" customHeight="false" outlineLevel="0" collapsed="false">
      <c r="A35" s="14" t="s">
        <v>70</v>
      </c>
      <c r="B35" s="15" t="s">
        <v>71</v>
      </c>
      <c r="C35" s="16" t="s">
        <v>45</v>
      </c>
      <c r="D35" s="21" t="n">
        <f aca="false">IF(rx_ver=ver_name_1,vial_OD_1,IF(rx_ver=ver_name_2,vial_OD_2,NA()))</f>
        <v>27.48</v>
      </c>
      <c r="E35" s="25" t="s">
        <v>72</v>
      </c>
    </row>
    <row r="36" customFormat="false" ht="19.4" hidden="false" customHeight="false" outlineLevel="0" collapsed="false">
      <c r="A36" s="14" t="s">
        <v>73</v>
      </c>
      <c r="B36" s="15" t="s">
        <v>74</v>
      </c>
      <c r="C36" s="16" t="s">
        <v>45</v>
      </c>
      <c r="D36" s="26" t="n">
        <v>1.1</v>
      </c>
      <c r="E36" s="27" t="s">
        <v>75</v>
      </c>
    </row>
    <row r="37" customFormat="false" ht="15" hidden="false" customHeight="false" outlineLevel="0" collapsed="false">
      <c r="A37" s="14" t="s">
        <v>76</v>
      </c>
      <c r="B37" s="15" t="s">
        <v>77</v>
      </c>
      <c r="C37" s="16" t="s">
        <v>45</v>
      </c>
      <c r="D37" s="21" t="n">
        <f aca="false">vial_OD-2*vial_wall</f>
        <v>25.28</v>
      </c>
      <c r="E37" s="25" t="s">
        <v>78</v>
      </c>
    </row>
    <row r="38" customFormat="false" ht="15" hidden="false" customHeight="false" outlineLevel="0" collapsed="false">
      <c r="A38" s="14" t="s">
        <v>79</v>
      </c>
      <c r="B38" s="15" t="s">
        <v>80</v>
      </c>
      <c r="C38" s="16" t="s">
        <v>81</v>
      </c>
      <c r="D38" s="23" t="n">
        <f aca="false">PI()/4*vial_ID^2</f>
        <v>501.93100162698</v>
      </c>
      <c r="E38" s="25" t="s">
        <v>82</v>
      </c>
    </row>
    <row r="39" customFormat="false" ht="15" hidden="false" customHeight="false" outlineLevel="0" collapsed="false">
      <c r="A39" s="14" t="s">
        <v>83</v>
      </c>
      <c r="B39" s="15" t="s">
        <v>84</v>
      </c>
      <c r="C39" s="16" t="s">
        <v>45</v>
      </c>
      <c r="D39" s="23" t="n">
        <f aca="false">IF(rx_ver=ver_name_1,D_int_1,IF(rx_ver=ver_name_2,D_int_2,NA()))</f>
        <v>55</v>
      </c>
      <c r="E39" s="25" t="s">
        <v>85</v>
      </c>
    </row>
    <row r="40" customFormat="false" ht="15" hidden="false" customHeight="false" outlineLevel="0" collapsed="false">
      <c r="A40" s="14" t="s">
        <v>86</v>
      </c>
      <c r="B40" s="15" t="s">
        <v>87</v>
      </c>
      <c r="C40" s="16" t="s">
        <v>58</v>
      </c>
      <c r="D40" s="23" t="n">
        <f aca="false">IF(rx_ver=ver_name_1,Vmax_1,IF(rx_ver=ver_name_2,Vmax_2,NA()))</f>
        <v>16</v>
      </c>
      <c r="E40" s="25" t="s">
        <v>85</v>
      </c>
    </row>
    <row r="41" customFormat="false" ht="15" hidden="false" customHeight="false" outlineLevel="0" collapsed="false">
      <c r="A41" s="14" t="s">
        <v>88</v>
      </c>
      <c r="B41" s="15" t="s">
        <v>89</v>
      </c>
      <c r="C41" s="16" t="s">
        <v>58</v>
      </c>
      <c r="D41" s="23" t="n">
        <f aca="false">IF(rx_ver=ver_name_1,Vtot_1,IF(rx_ver=ver_name_2,Vtot_2,NA()))</f>
        <v>24</v>
      </c>
      <c r="E41" s="25" t="s">
        <v>85</v>
      </c>
    </row>
    <row r="42" customFormat="false" ht="15" hidden="false" customHeight="false" outlineLevel="0" collapsed="false">
      <c r="A42" s="14" t="s">
        <v>90</v>
      </c>
      <c r="B42" s="15" t="s">
        <v>91</v>
      </c>
      <c r="C42" s="16" t="s">
        <v>45</v>
      </c>
      <c r="D42" s="21" t="n">
        <f aca="false">V_max*1000/A_x</f>
        <v>31.8768913419114</v>
      </c>
      <c r="E42" s="25" t="s">
        <v>92</v>
      </c>
    </row>
    <row r="43" customFormat="false" ht="15" hidden="false" customHeight="false" outlineLevel="0" collapsed="false">
      <c r="A43" s="14" t="s">
        <v>93</v>
      </c>
      <c r="B43" s="15" t="s">
        <v>94</v>
      </c>
      <c r="C43" s="16" t="s">
        <v>45</v>
      </c>
      <c r="D43" s="28" t="n">
        <v>6</v>
      </c>
      <c r="E43" s="18" t="s">
        <v>95</v>
      </c>
    </row>
    <row r="44" customFormat="false" ht="15" hidden="false" customHeight="false" outlineLevel="0" collapsed="false">
      <c r="A44" s="14" t="s">
        <v>96</v>
      </c>
      <c r="B44" s="15" t="s">
        <v>97</v>
      </c>
      <c r="C44" s="16" t="s">
        <v>17</v>
      </c>
      <c r="D44" s="17" t="n">
        <v>2</v>
      </c>
      <c r="E44" s="25" t="s">
        <v>98</v>
      </c>
    </row>
    <row r="45" customFormat="false" ht="19.4" hidden="false" customHeight="false" outlineLevel="0" collapsed="false">
      <c r="A45" s="14" t="s">
        <v>99</v>
      </c>
      <c r="B45" s="15" t="s">
        <v>100</v>
      </c>
      <c r="C45" s="16" t="s">
        <v>45</v>
      </c>
      <c r="D45" s="28" t="n">
        <v>22</v>
      </c>
      <c r="E45" s="18" t="s">
        <v>101</v>
      </c>
    </row>
    <row r="46" customFormat="false" ht="15" hidden="false" customHeight="false" outlineLevel="0" collapsed="false">
      <c r="A46" s="29" t="s">
        <v>102</v>
      </c>
      <c r="B46" s="15" t="s">
        <v>103</v>
      </c>
      <c r="C46" s="16" t="s">
        <v>45</v>
      </c>
      <c r="D46" s="30" t="n">
        <f aca="false">D_int-elec_clear</f>
        <v>33</v>
      </c>
      <c r="E46" s="25" t="s">
        <v>104</v>
      </c>
    </row>
    <row r="47" customFormat="false" ht="15" hidden="false" customHeight="false" outlineLevel="0" collapsed="false">
      <c r="A47" s="14" t="s">
        <v>105</v>
      </c>
      <c r="B47" s="15" t="s">
        <v>106</v>
      </c>
      <c r="C47" s="16" t="s">
        <v>45</v>
      </c>
      <c r="D47" s="31" t="n">
        <v>3.175</v>
      </c>
      <c r="E47" s="25" t="s">
        <v>107</v>
      </c>
    </row>
    <row r="48" customFormat="false" ht="15" hidden="false" customHeight="false" outlineLevel="0" collapsed="false">
      <c r="A48" s="14" t="s">
        <v>108</v>
      </c>
      <c r="B48" s="15" t="s">
        <v>109</v>
      </c>
      <c r="C48" s="16" t="s">
        <v>45</v>
      </c>
      <c r="D48" s="32" t="n">
        <v>1.5875</v>
      </c>
      <c r="E48" s="25" t="s">
        <v>110</v>
      </c>
    </row>
    <row r="49" customFormat="false" ht="15" hidden="false" customHeight="false" outlineLevel="0" collapsed="false">
      <c r="A49" s="14" t="s">
        <v>111</v>
      </c>
      <c r="B49" s="15" t="s">
        <v>112</v>
      </c>
      <c r="C49" s="16" t="s">
        <v>45</v>
      </c>
      <c r="D49" s="23" t="n">
        <f aca="false">elec_clear</f>
        <v>22</v>
      </c>
      <c r="E49" s="18" t="s">
        <v>113</v>
      </c>
    </row>
    <row r="50" customFormat="false" ht="15" hidden="false" customHeight="false" outlineLevel="0" collapsed="false">
      <c r="A50" s="14" t="s">
        <v>114</v>
      </c>
      <c r="B50" s="15" t="s">
        <v>115</v>
      </c>
      <c r="C50" s="16" t="s">
        <v>45</v>
      </c>
      <c r="D50" s="31" t="n">
        <v>3.175</v>
      </c>
      <c r="E50" s="25" t="s">
        <v>107</v>
      </c>
    </row>
    <row r="51" customFormat="false" ht="15" hidden="false" customHeight="false" outlineLevel="0" collapsed="false">
      <c r="A51" s="14" t="s">
        <v>116</v>
      </c>
      <c r="B51" s="15" t="s">
        <v>117</v>
      </c>
      <c r="C51" s="16" t="s">
        <v>45</v>
      </c>
      <c r="D51" s="32" t="n">
        <v>1.5875</v>
      </c>
      <c r="E51" s="25" t="s">
        <v>110</v>
      </c>
    </row>
    <row r="52" customFormat="false" ht="15" hidden="false" customHeight="false" outlineLevel="0" collapsed="false">
      <c r="A52" s="14" t="s">
        <v>118</v>
      </c>
      <c r="B52" s="15" t="s">
        <v>119</v>
      </c>
      <c r="C52" s="16" t="s">
        <v>45</v>
      </c>
      <c r="D52" s="21" t="n">
        <f aca="false">MAX(0,h_datum-elec_clear)</f>
        <v>9.87689134191142</v>
      </c>
      <c r="E52" s="25" t="s">
        <v>120</v>
      </c>
    </row>
    <row r="53" customFormat="false" ht="15" hidden="false" customHeight="false" outlineLevel="0" collapsed="false">
      <c r="A53" s="14" t="s">
        <v>121</v>
      </c>
      <c r="B53" s="15" t="s">
        <v>122</v>
      </c>
      <c r="C53" s="16" t="s">
        <v>58</v>
      </c>
      <c r="D53" s="33" t="n">
        <f aca="false">rod_n*(PI()/4*rod_d^2)*elec_sub_L/1000</f>
        <v>0.558525047040964</v>
      </c>
      <c r="E53" s="25" t="s">
        <v>123</v>
      </c>
    </row>
    <row r="54" customFormat="false" ht="15" hidden="false" customHeight="false" outlineLevel="0" collapsed="false">
      <c r="A54" s="14" t="s">
        <v>124</v>
      </c>
      <c r="B54" s="15" t="s">
        <v>125</v>
      </c>
      <c r="C54" s="16" t="s">
        <v>58</v>
      </c>
      <c r="D54" s="33" t="n">
        <f aca="false">(PI()/4*spg_OD^2)*MAX(0,h_datum-spg_tip_h)/1000</f>
        <v>0.0781983548934349</v>
      </c>
      <c r="E54" s="25" t="s">
        <v>126</v>
      </c>
    </row>
    <row r="55" customFormat="false" ht="15" hidden="false" customHeight="false" outlineLevel="0" collapsed="false">
      <c r="A55" s="14" t="s">
        <v>127</v>
      </c>
      <c r="B55" s="15" t="s">
        <v>128</v>
      </c>
      <c r="C55" s="16" t="s">
        <v>45</v>
      </c>
      <c r="D55" s="33" t="n">
        <f aca="false">(eff_OD+eff_ID)/2</f>
        <v>2.38125</v>
      </c>
      <c r="E55" s="18" t="s">
        <v>129</v>
      </c>
    </row>
    <row r="56" customFormat="false" ht="15" hidden="false" customHeight="false" outlineLevel="0" collapsed="false">
      <c r="A56" s="14" t="s">
        <v>130</v>
      </c>
      <c r="B56" s="15" t="s">
        <v>131</v>
      </c>
      <c r="C56" s="16" t="s">
        <v>58</v>
      </c>
      <c r="D56" s="34" t="n">
        <f aca="false">(PI()/4*(eff_OD^2-eff_ID^2))*eff_sub_L/1000</f>
        <v>0.014139810757042</v>
      </c>
      <c r="E56" s="18" t="s">
        <v>132</v>
      </c>
    </row>
    <row r="57" customFormat="false" ht="15" hidden="false" customHeight="false" outlineLevel="0" collapsed="false">
      <c r="A57" s="14" t="s">
        <v>133</v>
      </c>
      <c r="B57" s="15" t="s">
        <v>134</v>
      </c>
      <c r="C57" s="16" t="s">
        <v>58</v>
      </c>
      <c r="D57" s="33" t="n">
        <f aca="false">elec_disp+spg_disp+eff_disp</f>
        <v>0.650863212691441</v>
      </c>
      <c r="E57" s="25" t="s">
        <v>135</v>
      </c>
    </row>
    <row r="58" customFormat="false" ht="15" hidden="false" customHeight="false" outlineLevel="0" collapsed="false">
      <c r="A58" s="29" t="s">
        <v>136</v>
      </c>
      <c r="B58" s="15" t="s">
        <v>137</v>
      </c>
      <c r="C58" s="16" t="s">
        <v>58</v>
      </c>
      <c r="D58" s="35" t="n">
        <f aca="false">ROUND(V_max-disp_tot,0)</f>
        <v>15</v>
      </c>
      <c r="E58" s="25" t="s">
        <v>138</v>
      </c>
    </row>
    <row r="59" customFormat="false" ht="15" hidden="false" customHeight="false" outlineLevel="0" collapsed="false">
      <c r="A59" s="29" t="s">
        <v>139</v>
      </c>
      <c r="B59" s="15" t="s">
        <v>140</v>
      </c>
      <c r="C59" s="16" t="s">
        <v>45</v>
      </c>
      <c r="D59" s="36" t="n">
        <f aca="false">(V_charge+disp_tot)*1000/A_x</f>
        <v>31.1813041273802</v>
      </c>
      <c r="E59" s="25" t="s">
        <v>141</v>
      </c>
    </row>
    <row r="60" customFormat="false" ht="15" hidden="false" customHeight="false" outlineLevel="0" collapsed="false">
      <c r="A60" s="29" t="s">
        <v>142</v>
      </c>
      <c r="B60" s="15" t="s">
        <v>143</v>
      </c>
      <c r="C60" s="16" t="s">
        <v>45</v>
      </c>
      <c r="D60" s="36" t="n">
        <f aca="false">MAX(0,h_actual-spg_tip_h)</f>
        <v>9.18130412738023</v>
      </c>
      <c r="E60" s="25" t="s">
        <v>144</v>
      </c>
    </row>
    <row r="61" customFormat="false" ht="15" hidden="false" customHeight="false" outlineLevel="0" collapsed="false">
      <c r="A61" s="29" t="s">
        <v>145</v>
      </c>
      <c r="B61" s="15" t="s">
        <v>146</v>
      </c>
      <c r="C61" s="16" t="s">
        <v>81</v>
      </c>
      <c r="D61" s="30" t="n">
        <f aca="false">A_x-(rod_n*(PI()/4*rod_d^2)+(PI()/4*spg_OD^2)+(PI()/4*eff_OD^2))</f>
        <v>429.547725140567</v>
      </c>
      <c r="E61" s="18" t="s">
        <v>147</v>
      </c>
    </row>
    <row r="62" customFormat="false" ht="15" hidden="false" customHeight="false" outlineLevel="0" collapsed="false">
      <c r="A62" s="14" t="s">
        <v>148</v>
      </c>
      <c r="B62" s="15" t="s">
        <v>149</v>
      </c>
      <c r="C62" s="16" t="s">
        <v>45</v>
      </c>
      <c r="D62" s="31" t="n">
        <v>3.175</v>
      </c>
      <c r="E62" s="18" t="s">
        <v>150</v>
      </c>
    </row>
    <row r="63" customFormat="false" ht="15" hidden="false" customHeight="false" outlineLevel="0" collapsed="false">
      <c r="A63" s="14" t="s">
        <v>151</v>
      </c>
      <c r="B63" s="15" t="s">
        <v>152</v>
      </c>
      <c r="C63" s="16" t="s">
        <v>17</v>
      </c>
      <c r="D63" s="17" t="n">
        <v>3</v>
      </c>
      <c r="E63" s="18" t="s">
        <v>153</v>
      </c>
    </row>
    <row r="64" customFormat="false" ht="15" hidden="false" customHeight="false" outlineLevel="0" collapsed="false">
      <c r="A64" s="14" t="s">
        <v>154</v>
      </c>
      <c r="B64" s="15" t="s">
        <v>155</v>
      </c>
      <c r="C64" s="16" t="s">
        <v>45</v>
      </c>
      <c r="D64" s="28" t="n">
        <v>5</v>
      </c>
      <c r="E64" s="27" t="s">
        <v>156</v>
      </c>
    </row>
    <row r="65" customFormat="false" ht="19.4" hidden="false" customHeight="false" outlineLevel="0" collapsed="false">
      <c r="A65" s="14" t="s">
        <v>157</v>
      </c>
      <c r="B65" s="15" t="s">
        <v>158</v>
      </c>
      <c r="C65" s="16" t="s">
        <v>58</v>
      </c>
      <c r="D65" s="33" t="n">
        <f aca="false">(rod_n*(PI()/4*rod_d^2)*elec_ins+(PI()/4*spg_OD^2)*elec_ins+(PI()/4*eff_OD^2)*(D_int-h_actual)+xtube_n*(PI()/4*xtube_OD^2)*xtube_pro)/1000</f>
        <v>2.43471651025867</v>
      </c>
      <c r="E65" s="18" t="s">
        <v>159</v>
      </c>
    </row>
    <row r="66" customFormat="false" ht="15" hidden="false" customHeight="false" outlineLevel="0" collapsed="false">
      <c r="A66" s="29" t="s">
        <v>160</v>
      </c>
      <c r="B66" s="15" t="s">
        <v>161</v>
      </c>
      <c r="C66" s="16" t="s">
        <v>58</v>
      </c>
      <c r="D66" s="36" t="n">
        <f aca="false">V_vial_total-V_charge-V_inserts</f>
        <v>6.56528348974134</v>
      </c>
      <c r="E66" s="18" t="s">
        <v>162</v>
      </c>
    </row>
    <row r="68" customFormat="false" ht="15" hidden="false" customHeight="false" outlineLevel="0" collapsed="false">
      <c r="A68" s="11" t="s">
        <v>163</v>
      </c>
      <c r="B68" s="12"/>
      <c r="C68" s="12"/>
      <c r="D68" s="12"/>
      <c r="E68" s="12"/>
    </row>
    <row r="69" customFormat="false" ht="15" hidden="false" customHeight="false" outlineLevel="0" collapsed="false">
      <c r="A69" s="13" t="s">
        <v>10</v>
      </c>
      <c r="B69" s="13" t="s">
        <v>11</v>
      </c>
      <c r="C69" s="13" t="s">
        <v>12</v>
      </c>
      <c r="D69" s="13" t="s">
        <v>13</v>
      </c>
      <c r="E69" s="13" t="s">
        <v>14</v>
      </c>
    </row>
    <row r="70" customFormat="false" ht="15" hidden="false" customHeight="false" outlineLevel="0" collapsed="false">
      <c r="A70" s="14" t="s">
        <v>164</v>
      </c>
      <c r="B70" s="15" t="s">
        <v>165</v>
      </c>
      <c r="C70" s="16" t="s">
        <v>166</v>
      </c>
      <c r="D70" s="37" t="n">
        <v>3</v>
      </c>
      <c r="E70" s="18" t="s">
        <v>167</v>
      </c>
    </row>
    <row r="71" customFormat="false" ht="15" hidden="false" customHeight="false" outlineLevel="0" collapsed="false">
      <c r="A71" s="14" t="s">
        <v>168</v>
      </c>
      <c r="B71" s="15" t="s">
        <v>169</v>
      </c>
      <c r="C71" s="16" t="s">
        <v>170</v>
      </c>
      <c r="D71" s="21" t="n">
        <v>1.03</v>
      </c>
      <c r="E71" s="19" t="s">
        <v>171</v>
      </c>
    </row>
    <row r="72" customFormat="false" ht="15" hidden="false" customHeight="false" outlineLevel="0" collapsed="false">
      <c r="A72" s="14" t="s">
        <v>172</v>
      </c>
      <c r="B72" s="15" t="s">
        <v>173</v>
      </c>
      <c r="C72" s="16" t="s">
        <v>174</v>
      </c>
      <c r="D72" s="23" t="n">
        <v>2.6</v>
      </c>
      <c r="E72" s="19" t="s">
        <v>175</v>
      </c>
    </row>
    <row r="73" customFormat="false" ht="15" hidden="false" customHeight="false" outlineLevel="0" collapsed="false">
      <c r="A73" s="14" t="s">
        <v>176</v>
      </c>
      <c r="B73" s="15" t="s">
        <v>177</v>
      </c>
      <c r="C73" s="16" t="s">
        <v>166</v>
      </c>
      <c r="D73" s="38" t="n">
        <v>3</v>
      </c>
      <c r="E73" s="19" t="s">
        <v>178</v>
      </c>
    </row>
    <row r="74" customFormat="false" ht="15" hidden="false" customHeight="false" outlineLevel="0" collapsed="false">
      <c r="A74" s="14" t="s">
        <v>179</v>
      </c>
      <c r="B74" s="15" t="s">
        <v>180</v>
      </c>
      <c r="C74" s="16" t="s">
        <v>166</v>
      </c>
      <c r="D74" s="38" t="n">
        <v>25</v>
      </c>
      <c r="E74" s="19" t="s">
        <v>181</v>
      </c>
    </row>
    <row r="75" customFormat="false" ht="15" hidden="false" customHeight="false" outlineLevel="0" collapsed="false">
      <c r="A75" s="14" t="s">
        <v>182</v>
      </c>
      <c r="B75" s="15" t="s">
        <v>183</v>
      </c>
      <c r="C75" s="16" t="s">
        <v>184</v>
      </c>
      <c r="D75" s="39" t="n">
        <v>96485.33212</v>
      </c>
      <c r="E75" s="40" t="s">
        <v>185</v>
      </c>
    </row>
    <row r="76" customFormat="false" ht="15" hidden="false" customHeight="false" outlineLevel="0" collapsed="false">
      <c r="A76" s="14" t="s">
        <v>186</v>
      </c>
      <c r="B76" s="15" t="s">
        <v>187</v>
      </c>
      <c r="C76" s="16" t="s">
        <v>17</v>
      </c>
      <c r="D76" s="20" t="n">
        <v>2</v>
      </c>
      <c r="E76" s="25" t="s">
        <v>188</v>
      </c>
    </row>
    <row r="77" customFormat="false" ht="15" hidden="false" customHeight="false" outlineLevel="0" collapsed="false">
      <c r="A77" s="14" t="s">
        <v>189</v>
      </c>
      <c r="B77" s="15" t="s">
        <v>190</v>
      </c>
      <c r="C77" s="16" t="s">
        <v>17</v>
      </c>
      <c r="D77" s="20" t="n">
        <v>4</v>
      </c>
      <c r="E77" s="25" t="s">
        <v>191</v>
      </c>
    </row>
    <row r="78" customFormat="false" ht="15" hidden="false" customHeight="false" outlineLevel="0" collapsed="false">
      <c r="A78" s="14" t="s">
        <v>192</v>
      </c>
      <c r="B78" s="15" t="s">
        <v>193</v>
      </c>
      <c r="C78" s="16" t="s">
        <v>17</v>
      </c>
      <c r="D78" s="26" t="n">
        <v>1</v>
      </c>
      <c r="E78" s="24" t="s">
        <v>194</v>
      </c>
    </row>
    <row r="79" customFormat="false" ht="15" hidden="false" customHeight="false" outlineLevel="0" collapsed="false">
      <c r="A79" s="14" t="s">
        <v>195</v>
      </c>
      <c r="B79" s="15" t="s">
        <v>196</v>
      </c>
      <c r="C79" s="16" t="s">
        <v>197</v>
      </c>
      <c r="D79" s="34" t="n">
        <f aca="false">(gerrit_slope*intensity+gerrit_int)/1000</f>
        <v>0.00569</v>
      </c>
      <c r="E79" s="19" t="s">
        <v>198</v>
      </c>
    </row>
    <row r="80" customFormat="false" ht="15" hidden="false" customHeight="false" outlineLevel="0" collapsed="false">
      <c r="A80" s="14" t="s">
        <v>199</v>
      </c>
      <c r="B80" s="15" t="s">
        <v>200</v>
      </c>
      <c r="C80" s="16" t="s">
        <v>17</v>
      </c>
      <c r="D80" s="20" t="str">
        <f aca="false">IF(AND(intensity&gt;=gerrit_min,intensity&lt;=gerrit_max),"OK","OUT OF FITTED RANGE")</f>
        <v>OK</v>
      </c>
      <c r="E80" s="19" t="s">
        <v>201</v>
      </c>
    </row>
    <row r="81" customFormat="false" ht="15" hidden="false" customHeight="false" outlineLevel="0" collapsed="false">
      <c r="A81" s="14" t="s">
        <v>202</v>
      </c>
      <c r="B81" s="15" t="s">
        <v>203</v>
      </c>
      <c r="C81" s="16" t="s">
        <v>204</v>
      </c>
      <c r="D81" s="41" t="n">
        <f aca="false">I_app*etaF/(z_e_H2*F_const)*3600</f>
        <v>0.000106150849823079</v>
      </c>
      <c r="E81" s="25" t="s">
        <v>205</v>
      </c>
    </row>
    <row r="82" customFormat="false" ht="15" hidden="false" customHeight="false" outlineLevel="0" collapsed="false">
      <c r="A82" s="14" t="s">
        <v>206</v>
      </c>
      <c r="B82" s="15" t="s">
        <v>207</v>
      </c>
      <c r="C82" s="16" t="s">
        <v>204</v>
      </c>
      <c r="D82" s="41" t="n">
        <f aca="false">I_app*etaF/(z_e_O2*F_const)*3600</f>
        <v>5.30754249115394E-005</v>
      </c>
      <c r="E82" s="25" t="s">
        <v>208</v>
      </c>
    </row>
    <row r="84" customFormat="false" ht="15" hidden="false" customHeight="false" outlineLevel="0" collapsed="false">
      <c r="A84" s="11" t="s">
        <v>209</v>
      </c>
      <c r="B84" s="12"/>
      <c r="C84" s="12"/>
      <c r="D84" s="12"/>
      <c r="E84" s="12"/>
    </row>
    <row r="85" customFormat="false" ht="15" hidden="false" customHeight="false" outlineLevel="0" collapsed="false">
      <c r="A85" s="13" t="s">
        <v>10</v>
      </c>
      <c r="B85" s="13" t="s">
        <v>11</v>
      </c>
      <c r="C85" s="13" t="s">
        <v>12</v>
      </c>
      <c r="D85" s="13" t="s">
        <v>13</v>
      </c>
      <c r="E85" s="13" t="s">
        <v>14</v>
      </c>
    </row>
    <row r="86" customFormat="false" ht="15" hidden="false" customHeight="false" outlineLevel="0" collapsed="false">
      <c r="A86" s="14" t="s">
        <v>210</v>
      </c>
      <c r="B86" s="15" t="s">
        <v>211</v>
      </c>
      <c r="C86" s="16" t="s">
        <v>17</v>
      </c>
      <c r="D86" s="17" t="n">
        <v>6</v>
      </c>
      <c r="E86" s="42" t="s">
        <v>212</v>
      </c>
    </row>
    <row r="87" customFormat="false" ht="15" hidden="false" customHeight="false" outlineLevel="0" collapsed="false">
      <c r="A87" s="14" t="s">
        <v>213</v>
      </c>
      <c r="B87" s="15" t="s">
        <v>214</v>
      </c>
      <c r="C87" s="16" t="s">
        <v>17</v>
      </c>
      <c r="D87" s="17" t="n">
        <v>2</v>
      </c>
      <c r="E87" s="42" t="s">
        <v>215</v>
      </c>
    </row>
    <row r="88" customFormat="false" ht="15" hidden="false" customHeight="false" outlineLevel="0" collapsed="false">
      <c r="A88" s="14" t="s">
        <v>216</v>
      </c>
      <c r="B88" s="15" t="s">
        <v>217</v>
      </c>
      <c r="C88" s="16" t="s">
        <v>17</v>
      </c>
      <c r="D88" s="17" t="n">
        <v>1</v>
      </c>
      <c r="E88" s="42" t="s">
        <v>215</v>
      </c>
    </row>
    <row r="89" customFormat="false" ht="15" hidden="false" customHeight="false" outlineLevel="0" collapsed="false">
      <c r="A89" s="14" t="s">
        <v>218</v>
      </c>
      <c r="B89" s="15" t="s">
        <v>219</v>
      </c>
      <c r="C89" s="16" t="s">
        <v>204</v>
      </c>
      <c r="D89" s="41" t="n">
        <f aca="false">rH2_gen</f>
        <v>0.000106150849823079</v>
      </c>
      <c r="E89" s="18" t="s">
        <v>220</v>
      </c>
    </row>
    <row r="90" customFormat="false" ht="15" hidden="false" customHeight="false" outlineLevel="0" collapsed="false">
      <c r="A90" s="14" t="s">
        <v>221</v>
      </c>
      <c r="B90" s="15" t="s">
        <v>222</v>
      </c>
      <c r="C90" s="16" t="s">
        <v>204</v>
      </c>
      <c r="D90" s="41" t="n">
        <f aca="false">H2_cons*bio_O2/bio_H2</f>
        <v>3.53836166076929E-005</v>
      </c>
      <c r="E90" s="18" t="s">
        <v>223</v>
      </c>
    </row>
    <row r="91" customFormat="false" ht="15" hidden="false" customHeight="false" outlineLevel="0" collapsed="false">
      <c r="A91" s="14" t="s">
        <v>224</v>
      </c>
      <c r="B91" s="15" t="s">
        <v>225</v>
      </c>
      <c r="C91" s="16" t="s">
        <v>204</v>
      </c>
      <c r="D91" s="41" t="n">
        <f aca="false">H2_cons*bio_CO2/bio_H2</f>
        <v>1.76918083038465E-005</v>
      </c>
      <c r="E91" s="18" t="s">
        <v>226</v>
      </c>
    </row>
    <row r="92" customFormat="false" ht="15" hidden="false" customHeight="false" outlineLevel="0" collapsed="false">
      <c r="A92" s="29" t="s">
        <v>227</v>
      </c>
      <c r="B92" s="15" t="s">
        <v>228</v>
      </c>
      <c r="C92" s="16" t="s">
        <v>204</v>
      </c>
      <c r="D92" s="43" t="n">
        <f aca="false">rO2_gen-O2_cons</f>
        <v>1.76918083038465E-005</v>
      </c>
      <c r="E92" s="25" t="s">
        <v>229</v>
      </c>
    </row>
    <row r="94" customFormat="false" ht="15" hidden="false" customHeight="false" outlineLevel="0" collapsed="false">
      <c r="A94" s="11" t="s">
        <v>230</v>
      </c>
      <c r="B94" s="12"/>
      <c r="C94" s="12"/>
      <c r="D94" s="12"/>
      <c r="E94" s="12"/>
    </row>
    <row r="95" customFormat="false" ht="15" hidden="false" customHeight="false" outlineLevel="0" collapsed="false">
      <c r="A95" s="13" t="s">
        <v>10</v>
      </c>
      <c r="B95" s="13" t="s">
        <v>11</v>
      </c>
      <c r="C95" s="13" t="s">
        <v>12</v>
      </c>
      <c r="D95" s="13" t="s">
        <v>13</v>
      </c>
      <c r="E95" s="13" t="s">
        <v>14</v>
      </c>
    </row>
    <row r="96" customFormat="false" ht="15" hidden="false" customHeight="false" outlineLevel="0" collapsed="false">
      <c r="A96" s="14" t="s">
        <v>231</v>
      </c>
      <c r="B96" s="15" t="s">
        <v>232</v>
      </c>
      <c r="C96" s="16" t="s">
        <v>233</v>
      </c>
      <c r="D96" s="28" t="n">
        <v>30</v>
      </c>
      <c r="E96" s="18" t="s">
        <v>234</v>
      </c>
    </row>
    <row r="97" customFormat="false" ht="15" hidden="false" customHeight="false" outlineLevel="0" collapsed="false">
      <c r="A97" s="14" t="s">
        <v>235</v>
      </c>
      <c r="B97" s="15" t="s">
        <v>236</v>
      </c>
      <c r="C97" s="16" t="s">
        <v>237</v>
      </c>
      <c r="D97" s="21" t="n">
        <f aca="false">T_C+273.15</f>
        <v>303.15</v>
      </c>
      <c r="E97" s="25" t="s">
        <v>238</v>
      </c>
    </row>
    <row r="98" customFormat="false" ht="15" hidden="false" customHeight="false" outlineLevel="0" collapsed="false">
      <c r="A98" s="14" t="s">
        <v>239</v>
      </c>
      <c r="B98" s="15" t="s">
        <v>240</v>
      </c>
      <c r="C98" s="16" t="s">
        <v>241</v>
      </c>
      <c r="D98" s="17" t="n">
        <v>101325</v>
      </c>
      <c r="E98" s="18" t="s">
        <v>242</v>
      </c>
    </row>
    <row r="99" customFormat="false" ht="15" hidden="false" customHeight="false" outlineLevel="0" collapsed="false">
      <c r="A99" s="14" t="s">
        <v>243</v>
      </c>
      <c r="B99" s="15" t="s">
        <v>244</v>
      </c>
      <c r="C99" s="16" t="s">
        <v>245</v>
      </c>
      <c r="D99" s="20" t="n">
        <v>101325</v>
      </c>
      <c r="E99" s="25" t="s">
        <v>246</v>
      </c>
    </row>
    <row r="100" customFormat="false" ht="15" hidden="false" customHeight="false" outlineLevel="0" collapsed="false">
      <c r="A100" s="14" t="s">
        <v>247</v>
      </c>
      <c r="B100" s="15" t="s">
        <v>248</v>
      </c>
      <c r="C100" s="16" t="s">
        <v>249</v>
      </c>
      <c r="D100" s="20" t="n">
        <v>1.3E-005</v>
      </c>
      <c r="E100" s="19" t="s">
        <v>250</v>
      </c>
    </row>
    <row r="101" customFormat="false" ht="15" hidden="false" customHeight="false" outlineLevel="0" collapsed="false">
      <c r="A101" s="14" t="s">
        <v>251</v>
      </c>
      <c r="B101" s="15" t="s">
        <v>252</v>
      </c>
      <c r="C101" s="16" t="s">
        <v>237</v>
      </c>
      <c r="D101" s="20" t="n">
        <v>1500</v>
      </c>
      <c r="E101" s="19" t="s">
        <v>253</v>
      </c>
    </row>
    <row r="102" customFormat="false" ht="15" hidden="false" customHeight="false" outlineLevel="0" collapsed="false">
      <c r="A102" s="14" t="s">
        <v>254</v>
      </c>
      <c r="B102" s="15" t="s">
        <v>255</v>
      </c>
      <c r="C102" s="16" t="s">
        <v>237</v>
      </c>
      <c r="D102" s="20" t="n">
        <v>298.15</v>
      </c>
      <c r="E102" s="25" t="s">
        <v>256</v>
      </c>
    </row>
    <row r="103" customFormat="false" ht="15" hidden="false" customHeight="false" outlineLevel="0" collapsed="false">
      <c r="A103" s="14" t="s">
        <v>257</v>
      </c>
      <c r="B103" s="15" t="s">
        <v>258</v>
      </c>
      <c r="C103" s="16" t="s">
        <v>249</v>
      </c>
      <c r="D103" s="44" t="n">
        <f aca="false">H_O2ref*EXP(H_O2T*(1/T_K-1/T_ref))</f>
        <v>1.19648146169132E-005</v>
      </c>
      <c r="E103" s="25" t="s">
        <v>259</v>
      </c>
    </row>
    <row r="104" customFormat="false" ht="15" hidden="false" customHeight="false" outlineLevel="0" collapsed="false">
      <c r="A104" s="14" t="s">
        <v>260</v>
      </c>
      <c r="B104" s="15" t="s">
        <v>261</v>
      </c>
      <c r="C104" s="16" t="s">
        <v>262</v>
      </c>
      <c r="D104" s="20" t="n">
        <v>0.3</v>
      </c>
      <c r="E104" s="19" t="s">
        <v>263</v>
      </c>
    </row>
    <row r="105" customFormat="false" ht="15" hidden="false" customHeight="false" outlineLevel="0" collapsed="false">
      <c r="A105" s="14" t="s">
        <v>264</v>
      </c>
      <c r="C105" s="16" t="s">
        <v>17</v>
      </c>
      <c r="D105" s="20" t="s">
        <v>265</v>
      </c>
      <c r="E105" s="19" t="s">
        <v>266</v>
      </c>
    </row>
    <row r="106" customFormat="false" ht="15" hidden="false" customHeight="false" outlineLevel="0" collapsed="false">
      <c r="A106" s="14" t="s">
        <v>267</v>
      </c>
      <c r="B106" s="15" t="s">
        <v>268</v>
      </c>
      <c r="C106" s="16" t="s">
        <v>241</v>
      </c>
      <c r="D106" s="23" t="n">
        <f aca="false">O2_ceil_atm*Pa_per_atm</f>
        <v>30397.5</v>
      </c>
      <c r="E106" s="25" t="s">
        <v>269</v>
      </c>
    </row>
    <row r="107" customFormat="false" ht="15" hidden="false" customHeight="false" outlineLevel="0" collapsed="false">
      <c r="A107" s="14" t="s">
        <v>270</v>
      </c>
      <c r="B107" s="15" t="s">
        <v>271</v>
      </c>
      <c r="C107" s="16" t="s">
        <v>272</v>
      </c>
      <c r="D107" s="34" t="n">
        <f aca="false">H_O2_T*O2_ceil_Pa</f>
        <v>0.363700452317618</v>
      </c>
      <c r="E107" s="25" t="s">
        <v>273</v>
      </c>
    </row>
    <row r="108" customFormat="false" ht="19.4" hidden="false" customHeight="false" outlineLevel="0" collapsed="false">
      <c r="A108" s="29" t="s">
        <v>270</v>
      </c>
      <c r="B108" s="15" t="s">
        <v>274</v>
      </c>
      <c r="C108" s="16" t="s">
        <v>275</v>
      </c>
      <c r="D108" s="30" t="n">
        <f aca="false">O2_ceil_C*1000</f>
        <v>363.700452317618</v>
      </c>
      <c r="E108" s="45" t="s">
        <v>276</v>
      </c>
    </row>
    <row r="110" customFormat="false" ht="15" hidden="false" customHeight="false" outlineLevel="0" collapsed="false">
      <c r="A110" s="11" t="s">
        <v>277</v>
      </c>
      <c r="B110" s="12"/>
      <c r="C110" s="12"/>
      <c r="D110" s="12"/>
      <c r="E110" s="12"/>
    </row>
    <row r="111" customFormat="false" ht="15" hidden="false" customHeight="false" outlineLevel="0" collapsed="false">
      <c r="A111" s="13" t="s">
        <v>10</v>
      </c>
      <c r="B111" s="13" t="s">
        <v>11</v>
      </c>
      <c r="C111" s="13" t="s">
        <v>12</v>
      </c>
      <c r="D111" s="13" t="s">
        <v>13</v>
      </c>
      <c r="E111" s="13" t="s">
        <v>14</v>
      </c>
    </row>
    <row r="112" customFormat="false" ht="15" hidden="false" customHeight="false" outlineLevel="0" collapsed="false">
      <c r="A112" s="14" t="s">
        <v>278</v>
      </c>
      <c r="B112" s="15" t="s">
        <v>279</v>
      </c>
      <c r="C112" s="16" t="s">
        <v>280</v>
      </c>
      <c r="D112" s="28" t="n">
        <v>10</v>
      </c>
      <c r="E112" s="18" t="s">
        <v>281</v>
      </c>
    </row>
    <row r="113" customFormat="false" ht="15" hidden="false" customHeight="false" outlineLevel="0" collapsed="false">
      <c r="A113" s="14" t="s">
        <v>282</v>
      </c>
      <c r="B113" s="15" t="s">
        <v>283</v>
      </c>
      <c r="C113" s="16" t="s">
        <v>284</v>
      </c>
      <c r="D113" s="26" t="n">
        <v>1</v>
      </c>
      <c r="E113" s="18" t="s">
        <v>285</v>
      </c>
    </row>
    <row r="114" customFormat="false" ht="15" hidden="false" customHeight="false" outlineLevel="0" collapsed="false">
      <c r="A114" s="14" t="s">
        <v>286</v>
      </c>
      <c r="B114" s="15" t="s">
        <v>287</v>
      </c>
      <c r="C114" s="16" t="s">
        <v>288</v>
      </c>
      <c r="D114" s="26" t="n">
        <v>1</v>
      </c>
      <c r="E114" s="18" t="s">
        <v>289</v>
      </c>
    </row>
    <row r="115" customFormat="false" ht="15" hidden="false" customHeight="false" outlineLevel="0" collapsed="false">
      <c r="A115" s="14" t="s">
        <v>290</v>
      </c>
      <c r="B115" s="15" t="s">
        <v>291</v>
      </c>
      <c r="C115" s="16" t="s">
        <v>284</v>
      </c>
      <c r="D115" s="26" t="n">
        <v>0.5</v>
      </c>
      <c r="E115" s="27" t="s">
        <v>292</v>
      </c>
    </row>
    <row r="116" customFormat="false" ht="15" hidden="false" customHeight="false" outlineLevel="0" collapsed="false">
      <c r="A116" s="14" t="s">
        <v>293</v>
      </c>
      <c r="B116" s="15" t="s">
        <v>294</v>
      </c>
      <c r="C116" s="16" t="s">
        <v>295</v>
      </c>
      <c r="D116" s="41" t="n">
        <v>8.314462618</v>
      </c>
      <c r="E116" s="40" t="s">
        <v>185</v>
      </c>
    </row>
    <row r="117" customFormat="false" ht="15" hidden="false" customHeight="false" outlineLevel="0" collapsed="false">
      <c r="A117" s="14" t="s">
        <v>296</v>
      </c>
      <c r="B117" s="15" t="s">
        <v>297</v>
      </c>
      <c r="C117" s="16" t="s">
        <v>298</v>
      </c>
      <c r="D117" s="34" t="n">
        <v>44.0095</v>
      </c>
      <c r="E117" s="40" t="s">
        <v>299</v>
      </c>
    </row>
    <row r="118" customFormat="false" ht="15" hidden="false" customHeight="false" outlineLevel="0" collapsed="false">
      <c r="A118" s="14" t="s">
        <v>300</v>
      </c>
      <c r="B118" s="15" t="s">
        <v>301</v>
      </c>
      <c r="C118" s="16" t="s">
        <v>302</v>
      </c>
      <c r="D118" s="46" t="n">
        <f aca="false">P_atm*(Q_CO2/1000000/60)/(R_gas*T_K)</f>
        <v>6.69998151351301E-006</v>
      </c>
      <c r="E118" s="25" t="s">
        <v>303</v>
      </c>
    </row>
    <row r="119" customFormat="false" ht="15" hidden="false" customHeight="false" outlineLevel="0" collapsed="false">
      <c r="A119" s="14" t="s">
        <v>304</v>
      </c>
      <c r="B119" s="15" t="s">
        <v>305</v>
      </c>
      <c r="C119" s="16" t="s">
        <v>306</v>
      </c>
      <c r="D119" s="44" t="n">
        <f aca="false">nCO2_rate*spg_dur</f>
        <v>6.69998151351301E-006</v>
      </c>
      <c r="E119" s="25" t="s">
        <v>307</v>
      </c>
    </row>
    <row r="120" customFormat="false" ht="15" hidden="false" customHeight="false" outlineLevel="0" collapsed="false">
      <c r="A120" s="14" t="s">
        <v>308</v>
      </c>
      <c r="B120" s="15" t="s">
        <v>309</v>
      </c>
      <c r="C120" s="16" t="s">
        <v>310</v>
      </c>
      <c r="D120" s="21" t="n">
        <f aca="false">60/spg_int</f>
        <v>60</v>
      </c>
      <c r="E120" s="25" t="s">
        <v>311</v>
      </c>
    </row>
    <row r="121" customFormat="false" ht="15" hidden="false" customHeight="false" outlineLevel="0" collapsed="false">
      <c r="A121" s="14" t="s">
        <v>312</v>
      </c>
      <c r="B121" s="15" t="s">
        <v>313</v>
      </c>
      <c r="C121" s="16" t="s">
        <v>314</v>
      </c>
      <c r="D121" s="23" t="n">
        <f aca="false">pulses_h*24</f>
        <v>1440</v>
      </c>
      <c r="E121" s="25"/>
    </row>
    <row r="122" customFormat="false" ht="15" hidden="false" customHeight="false" outlineLevel="0" collapsed="false">
      <c r="A122" s="29" t="s">
        <v>315</v>
      </c>
      <c r="B122" s="15" t="s">
        <v>316</v>
      </c>
      <c r="C122" s="16" t="s">
        <v>204</v>
      </c>
      <c r="D122" s="43" t="n">
        <f aca="false">CO2_pulse*pulses_h</f>
        <v>0.000401998890810781</v>
      </c>
      <c r="E122" s="25" t="s">
        <v>317</v>
      </c>
    </row>
    <row r="123" customFormat="false" ht="15" hidden="false" customHeight="false" outlineLevel="0" collapsed="false">
      <c r="A123" s="29" t="s">
        <v>318</v>
      </c>
      <c r="B123" s="15" t="s">
        <v>319</v>
      </c>
      <c r="C123" s="16" t="s">
        <v>320</v>
      </c>
      <c r="D123" s="36" t="n">
        <f aca="false">IF(CO2_cons&gt;0,CO2_supply/CO2_cons,NA())</f>
        <v>22.7223178041885</v>
      </c>
      <c r="E123" s="25" t="s">
        <v>321</v>
      </c>
    </row>
    <row r="124" customFormat="false" ht="15" hidden="false" customHeight="false" outlineLevel="0" collapsed="false">
      <c r="A124" s="29" t="s">
        <v>322</v>
      </c>
      <c r="B124" s="15" t="s">
        <v>323</v>
      </c>
      <c r="C124" s="16" t="s">
        <v>17</v>
      </c>
      <c r="D124" s="47" t="n">
        <f aca="false">spg_dur/(spg_int*60)</f>
        <v>0.0166666666666667</v>
      </c>
      <c r="E124" s="25" t="s">
        <v>324</v>
      </c>
    </row>
    <row r="126" customFormat="false" ht="15" hidden="false" customHeight="false" outlineLevel="0" collapsed="false">
      <c r="A126" s="11" t="s">
        <v>325</v>
      </c>
      <c r="B126" s="12"/>
      <c r="C126" s="12"/>
      <c r="D126" s="12"/>
      <c r="E126" s="12"/>
    </row>
    <row r="127" customFormat="false" ht="15" hidden="false" customHeight="false" outlineLevel="0" collapsed="false">
      <c r="A127" s="13" t="s">
        <v>10</v>
      </c>
      <c r="B127" s="13" t="s">
        <v>11</v>
      </c>
      <c r="C127" s="13" t="s">
        <v>12</v>
      </c>
      <c r="D127" s="13" t="s">
        <v>13</v>
      </c>
      <c r="E127" s="13" t="s">
        <v>14</v>
      </c>
    </row>
    <row r="128" customFormat="false" ht="15" hidden="false" customHeight="false" outlineLevel="0" collapsed="false">
      <c r="A128" s="14" t="s">
        <v>326</v>
      </c>
      <c r="B128" s="15" t="s">
        <v>327</v>
      </c>
      <c r="C128" s="16" t="s">
        <v>328</v>
      </c>
      <c r="D128" s="34" t="n">
        <v>0.0712</v>
      </c>
      <c r="E128" s="19" t="s">
        <v>329</v>
      </c>
    </row>
    <row r="129" customFormat="false" ht="15" hidden="false" customHeight="false" outlineLevel="0" collapsed="false">
      <c r="A129" s="14" t="s">
        <v>330</v>
      </c>
      <c r="B129" s="15" t="s">
        <v>331</v>
      </c>
      <c r="C129" s="16" t="s">
        <v>332</v>
      </c>
      <c r="D129" s="21" t="n">
        <v>995.65</v>
      </c>
      <c r="E129" s="19" t="s">
        <v>333</v>
      </c>
    </row>
    <row r="130" customFormat="false" ht="15" hidden="false" customHeight="false" outlineLevel="0" collapsed="false">
      <c r="A130" s="14" t="s">
        <v>334</v>
      </c>
      <c r="B130" s="15" t="s">
        <v>335</v>
      </c>
      <c r="C130" s="16" t="s">
        <v>336</v>
      </c>
      <c r="D130" s="39" t="n">
        <v>9.80665</v>
      </c>
      <c r="E130" s="40" t="s">
        <v>337</v>
      </c>
    </row>
    <row r="131" customFormat="false" ht="15" hidden="false" customHeight="false" outlineLevel="0" collapsed="false">
      <c r="A131" s="14" t="s">
        <v>338</v>
      </c>
      <c r="B131" s="15" t="s">
        <v>339</v>
      </c>
      <c r="C131" s="16" t="s">
        <v>340</v>
      </c>
      <c r="D131" s="20" t="n">
        <v>2.4E-009</v>
      </c>
      <c r="E131" s="18" t="s">
        <v>341</v>
      </c>
    </row>
    <row r="132" customFormat="false" ht="15" hidden="false" customHeight="false" outlineLevel="0" collapsed="false">
      <c r="A132" s="14" t="s">
        <v>342</v>
      </c>
      <c r="B132" s="15" t="s">
        <v>343</v>
      </c>
      <c r="C132" s="16" t="s">
        <v>344</v>
      </c>
      <c r="D132" s="20" t="n">
        <v>205</v>
      </c>
      <c r="E132" s="19" t="s">
        <v>345</v>
      </c>
    </row>
    <row r="133" customFormat="false" ht="15" hidden="false" customHeight="false" outlineLevel="0" collapsed="false">
      <c r="A133" s="14" t="s">
        <v>346</v>
      </c>
      <c r="B133" s="15" t="s">
        <v>347</v>
      </c>
      <c r="C133" s="16" t="s">
        <v>344</v>
      </c>
      <c r="D133" s="20" t="n">
        <v>130</v>
      </c>
      <c r="E133" s="19" t="s">
        <v>348</v>
      </c>
    </row>
    <row r="134" customFormat="false" ht="15" hidden="false" customHeight="false" outlineLevel="0" collapsed="false">
      <c r="A134" s="14" t="s">
        <v>349</v>
      </c>
      <c r="B134" s="15" t="s">
        <v>350</v>
      </c>
      <c r="C134" s="16" t="s">
        <v>344</v>
      </c>
      <c r="D134" s="20" t="n">
        <v>70</v>
      </c>
      <c r="E134" s="19" t="s">
        <v>351</v>
      </c>
    </row>
    <row r="135" customFormat="false" ht="15" hidden="false" customHeight="false" outlineLevel="0" collapsed="false">
      <c r="A135" s="14" t="s">
        <v>352</v>
      </c>
      <c r="B135" s="15" t="s">
        <v>353</v>
      </c>
      <c r="C135" s="16" t="s">
        <v>344</v>
      </c>
      <c r="D135" s="20" t="n">
        <v>28</v>
      </c>
      <c r="E135" s="19" t="s">
        <v>354</v>
      </c>
    </row>
    <row r="136" customFormat="false" ht="15" hidden="false" customHeight="false" outlineLevel="0" collapsed="false">
      <c r="A136" s="14" t="s">
        <v>355</v>
      </c>
      <c r="B136" s="15" t="s">
        <v>356</v>
      </c>
      <c r="C136" s="16" t="s">
        <v>344</v>
      </c>
      <c r="D136" s="20" t="n">
        <v>13</v>
      </c>
      <c r="E136" s="19" t="s">
        <v>357</v>
      </c>
    </row>
    <row r="137" customFormat="false" ht="15" hidden="false" customHeight="false" outlineLevel="0" collapsed="false">
      <c r="A137" s="14" t="s">
        <v>358</v>
      </c>
      <c r="B137" s="15" t="s">
        <v>359</v>
      </c>
      <c r="C137" s="16" t="s">
        <v>344</v>
      </c>
      <c r="D137" s="23" t="n">
        <v>1.3</v>
      </c>
      <c r="E137" s="19" t="s">
        <v>360</v>
      </c>
    </row>
    <row r="138" customFormat="false" ht="15" hidden="false" customHeight="false" outlineLevel="0" collapsed="false">
      <c r="A138" s="14" t="s">
        <v>361</v>
      </c>
      <c r="B138" s="15" t="s">
        <v>362</v>
      </c>
      <c r="C138" s="16" t="s">
        <v>363</v>
      </c>
      <c r="D138" s="48" t="n">
        <f aca="false">CHOOSE(por_grade+1,por0_um,por1_um,por2_um,por3_um,por4_um,por5_um)/1000000</f>
        <v>0.000205</v>
      </c>
      <c r="E138" s="25" t="s">
        <v>364</v>
      </c>
    </row>
    <row r="139" customFormat="false" ht="15" hidden="false" customHeight="false" outlineLevel="0" collapsed="false">
      <c r="A139" s="14" t="s">
        <v>365</v>
      </c>
      <c r="B139" s="15" t="s">
        <v>366</v>
      </c>
      <c r="C139" s="16" t="s">
        <v>363</v>
      </c>
      <c r="D139" s="48" t="n">
        <f aca="false">spg_ID/1000</f>
        <v>0.0015875</v>
      </c>
      <c r="E139" s="25" t="s">
        <v>367</v>
      </c>
    </row>
    <row r="140" customFormat="false" ht="15" hidden="false" customHeight="false" outlineLevel="0" collapsed="false">
      <c r="A140" s="14" t="s">
        <v>368</v>
      </c>
      <c r="B140" s="15" t="s">
        <v>369</v>
      </c>
      <c r="C140" s="16" t="s">
        <v>363</v>
      </c>
      <c r="D140" s="48" t="n">
        <f aca="false">IF(sparger=spg_name_1,tube_d_m,IF(sparger=spg_name_2,por_pore,NA()))</f>
        <v>0.000205</v>
      </c>
      <c r="E140" s="25" t="s">
        <v>370</v>
      </c>
    </row>
    <row r="141" customFormat="false" ht="15" hidden="false" customHeight="false" outlineLevel="0" collapsed="false">
      <c r="A141" s="29" t="s">
        <v>371</v>
      </c>
      <c r="B141" s="15" t="s">
        <v>372</v>
      </c>
      <c r="C141" s="16" t="s">
        <v>363</v>
      </c>
      <c r="D141" s="43" t="n">
        <f aca="false">(6*d_orifice*sigma/(rho_L*g_const))^(1/3)</f>
        <v>0.00207771469049509</v>
      </c>
      <c r="E141" s="49" t="s">
        <v>373</v>
      </c>
    </row>
    <row r="142" customFormat="false" ht="15" hidden="false" customHeight="false" outlineLevel="0" collapsed="false">
      <c r="A142" s="29" t="s">
        <v>374</v>
      </c>
      <c r="B142" s="15" t="s">
        <v>375</v>
      </c>
      <c r="C142" s="16" t="s">
        <v>45</v>
      </c>
      <c r="D142" s="50" t="n">
        <f aca="false">d_bubble*1000</f>
        <v>2.07771469049509</v>
      </c>
      <c r="E142" s="49"/>
    </row>
    <row r="143" customFormat="false" ht="15" hidden="false" customHeight="false" outlineLevel="0" collapsed="false">
      <c r="A143" s="14" t="s">
        <v>376</v>
      </c>
      <c r="B143" s="15" t="s">
        <v>377</v>
      </c>
      <c r="C143" s="16" t="s">
        <v>17</v>
      </c>
      <c r="D143" s="21" t="n">
        <v>2.14</v>
      </c>
      <c r="E143" s="49" t="s">
        <v>378</v>
      </c>
    </row>
    <row r="144" customFormat="false" ht="15" hidden="false" customHeight="false" outlineLevel="0" collapsed="false">
      <c r="A144" s="14" t="s">
        <v>379</v>
      </c>
      <c r="B144" s="15" t="s">
        <v>380</v>
      </c>
      <c r="C144" s="16" t="s">
        <v>17</v>
      </c>
      <c r="D144" s="33" t="n">
        <v>0.505</v>
      </c>
      <c r="E144" s="49" t="s">
        <v>381</v>
      </c>
    </row>
    <row r="145" customFormat="false" ht="15" hidden="false" customHeight="false" outlineLevel="0" collapsed="false">
      <c r="A145" s="14" t="s">
        <v>382</v>
      </c>
      <c r="B145" s="15" t="s">
        <v>383</v>
      </c>
      <c r="C145" s="16" t="s">
        <v>384</v>
      </c>
      <c r="D145" s="34" t="n">
        <f aca="false">SQRT(mend_a*sigma/(rho_L*d_bubble)+mend_b*g_const*d_bubble)</f>
        <v>0.289731608737381</v>
      </c>
      <c r="E145" s="49" t="s">
        <v>385</v>
      </c>
    </row>
    <row r="147" customFormat="false" ht="15" hidden="false" customHeight="false" outlineLevel="0" collapsed="false">
      <c r="A147" s="11" t="s">
        <v>386</v>
      </c>
      <c r="B147" s="12"/>
      <c r="C147" s="12"/>
      <c r="D147" s="12"/>
      <c r="E147" s="12"/>
    </row>
    <row r="148" customFormat="false" ht="15" hidden="false" customHeight="false" outlineLevel="0" collapsed="false">
      <c r="A148" s="13" t="s">
        <v>10</v>
      </c>
      <c r="B148" s="13" t="s">
        <v>11</v>
      </c>
      <c r="C148" s="13" t="s">
        <v>12</v>
      </c>
      <c r="D148" s="13" t="s">
        <v>13</v>
      </c>
      <c r="E148" s="13" t="s">
        <v>14</v>
      </c>
    </row>
    <row r="149" customFormat="false" ht="15" hidden="false" customHeight="false" outlineLevel="0" collapsed="false">
      <c r="A149" s="14" t="s">
        <v>387</v>
      </c>
      <c r="B149" s="15" t="s">
        <v>388</v>
      </c>
      <c r="C149" s="16" t="s">
        <v>384</v>
      </c>
      <c r="D149" s="41" t="n">
        <f aca="false">(Q_CO2/1000000/60)/(A_x/1000000)</f>
        <v>0.000332050951478244</v>
      </c>
      <c r="E149" s="25" t="s">
        <v>389</v>
      </c>
    </row>
    <row r="150" customFormat="false" ht="15" hidden="false" customHeight="false" outlineLevel="0" collapsed="false">
      <c r="A150" s="14" t="s">
        <v>390</v>
      </c>
      <c r="B150" s="15" t="s">
        <v>391</v>
      </c>
      <c r="C150" s="16" t="s">
        <v>17</v>
      </c>
      <c r="D150" s="41" t="n">
        <f aca="false">u_sg/u_rise</f>
        <v>0.00114606394837376</v>
      </c>
      <c r="E150" s="49" t="s">
        <v>392</v>
      </c>
    </row>
    <row r="151" customFormat="false" ht="15" hidden="false" customHeight="false" outlineLevel="0" collapsed="false">
      <c r="A151" s="14" t="s">
        <v>393</v>
      </c>
      <c r="B151" s="15" t="s">
        <v>394</v>
      </c>
      <c r="C151" s="16" t="s">
        <v>395</v>
      </c>
      <c r="D151" s="21" t="n">
        <f aca="false">6*holdup/d_bubble</f>
        <v>3.30958996521511</v>
      </c>
      <c r="E151" s="49" t="s">
        <v>396</v>
      </c>
    </row>
    <row r="152" customFormat="false" ht="15" hidden="false" customHeight="false" outlineLevel="0" collapsed="false">
      <c r="A152" s="14" t="s">
        <v>397</v>
      </c>
      <c r="B152" s="15" t="s">
        <v>398</v>
      </c>
      <c r="C152" s="16" t="s">
        <v>284</v>
      </c>
      <c r="D152" s="34" t="n">
        <f aca="false">d_bubble/u_rise</f>
        <v>0.00717117024113989</v>
      </c>
      <c r="E152" s="49" t="s">
        <v>399</v>
      </c>
    </row>
    <row r="153" customFormat="false" ht="15" hidden="false" customHeight="false" outlineLevel="0" collapsed="false">
      <c r="A153" s="14" t="s">
        <v>400</v>
      </c>
      <c r="B153" s="15" t="s">
        <v>401</v>
      </c>
      <c r="C153" s="16" t="s">
        <v>384</v>
      </c>
      <c r="D153" s="41" t="n">
        <f aca="false">2*SQRT(D_O2/(PI()*t_contact))</f>
        <v>0.000652778232240074</v>
      </c>
      <c r="E153" s="49" t="s">
        <v>402</v>
      </c>
    </row>
    <row r="154" customFormat="false" ht="15" hidden="false" customHeight="false" outlineLevel="0" collapsed="false">
      <c r="A154" s="29" t="s">
        <v>403</v>
      </c>
      <c r="B154" s="15" t="s">
        <v>404</v>
      </c>
      <c r="C154" s="16" t="s">
        <v>405</v>
      </c>
      <c r="D154" s="43" t="n">
        <f aca="false">kL*a_int</f>
        <v>0.0021604282869326</v>
      </c>
      <c r="E154" s="49" t="s">
        <v>406</v>
      </c>
    </row>
    <row r="155" customFormat="false" ht="15" hidden="false" customHeight="false" outlineLevel="0" collapsed="false">
      <c r="A155" s="14" t="s">
        <v>407</v>
      </c>
      <c r="B155" s="15" t="s">
        <v>408</v>
      </c>
      <c r="C155" s="16" t="s">
        <v>405</v>
      </c>
      <c r="D155" s="44" t="n">
        <f aca="false">kLa_sparge*duty</f>
        <v>3.60071381155434E-005</v>
      </c>
      <c r="E155" s="49" t="s">
        <v>409</v>
      </c>
    </row>
    <row r="156" customFormat="false" ht="15" hidden="false" customHeight="false" outlineLevel="0" collapsed="false">
      <c r="A156" s="14" t="s">
        <v>410</v>
      </c>
      <c r="B156" s="15" t="s">
        <v>411</v>
      </c>
      <c r="C156" s="16" t="s">
        <v>204</v>
      </c>
      <c r="D156" s="41" t="n">
        <f aca="false">kLa_sparge*(V_charge/1000000)*O2_ceil_C*3600</f>
        <v>4.24304322384869E-005</v>
      </c>
      <c r="E156" s="49" t="s">
        <v>412</v>
      </c>
    </row>
    <row r="157" customFormat="false" ht="15" hidden="false" customHeight="false" outlineLevel="0" collapsed="false">
      <c r="A157" s="29" t="s">
        <v>413</v>
      </c>
      <c r="B157" s="15" t="s">
        <v>414</v>
      </c>
      <c r="C157" s="16" t="s">
        <v>204</v>
      </c>
      <c r="D157" s="43" t="n">
        <f aca="false">strip_sparge*duty</f>
        <v>7.07173870641449E-007</v>
      </c>
      <c r="E157" s="49" t="s">
        <v>409</v>
      </c>
    </row>
    <row r="158" customFormat="false" ht="15" hidden="false" customHeight="false" outlineLevel="0" collapsed="false">
      <c r="A158" s="29" t="s">
        <v>415</v>
      </c>
      <c r="B158" s="15" t="s">
        <v>416</v>
      </c>
      <c r="C158" s="16" t="s">
        <v>320</v>
      </c>
      <c r="D158" s="50" t="n">
        <f aca="false">IF(O2_excess&gt;0,strip_avg/O2_excess,NA())</f>
        <v>0.0399718252931612</v>
      </c>
      <c r="E158" s="49" t="s">
        <v>417</v>
      </c>
    </row>
    <row r="159" customFormat="false" ht="15" hidden="false" customHeight="false" outlineLevel="0" collapsed="false">
      <c r="A159" s="14" t="s">
        <v>418</v>
      </c>
      <c r="B159" s="15" t="s">
        <v>419</v>
      </c>
      <c r="C159" s="16" t="s">
        <v>405</v>
      </c>
      <c r="D159" s="41" t="n">
        <f aca="false">IF(O2_excess&gt;0,O2_excess/3600/((V_charge/1000000)*O2_ceil_C),NA())</f>
        <v>0.000900812956412674</v>
      </c>
      <c r="E159" s="49" t="s">
        <v>420</v>
      </c>
    </row>
    <row r="161" customFormat="false" ht="15" hidden="false" customHeight="false" outlineLevel="0" collapsed="false">
      <c r="A161" s="11" t="s">
        <v>421</v>
      </c>
      <c r="B161" s="12"/>
      <c r="C161" s="12"/>
      <c r="D161" s="12"/>
      <c r="E161" s="12"/>
    </row>
    <row r="162" customFormat="false" ht="15" hidden="false" customHeight="false" outlineLevel="0" collapsed="false">
      <c r="A162" s="13" t="s">
        <v>10</v>
      </c>
      <c r="B162" s="13" t="s">
        <v>11</v>
      </c>
      <c r="C162" s="13" t="s">
        <v>12</v>
      </c>
      <c r="D162" s="13" t="s">
        <v>13</v>
      </c>
      <c r="E162" s="13" t="s">
        <v>14</v>
      </c>
    </row>
    <row r="163" customFormat="false" ht="19.4" hidden="false" customHeight="false" outlineLevel="0" collapsed="false">
      <c r="A163" s="14" t="s">
        <v>422</v>
      </c>
      <c r="B163" s="15" t="s">
        <v>423</v>
      </c>
      <c r="C163" s="16" t="s">
        <v>384</v>
      </c>
      <c r="D163" s="31" t="n">
        <v>0.05</v>
      </c>
      <c r="E163" s="49" t="s">
        <v>424</v>
      </c>
    </row>
    <row r="164" customFormat="false" ht="15" hidden="false" customHeight="false" outlineLevel="0" collapsed="false">
      <c r="A164" s="29" t="s">
        <v>425</v>
      </c>
      <c r="B164" s="15" t="s">
        <v>426</v>
      </c>
      <c r="C164" s="16" t="s">
        <v>17</v>
      </c>
      <c r="D164" s="51" t="str">
        <f aca="false">IF(u_sg&gt;u_g_max,"RISK - reduce flow","OK")</f>
        <v>OK</v>
      </c>
      <c r="E164" s="49" t="s">
        <v>427</v>
      </c>
    </row>
    <row r="166" customFormat="false" ht="15" hidden="false" customHeight="false" outlineLevel="0" collapsed="false">
      <c r="A166" s="11" t="s">
        <v>428</v>
      </c>
      <c r="B166" s="12"/>
      <c r="C166" s="12"/>
      <c r="D166" s="12"/>
      <c r="E166" s="12"/>
    </row>
    <row r="167" customFormat="false" ht="15" hidden="false" customHeight="false" outlineLevel="0" collapsed="false">
      <c r="A167" s="13" t="s">
        <v>10</v>
      </c>
      <c r="B167" s="13" t="s">
        <v>11</v>
      </c>
      <c r="C167" s="13" t="s">
        <v>12</v>
      </c>
      <c r="D167" s="13" t="s">
        <v>13</v>
      </c>
      <c r="E167" s="13" t="s">
        <v>14</v>
      </c>
    </row>
    <row r="168" customFormat="false" ht="15" hidden="false" customHeight="false" outlineLevel="0" collapsed="false">
      <c r="A168" s="14" t="s">
        <v>429</v>
      </c>
      <c r="B168" s="15" t="s">
        <v>430</v>
      </c>
      <c r="C168" s="16" t="s">
        <v>306</v>
      </c>
      <c r="D168" s="44" t="n">
        <f aca="false">O2_excess/60*spg_int</f>
        <v>2.94863471730774E-007</v>
      </c>
      <c r="E168" s="25" t="s">
        <v>431</v>
      </c>
    </row>
    <row r="169" customFormat="false" ht="15" hidden="false" customHeight="false" outlineLevel="0" collapsed="false">
      <c r="A169" s="14" t="s">
        <v>432</v>
      </c>
      <c r="B169" s="15" t="s">
        <v>433</v>
      </c>
      <c r="C169" s="16" t="s">
        <v>306</v>
      </c>
      <c r="D169" s="44" t="n">
        <f aca="false">strip_sparge/3600*spg_dur</f>
        <v>1.17862311773575E-008</v>
      </c>
      <c r="E169" s="49" t="s">
        <v>434</v>
      </c>
    </row>
    <row r="170" customFormat="false" ht="15" hidden="false" customHeight="false" outlineLevel="0" collapsed="false">
      <c r="A170" s="29" t="s">
        <v>435</v>
      </c>
      <c r="B170" s="15" t="s">
        <v>436</v>
      </c>
      <c r="C170" s="16" t="s">
        <v>320</v>
      </c>
      <c r="D170" s="50" t="n">
        <f aca="false">IF(O2_accum&gt;0,O2_strip_pulse/O2_accum,NA())</f>
        <v>0.0399718252931612</v>
      </c>
      <c r="E170" s="49" t="s">
        <v>437</v>
      </c>
    </row>
    <row r="171" customFormat="false" ht="15" hidden="false" customHeight="false" outlineLevel="0" collapsed="false">
      <c r="A171" s="29" t="s">
        <v>438</v>
      </c>
      <c r="B171" s="15" t="s">
        <v>439</v>
      </c>
      <c r="C171" s="16" t="s">
        <v>17</v>
      </c>
      <c r="D171" s="51" t="str">
        <f aca="false">IF(spg_dur&gt;=pulse_floor,"OK","BELOW SOLENOID FLOOR")</f>
        <v>OK</v>
      </c>
      <c r="E171" s="18" t="s">
        <v>440</v>
      </c>
    </row>
    <row r="172" customFormat="false" ht="15" hidden="false" customHeight="false" outlineLevel="0" collapsed="false">
      <c r="A172" s="29" t="s">
        <v>441</v>
      </c>
      <c r="B172" s="15" t="s">
        <v>442</v>
      </c>
      <c r="C172" s="16" t="s">
        <v>17</v>
      </c>
      <c r="D172" s="51" t="str">
        <f aca="false">IF(dur_ok="BELOW SOLENOID FLOOR","Increase duration",IF(carry_flag&lt;&gt;"OK","Reduce flow (carryover)",IF(AND(ISNUMBER(strip_ratio),strip_ratio&gt;=1),"Stripping sufficient - prefer shorter interval for smoother DO","Stripping alone insufficient - rely on bubble knock-off / raise flow or duty / accept higher DO")))</f>
        <v>Stripping alone insufficient - rely on bubble knock-off / raise flow or duty / accept higher DO</v>
      </c>
      <c r="E172" s="49" t="s">
        <v>443</v>
      </c>
    </row>
  </sheetData>
  <mergeCells count="1">
    <mergeCell ref="A2:E2"/>
  </mergeCells>
  <dataValidations count="3">
    <dataValidation allowBlank="false" errorStyle="stop" operator="between" showDropDown="false" showErrorMessage="false" showInputMessage="false" sqref="D14" type="list">
      <formula1>Model!$D$17:$D$18</formula1>
      <formula2>0</formula2>
    </dataValidation>
    <dataValidation allowBlank="false" errorStyle="stop" operator="between" showDropDown="false" showErrorMessage="false" showInputMessage="false" sqref="D15" type="list">
      <formula1>Model!$D$19:$D$20</formula1>
      <formula2>0</formula2>
    </dataValidation>
    <dataValidation allowBlank="false" errorStyle="stop" operator="between" showDropDown="false" showErrorMessage="false" showInputMessage="false" sqref="D16" type="list">
      <formula1>"0,1,2,3,4,5"</formula1>
      <formula2>0</formula2>
    </dataValidation>
  </dataValidations>
  <hyperlinks>
    <hyperlink ref="E16" r:id="rId1" display="ISO 4793 / DURAN class; 0 = coarsest. Dropdown."/>
    <hyperlink ref="E24" r:id="rId2" display="Pioreactor 20 mL vial, measured OD."/>
    <hyperlink ref="E25" r:id="rId3" display="40 mL vial OD - placeholder, measure."/>
    <hyperlink ref="E26" r:id="rId4" display="20 mL vial total height 57.4 mm; usable depth est. Measure."/>
    <hyperlink ref="E27" r:id="rId5" display="40 mL vial - placeholder, measure."/>
    <hyperlink ref="E28" r:id="rId6" display="Pioreactor docs: 8-16 mL for 20 mL vial; using max as level datum."/>
    <hyperlink ref="E29" r:id="rId7" display="Pioreactor: 40 mL vial max 25 mL."/>
    <hyperlink ref="E30" r:id="rId8" display="To cap underside (&gt; nominal). Placeholder - measure (water to fill)."/>
    <hyperlink ref="E31" r:id="rId9" display="Placeholder - measure."/>
    <hyperlink ref="E71" r:id="rId10" display="Empirical linear fit of current vs LED intensity (constant-current: independent of electrolyte, volume, electrode coverage)."/>
    <hyperlink ref="E72" r:id="rId11" display="Intercept of the same fit."/>
    <hyperlink ref="E73" r:id="rId12" display="Fit validated from 3%."/>
    <hyperlink ref="E74" r:id="rId13" display="Fit validated to 25%; above this constant-current may fail as cell V nears the 5 V rail."/>
    <hyperlink ref="E75" r:id="rId14" display="NIST CODATA (exact, SI 2019)."/>
    <hyperlink ref="E78" r:id="rId15" display="Clean water electrolysis FE approaches 100% (Nat. Commun. 2022). But in this neutral-pH cell, cathodic O₂ reduction competes with H₂ evolution, so true H₂ FE is likely &lt;1 and UNMEASURED. 1.0 = optimistic upper bound; measure by gas collection."/>
    <hyperlink ref="E79" r:id="rId16" display="I(mA) = slope x intensity + intercept; /1000 -&gt; A."/>
    <hyperlink ref="E80" r:id="rId17" display="Linear fit only validated over the stated range."/>
    <hyperlink ref="E86" r:id="rId18" display="H₂:O₂:CO₂ consumption ratio (starting 6:2:1). NB literature recommends a 7:2:1 FEED mix - feed is not consumption."/>
    <hyperlink ref="E87" r:id="rId19" display="As above."/>
    <hyperlink ref="E88" r:id="rId20" display="As above."/>
    <hyperlink ref="E100" r:id="rId21" display="Sander (2023) compilation (supersedes 2015), value from Burkholder et al. 2019."/>
    <hyperlink ref="E101" r:id="rId22" display="Sander (2023): d ln(Hcp)/d(1/T)."/>
    <hyperlink ref="E104" r:id="rId23" display="Whole-cell growth inhibited above ~0.30 atm O₂ - NOT a hydrogenase limit (the [NiFe] enzyme is O₂-tolerant)."/>
    <hyperlink ref="E105" r:id="rId24" display="C. necator membrane-bound [NiFe]-hydrogenase tolerates O₂, so the enzyme is not the binding constraint."/>
    <hyperlink ref="E116" r:id="rId25" display="NIST CODATA (exact, SI 2019)."/>
    <hyperlink ref="E117" r:id="rId26" display="NIST WebBook."/>
    <hyperlink ref="E128" r:id="rId27" display="IAPWS R1-76(2014) formulation, evaluated at 30 °C."/>
    <hyperlink ref="E129" r:id="rId28" display="IAPWS-95, evaluated at 30 °C."/>
    <hyperlink ref="E130" r:id="rId29" display="Standard gravity (defined)."/>
    <hyperlink ref="E132" r:id="rId30" display="DURAN P0 160-250 µm, midpoint. ISO 4793 (paywalled) underlies; DURAN table is free."/>
    <hyperlink ref="E133" r:id="rId31" display="DURAN P1 100-160 µm, midpoint."/>
    <hyperlink ref="E134" r:id="rId32" display="DURAN P2 40-100 µm, midpoint."/>
    <hyperlink ref="E135" r:id="rId33" display="DURAN P3 16-40 µm, midpoint."/>
    <hyperlink ref="E136" r:id="rId34" display="DURAN P4 10-16 µm, midpoint."/>
    <hyperlink ref="E137" r:id="rId35" display="DURAN P5 1.0-1.6 µm, midpoint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2026-06-05T08:40:06Z</dcterms:created>
  <dc:creator>openpyxl</dc:creator>
  <dc:description/>
  <dc:language>en-US</dc:language>
  <cp:lastModifiedBy/>
  <dcterms:modified xsi:type="dcterms:W3CDTF">2026-06-05T08:40:06Z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