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tincurrie/andeye Dropbox/Amybo_org/Clients/CARMA Hub/"/>
    </mc:Choice>
  </mc:AlternateContent>
  <xr:revisionPtr revIDLastSave="0" documentId="8_{1A3C2156-0105-3C4E-8C8D-59CDEA5A5D48}" xr6:coauthVersionLast="47" xr6:coauthVersionMax="47" xr10:uidLastSave="{00000000-0000-0000-0000-000000000000}"/>
  <bookViews>
    <workbookView xWindow="380" yWindow="580" windowWidth="28040" windowHeight="17000" xr2:uid="{7F9CC2C1-C6B7-214E-A2DD-CE3909BC3572}"/>
  </bookViews>
  <sheets>
    <sheet name="Inputs" sheetId="1" r:id="rId1"/>
    <sheet name="CO2 dosing" sheetId="2" r:id="rId2"/>
    <sheet name="O2 balance" sheetId="3" r:id="rId3"/>
    <sheet name="Sensitivity" sheetId="4" r:id="rId4"/>
    <sheet name="Na2CO3 electrolyte" sheetId="5" r:id="rId5"/>
    <sheet name="Assumptions &amp; sources" sheetId="6" r:id="rId6"/>
  </sheets>
  <definedNames>
    <definedName name="A_elec">Inputs!$D$15</definedName>
    <definedName name="A_elec_m2">Inputs!$D$16</definedName>
    <definedName name="C_frac">Inputs!$D$31</definedName>
    <definedName name="CO2_ratio">'CO2 dosing'!$D$24</definedName>
    <definedName name="CO2_sat">'CO2 dosing'!$D$9</definedName>
    <definedName name="CO2_supply">'CO2 dosing'!$D$23</definedName>
    <definedName name="DO_inhib">Inputs!$D$33</definedName>
    <definedName name="duty_cycle">'CO2 dosing'!$D$35</definedName>
    <definedName name="eta_F">Inputs!$D$38</definedName>
    <definedName name="F_const">Inputs!$D$41</definedName>
    <definedName name="H_CO2_ref">Inputs!$D$43</definedName>
    <definedName name="H_CO2_T">Inputs!$D$44</definedName>
    <definedName name="H_O2_ref">Inputs!$D$45</definedName>
    <definedName name="H_O2_T">Inputs!$D$46</definedName>
    <definedName name="I_app">Inputs!$D$37</definedName>
    <definedName name="j">Inputs!$D$36</definedName>
    <definedName name="M_CO2">Inputs!$D$48</definedName>
    <definedName name="M_O2">Inputs!$D$49</definedName>
    <definedName name="mu">Inputs!$D$27</definedName>
    <definedName name="OD_target">Inputs!$D$28</definedName>
    <definedName name="p_CO2">Inputs!$D$20</definedName>
    <definedName name="p_H2">Inputs!$D$22</definedName>
    <definedName name="p_O2">Inputs!$D$21</definedName>
    <definedName name="P_tot">Inputs!$D$19</definedName>
    <definedName name="pulse_freq">'CO2 dosing'!$D$32</definedName>
    <definedName name="Q_gas">Inputs!$D$23</definedName>
    <definedName name="Q_gas_Ls">Inputs!$D$24</definedName>
    <definedName name="R_gas">Inputs!$D$42</definedName>
    <definedName name="rCO2_min">'CO2 dosing'!$D$18</definedName>
    <definedName name="rO2_cons">'O2 balance'!$D$14</definedName>
    <definedName name="rO2_gen">'O2 balance'!$D$8</definedName>
    <definedName name="rO2_net">'O2 balance'!$D$17</definedName>
    <definedName name="strip_cap">'O2 balance'!$D$29</definedName>
    <definedName name="strip_ratio">'O2 balance'!$D$30</definedName>
    <definedName name="strip_req">'O2 balance'!$D$22</definedName>
    <definedName name="T_C">Inputs!$D$13</definedName>
    <definedName name="t_drawdown">'CO2 dosing'!$D$31</definedName>
    <definedName name="T_K">Inputs!$D$14</definedName>
    <definedName name="T_ref">Inputs!$D$47</definedName>
    <definedName name="t_sparge">'CO2 dosing'!$D$34</definedName>
    <definedName name="t_to_inhib">'O2 balance'!$D$21</definedName>
    <definedName name="V_head">Inputs!$D$12</definedName>
    <definedName name="V_optA">Inputs!$D$7</definedName>
    <definedName name="V_optB">Inputs!$D$8</definedName>
    <definedName name="V_sel">Inputs!$D$9</definedName>
    <definedName name="V_work">Inputs!$D$10</definedName>
    <definedName name="V_work_L">Inputs!$D$11</definedName>
    <definedName name="X_conc">Inputs!$D$30</definedName>
    <definedName name="X_per_OD">Inputs!$D$29</definedName>
    <definedName name="Y_O2">Inputs!$D$32</definedName>
    <definedName name="z_H2">Inputs!$D$50</definedName>
    <definedName name="z_O2">Inputs!$D$51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1" i="5" l="1"/>
  <c r="F9" i="5"/>
  <c r="E9" i="5"/>
  <c r="F8" i="5"/>
  <c r="E8" i="5"/>
  <c r="F7" i="5"/>
  <c r="E7" i="5"/>
  <c r="F6" i="5"/>
  <c r="E6" i="5"/>
  <c r="F5" i="5"/>
  <c r="F12" i="5" s="1"/>
  <c r="E5" i="5"/>
  <c r="E12" i="5" s="1"/>
  <c r="E14" i="5" s="1"/>
  <c r="A25" i="4"/>
  <c r="A24" i="4"/>
  <c r="A23" i="4"/>
  <c r="A22" i="4"/>
  <c r="A21" i="4"/>
  <c r="A20" i="4"/>
  <c r="A19" i="4"/>
  <c r="H18" i="4"/>
  <c r="G18" i="4"/>
  <c r="F18" i="4"/>
  <c r="E18" i="4"/>
  <c r="D18" i="4"/>
  <c r="C18" i="4"/>
  <c r="B18" i="4"/>
  <c r="A13" i="4"/>
  <c r="A12" i="4"/>
  <c r="A11" i="4"/>
  <c r="A10" i="4"/>
  <c r="A9" i="4"/>
  <c r="A8" i="4"/>
  <c r="A7" i="4"/>
  <c r="H6" i="4"/>
  <c r="G6" i="4"/>
  <c r="F6" i="4"/>
  <c r="E6" i="4"/>
  <c r="D6" i="4"/>
  <c r="C6" i="4"/>
  <c r="B6" i="4"/>
  <c r="D28" i="3"/>
  <c r="D26" i="3"/>
  <c r="D19" i="3"/>
  <c r="D10" i="3"/>
  <c r="D7" i="3"/>
  <c r="D22" i="2"/>
  <c r="D8" i="2"/>
  <c r="D7" i="2"/>
  <c r="D9" i="2" s="1"/>
  <c r="D37" i="1"/>
  <c r="D8" i="3" s="1"/>
  <c r="D30" i="1"/>
  <c r="D24" i="1"/>
  <c r="D16" i="1"/>
  <c r="D14" i="1"/>
  <c r="D25" i="3" s="1"/>
  <c r="D27" i="3" s="1"/>
  <c r="D29" i="3" s="1"/>
  <c r="D10" i="1"/>
  <c r="D11" i="1" s="1"/>
  <c r="D9" i="3" l="1"/>
  <c r="G7" i="4"/>
  <c r="B21" i="4"/>
  <c r="D10" i="2"/>
  <c r="D30" i="2"/>
  <c r="H8" i="4"/>
  <c r="C22" i="4"/>
  <c r="D23" i="4"/>
  <c r="E24" i="4"/>
  <c r="D12" i="4"/>
  <c r="H22" i="4"/>
  <c r="H9" i="4"/>
  <c r="F25" i="4"/>
  <c r="F9" i="4"/>
  <c r="G12" i="4"/>
  <c r="E13" i="4"/>
  <c r="H19" i="4"/>
  <c r="D20" i="3"/>
  <c r="G10" i="4"/>
  <c r="H25" i="4"/>
  <c r="B10" i="4"/>
  <c r="C11" i="4"/>
  <c r="D13" i="2"/>
  <c r="D14" i="2" s="1"/>
  <c r="D15" i="2" s="1"/>
  <c r="D16" i="2" s="1"/>
  <c r="H11" i="4"/>
  <c r="B24" i="4"/>
  <c r="F20" i="4"/>
  <c r="A17" i="5"/>
  <c r="E36" i="6" s="1"/>
  <c r="H7" i="4"/>
  <c r="B9" i="4"/>
  <c r="C10" i="4"/>
  <c r="D11" i="4"/>
  <c r="E12" i="4"/>
  <c r="F13" i="4"/>
  <c r="B20" i="4"/>
  <c r="C21" i="4"/>
  <c r="D22" i="4"/>
  <c r="E23" i="4"/>
  <c r="F24" i="4"/>
  <c r="G25" i="4"/>
  <c r="C7" i="4"/>
  <c r="D8" i="4"/>
  <c r="E9" i="4"/>
  <c r="F10" i="4"/>
  <c r="G11" i="4"/>
  <c r="H12" i="4"/>
  <c r="D19" i="4"/>
  <c r="E20" i="4"/>
  <c r="F21" i="4"/>
  <c r="G22" i="4"/>
  <c r="H23" i="4"/>
  <c r="B25" i="4"/>
  <c r="C9" i="4"/>
  <c r="E11" i="4"/>
  <c r="B19" i="4"/>
  <c r="D21" i="4"/>
  <c r="E22" i="4"/>
  <c r="G24" i="4"/>
  <c r="B7" i="4"/>
  <c r="C8" i="4"/>
  <c r="D9" i="4"/>
  <c r="E10" i="4"/>
  <c r="F11" i="4"/>
  <c r="H13" i="4"/>
  <c r="C19" i="4"/>
  <c r="D20" i="4"/>
  <c r="E21" i="4"/>
  <c r="G23" i="4"/>
  <c r="H24" i="4"/>
  <c r="D21" i="2"/>
  <c r="D23" i="2" s="1"/>
  <c r="D13" i="3"/>
  <c r="D14" i="3" s="1"/>
  <c r="D17" i="3" s="1"/>
  <c r="E7" i="4"/>
  <c r="F8" i="4"/>
  <c r="G9" i="4"/>
  <c r="H10" i="4"/>
  <c r="B12" i="4"/>
  <c r="C13" i="4"/>
  <c r="F19" i="4"/>
  <c r="G20" i="4"/>
  <c r="H21" i="4"/>
  <c r="B23" i="4"/>
  <c r="C24" i="4"/>
  <c r="D25" i="4"/>
  <c r="D7" i="4"/>
  <c r="E8" i="4"/>
  <c r="F7" i="4"/>
  <c r="G8" i="4"/>
  <c r="B11" i="4"/>
  <c r="C12" i="4"/>
  <c r="D13" i="4"/>
  <c r="G19" i="4"/>
  <c r="H20" i="4"/>
  <c r="B22" i="4"/>
  <c r="C23" i="4"/>
  <c r="D24" i="4"/>
  <c r="E25" i="4"/>
  <c r="B8" i="4"/>
  <c r="D10" i="4"/>
  <c r="F12" i="4"/>
  <c r="G13" i="4"/>
  <c r="C20" i="4"/>
  <c r="F23" i="4"/>
  <c r="F22" i="4"/>
  <c r="B13" i="4"/>
  <c r="E19" i="4"/>
  <c r="G21" i="4"/>
  <c r="C25" i="4"/>
  <c r="D22" i="3" l="1"/>
  <c r="D21" i="3"/>
  <c r="D34" i="6" s="1"/>
  <c r="D18" i="3"/>
  <c r="D18" i="2"/>
  <c r="D17" i="2"/>
  <c r="D24" i="2"/>
  <c r="D33" i="2"/>
  <c r="D34" i="2" s="1"/>
  <c r="D31" i="2"/>
  <c r="D32" i="2" s="1"/>
  <c r="D25" i="2" l="1"/>
  <c r="E32" i="6" s="1"/>
  <c r="D32" i="6"/>
  <c r="D35" i="2"/>
  <c r="D36" i="2" s="1"/>
  <c r="E33" i="6" s="1"/>
  <c r="D30" i="3"/>
  <c r="D35" i="6" s="1"/>
  <c r="D31" i="3"/>
  <c r="E35" i="6" s="1"/>
</calcChain>
</file>

<file path=xl/sharedStrings.xml><?xml version="1.0" encoding="utf-8"?>
<sst xmlns="http://schemas.openxmlformats.org/spreadsheetml/2006/main" count="502" uniqueCount="418">
  <si>
    <t>electroPioreactor Model — Inputs</t>
  </si>
  <si>
    <t>AMYBO aseptic electro-bioreactor — hydrogen-oxidising bacteria (C. necator) grown autotrophically on CO2 with electrolytic H2/O2. UK English, SI/metric. All output tabs trace to this sheet.</t>
  </si>
  <si>
    <t>Parameter</t>
  </si>
  <si>
    <t>Name</t>
  </si>
  <si>
    <t>Unit</t>
  </si>
  <si>
    <t>Value</t>
  </si>
  <si>
    <t>Source / Assumption</t>
  </si>
  <si>
    <t>REACTOR</t>
  </si>
  <si>
    <t>Working volume — option A</t>
  </si>
  <si>
    <t>V_optA</t>
  </si>
  <si>
    <t>mL</t>
  </si>
  <si>
    <t>Design option (small cell)</t>
  </si>
  <si>
    <t>Working volume — option B</t>
  </si>
  <si>
    <t>V_optB</t>
  </si>
  <si>
    <t>Design option (larger cell)</t>
  </si>
  <si>
    <t>Active volume selector (A or B)</t>
  </si>
  <si>
    <t>V_sel</t>
  </si>
  <si>
    <t>A/B</t>
  </si>
  <si>
    <t>A</t>
  </si>
  <si>
    <t>Choose which working volume the model uses</t>
  </si>
  <si>
    <t>Working volume (active)</t>
  </si>
  <si>
    <t>V_work</t>
  </si>
  <si>
    <t>Computed from selector</t>
  </si>
  <si>
    <t>V_work_L</t>
  </si>
  <si>
    <t>L</t>
  </si>
  <si>
    <t>Unit conversion</t>
  </si>
  <si>
    <t>Headspace volume</t>
  </si>
  <si>
    <t>V_head</t>
  </si>
  <si>
    <t>Assumed headspace above liquid</t>
  </si>
  <si>
    <t>Temperature</t>
  </si>
  <si>
    <t>T_C</t>
  </si>
  <si>
    <t>°C</t>
  </si>
  <si>
    <t>C. necator optimum ~30°C (assumption)</t>
  </si>
  <si>
    <t>Temperature (absolute)</t>
  </si>
  <si>
    <t>T_K</t>
  </si>
  <si>
    <t>K</t>
  </si>
  <si>
    <t>= °C + 273.15</t>
  </si>
  <si>
    <t>Electrode area (each electrode)</t>
  </si>
  <si>
    <t>A_elec</t>
  </si>
  <si>
    <t>cm²</t>
  </si>
  <si>
    <t>Assumed electrode geometric area</t>
  </si>
  <si>
    <t>A_elec_m2</t>
  </si>
  <si>
    <t>m²</t>
  </si>
  <si>
    <t>GAS</t>
  </si>
  <si>
    <t>Total system pressure</t>
  </si>
  <si>
    <t>P_tot</t>
  </si>
  <si>
    <t>kPa</t>
  </si>
  <si>
    <t>Atmospheric (standard)</t>
  </si>
  <si>
    <t>CO2 partial pressure (sparge gas)</t>
  </si>
  <si>
    <t>p_CO2</t>
  </si>
  <si>
    <t>Assumed CO2 fraction in feed gas</t>
  </si>
  <si>
    <t>O2 partial pressure (sparge gas)</t>
  </si>
  <si>
    <t>p_O2</t>
  </si>
  <si>
    <t>Assumed O2 in feed (kept low for hydrogenase)</t>
  </si>
  <si>
    <t>H2 partial pressure (sparge gas)</t>
  </si>
  <si>
    <t>p_H2</t>
  </si>
  <si>
    <t>Assumed H2 fraction in feed gas</t>
  </si>
  <si>
    <t>Target sparge gas flow rate</t>
  </si>
  <si>
    <t>Q_gas</t>
  </si>
  <si>
    <t>mL/min</t>
  </si>
  <si>
    <t>Target volumetric gas feed</t>
  </si>
  <si>
    <t>Q_gas_Ls</t>
  </si>
  <si>
    <t>L/s</t>
  </si>
  <si>
    <t>BIOLOGY</t>
  </si>
  <si>
    <t>Target specific growth rate</t>
  </si>
  <si>
    <t>mu</t>
  </si>
  <si>
    <t>1/h</t>
  </si>
  <si>
    <t>C. necator autotrophic µmax ~0.2–0.4 /h — LITERATURE PLACEHOLDER, verify</t>
  </si>
  <si>
    <t>Target optical density</t>
  </si>
  <si>
    <t>OD_target</t>
  </si>
  <si>
    <t>OD600</t>
  </si>
  <si>
    <t>Target cell density — PLACEHOLDER, verify</t>
  </si>
  <si>
    <t>Biomass per OD unit</t>
  </si>
  <si>
    <t>X_per_OD</t>
  </si>
  <si>
    <t>g DCW/L per OD</t>
  </si>
  <si>
    <t>Typical ~0.3–0.5 gDCW/L/OD — PLACEHOLDER, verify</t>
  </si>
  <si>
    <t>Biomass concentration (target)</t>
  </si>
  <si>
    <t>X_conc</t>
  </si>
  <si>
    <t>g DCW/L</t>
  </si>
  <si>
    <t>= OD_target × X_per_OD</t>
  </si>
  <si>
    <t>Biomass C content (CO2 demand basis)</t>
  </si>
  <si>
    <t>C_frac</t>
  </si>
  <si>
    <t>g C / g DCW</t>
  </si>
  <si>
    <t>Typical microbial ~0.48 — PLACEHOLDER, verify</t>
  </si>
  <si>
    <t>O2 yield per biomass (resp. demand)</t>
  </si>
  <si>
    <t>Y_O2</t>
  </si>
  <si>
    <t>mol O2 / g DCW</t>
  </si>
  <si>
    <t>Knallgas O2 demand ~0.03–0.05 mol/gDCW — PLACEHOLDER, verify</t>
  </si>
  <si>
    <t>Hydrogenase O2-inhibition threshold (dissolved)</t>
  </si>
  <si>
    <t>DO_inhib</t>
  </si>
  <si>
    <t>µM</t>
  </si>
  <si>
    <t>[NiFe] hydrogenase O2-sensitivity — LITERATURE PLACEHOLDER, verify</t>
  </si>
  <si>
    <t>ELECTROLYSIS</t>
  </si>
  <si>
    <t>Applied current density</t>
  </si>
  <si>
    <t>j</t>
  </si>
  <si>
    <t>A/m²</t>
  </si>
  <si>
    <t>Applied electrolysis current density — ASSUMPTION, verify</t>
  </si>
  <si>
    <t>Applied current</t>
  </si>
  <si>
    <t>I_app</t>
  </si>
  <si>
    <t>= j × electrode area (m²)</t>
  </si>
  <si>
    <t>Faradaic efficiency (gas evolution)</t>
  </si>
  <si>
    <t>eta_F</t>
  </si>
  <si>
    <t>fraction</t>
  </si>
  <si>
    <t>Assumed current-to-gas efficiency</t>
  </si>
  <si>
    <t>CONSTANTS (handbook)</t>
  </si>
  <si>
    <t>Faraday constant</t>
  </si>
  <si>
    <t>F_const</t>
  </si>
  <si>
    <t>C/mol</t>
  </si>
  <si>
    <t>CODATA 2018 (handbook)</t>
  </si>
  <si>
    <t>Ideal gas constant</t>
  </si>
  <si>
    <t>R_gas</t>
  </si>
  <si>
    <t>J/mol/K</t>
  </si>
  <si>
    <t>CODATA (handbook)</t>
  </si>
  <si>
    <t>Henry's law solubility const, CO2 (Hcp, 298.15K)</t>
  </si>
  <si>
    <t>H_CO2_ref</t>
  </si>
  <si>
    <t>mol/m³/Pa</t>
  </si>
  <si>
    <t>Sander (2015) compilation, Hcp≈3.3e-4 mol/m³/Pa</t>
  </si>
  <si>
    <t>Henry temp. dependence, CO2 (−ΔsolH/R)</t>
  </si>
  <si>
    <t>H_CO2_T</t>
  </si>
  <si>
    <t>Sander (2015), van 't Hoff coefficient for CO2</t>
  </si>
  <si>
    <t>Henry's law solubility const, O2 (Hcp, 298.15K)</t>
  </si>
  <si>
    <t>H_O2_ref</t>
  </si>
  <si>
    <t>Sander (2015) compilation, Hcp≈1.3e-5 mol/m³/Pa</t>
  </si>
  <si>
    <t>Henry temp. dependence, O2 (−ΔsolH/R)</t>
  </si>
  <si>
    <t>H_O2_T</t>
  </si>
  <si>
    <t>Sander (2015), van 't Hoff coefficient for O2</t>
  </si>
  <si>
    <t>Reference temperature</t>
  </si>
  <si>
    <t>T_ref</t>
  </si>
  <si>
    <t>Standard reference for Henry constants</t>
  </si>
  <si>
    <t>Molar mass CO2</t>
  </si>
  <si>
    <t>M_CO2</t>
  </si>
  <si>
    <t>g/mol</t>
  </si>
  <si>
    <t>Handbook</t>
  </si>
  <si>
    <t>Molar mass O2</t>
  </si>
  <si>
    <t>M_O2</t>
  </si>
  <si>
    <t>Electrons per H2 (cathode)</t>
  </si>
  <si>
    <t>z_H2</t>
  </si>
  <si>
    <t>e−/molecule</t>
  </si>
  <si>
    <t>2H⁺+2e−→H2 (stoichiometry)</t>
  </si>
  <si>
    <t>Electrons per O2 (anode)</t>
  </si>
  <si>
    <t>z_O2</t>
  </si>
  <si>
    <t>2H2O→O2+4H⁺+4e− (stoichiometry)</t>
  </si>
  <si>
    <t>CO2 Dosing — Henry's law solubility, carbon demand, pulsed sparge regime</t>
  </si>
  <si>
    <t>All values trace to Inputs. Black = formula. Goal: keep dissolved CO2 non-limiting at target growth rate.</t>
  </si>
  <si>
    <t>Step</t>
  </si>
  <si>
    <t>Quantity</t>
  </si>
  <si>
    <t>Formula / working</t>
  </si>
  <si>
    <t>1. CO2 SOLUBILITY (Henry's law)</t>
  </si>
  <si>
    <t>Henry const. CO2 at reactor T (van 't Hoff corrected)</t>
  </si>
  <si>
    <t>Hcp(T)=Hcp_ref×exp[Δ(1/T−1/Tref)]</t>
  </si>
  <si>
    <t>CO2 partial pressure</t>
  </si>
  <si>
    <t>p_CO2_Pa</t>
  </si>
  <si>
    <t>Pa</t>
  </si>
  <si>
    <t>= p_CO2 (kPa) × 1000</t>
  </si>
  <si>
    <t>Saturated dissolved CO2 (equilibrium with feed)</t>
  </si>
  <si>
    <t>CO2_sat</t>
  </si>
  <si>
    <t>mol/m³</t>
  </si>
  <si>
    <t>= H_CO2(T) × p_CO2  (Henry's law)</t>
  </si>
  <si>
    <t>Saturated dissolved CO2</t>
  </si>
  <si>
    <t>CO2_sat_mM</t>
  </si>
  <si>
    <t>mmol/L</t>
  </si>
  <si>
    <t>mol/m³ = mmol/L (identical)</t>
  </si>
  <si>
    <t>2. CARBON DEMAND (from growth)</t>
  </si>
  <si>
    <t>Biomass in reactor (active volume)</t>
  </si>
  <si>
    <t>X_mass</t>
  </si>
  <si>
    <t>g DCW</t>
  </si>
  <si>
    <t>= X_conc × V_work_L</t>
  </si>
  <si>
    <t>Biomass production rate at µ (rX = µ·X)</t>
  </si>
  <si>
    <t>rX</t>
  </si>
  <si>
    <t>g DCW/h</t>
  </si>
  <si>
    <t>= µ × biomass mass</t>
  </si>
  <si>
    <t>Carbon assimilation rate</t>
  </si>
  <si>
    <t>rC</t>
  </si>
  <si>
    <t>g C/h</t>
  </si>
  <si>
    <t>= rX × C_frac</t>
  </si>
  <si>
    <t>CO2 molar demand rate</t>
  </si>
  <si>
    <t>rCO2_mol</t>
  </si>
  <si>
    <t>mol CO2/h</t>
  </si>
  <si>
    <t>= rC / atomic mass C (12.011); 1 mol C per mol CO2</t>
  </si>
  <si>
    <t>CO2 mass demand rate</t>
  </si>
  <si>
    <t>rCO2_mass</t>
  </si>
  <si>
    <t>mg CO2/h</t>
  </si>
  <si>
    <t>= rCO2_mol × M_CO2 × 1000</t>
  </si>
  <si>
    <t>CO2 demand per minute (for pulse sizing)</t>
  </si>
  <si>
    <t>rCO2_min</t>
  </si>
  <si>
    <t>mmol/min</t>
  </si>
  <si>
    <t>= rCO2_mol / 60 × 1000</t>
  </si>
  <si>
    <t>3. CO2 SUPPLY FROM SPARGE (continuous)</t>
  </si>
  <si>
    <t>Molar gas feed rate (ideal gas at reactor T,P)</t>
  </si>
  <si>
    <t>n_gas</t>
  </si>
  <si>
    <t>mol/min</t>
  </si>
  <si>
    <t>PV=nRT; Q_gas mL/min→m³/s→mol/min</t>
  </si>
  <si>
    <t>CO2 mole fraction in feed</t>
  </si>
  <si>
    <t>y_CO2</t>
  </si>
  <si>
    <t>= p_CO2 / P_tot</t>
  </si>
  <si>
    <t>CO2 delivered by sparge (gas-phase throughput)</t>
  </si>
  <si>
    <t>CO2_supply</t>
  </si>
  <si>
    <t>= n_gas × y_CO2 × 1000</t>
  </si>
  <si>
    <t>Supply : demand ratio (CO2)</t>
  </si>
  <si>
    <t>CO2_ratio</t>
  </si>
  <si>
    <t>×</t>
  </si>
  <si>
    <t>= CO2 supplied / CO2 demanded; &gt;1 = non-limiting</t>
  </si>
  <si>
    <t>CO2 supply status</t>
  </si>
  <si>
    <t>CO2_status</t>
  </si>
  <si>
    <t>—</t>
  </si>
  <si>
    <t>Compares gas-phase CO2 throughput to assimilation demand</t>
  </si>
  <si>
    <t>4. PULSED SPARGE REGIME</t>
  </si>
  <si>
    <t>Concept</t>
  </si>
  <si>
    <t>Each pulse re-saturates liquid to CO2_sat; cells draw it down; pulse again before it falls below the limiting fraction.</t>
  </si>
  <si>
    <t>Non-limiting floor (fraction of saturation, Monod-safe)</t>
  </si>
  <si>
    <t>CO2_floor_frac</t>
  </si>
  <si>
    <t>Assumed: keep dissolved CO2 above 50% of saturation</t>
  </si>
  <si>
    <t>Usable dissolved CO2 inventory per saturation cycle</t>
  </si>
  <si>
    <t>CO2_inv</t>
  </si>
  <si>
    <t>mmol</t>
  </si>
  <si>
    <t>= CO2_sat × (1−floor) × V_work_L (mol/m³×L = mmol)</t>
  </si>
  <si>
    <t>Time to draw down inventory at demand rate</t>
  </si>
  <si>
    <t>t_drawdown</t>
  </si>
  <si>
    <t>min</t>
  </si>
  <si>
    <t>= usable inventory / CO2 demand per min = max interval between pulses</t>
  </si>
  <si>
    <t>Pulse frequency (max, to stay non-limiting)</t>
  </si>
  <si>
    <t>pulse_freq</t>
  </si>
  <si>
    <t>pulses/h</t>
  </si>
  <si>
    <t>= 60 / drawdown interval</t>
  </si>
  <si>
    <t>CO2 to replace per pulse</t>
  </si>
  <si>
    <t>CO2_pulse</t>
  </si>
  <si>
    <t>= inventory consumed = inventory restored</t>
  </si>
  <si>
    <t>Sparge on-time per pulse (at target flow &amp; p_CO2)</t>
  </si>
  <si>
    <t>t_sparge</t>
  </si>
  <si>
    <t>s</t>
  </si>
  <si>
    <t>= CO2 per pulse / CO2 supply rate (mmol/min) × 60</t>
  </si>
  <si>
    <t>Duty cycle (sparge on-time fraction)</t>
  </si>
  <si>
    <t>duty</t>
  </si>
  <si>
    <t>%</t>
  </si>
  <si>
    <t>= sparge on-time / pulse interval; &gt;100% ⇒ continuous sparge insufficient</t>
  </si>
  <si>
    <t>Pulsed regime feasibility</t>
  </si>
  <si>
    <t>pulse_status</t>
  </si>
  <si>
    <t>If duty cycle exceeds 100%, pulsing cannot keep up</t>
  </si>
  <si>
    <t>O2 Balance — electrolytic generation vs consumption + stripping requirement</t>
  </si>
  <si>
    <t>Anodic O2 (Faraday's law) accumulates; cells consume some; the rest must be stripped to hold dissolved O2 below the hydrogenase inhibition threshold.</t>
  </si>
  <si>
    <t>1. O2 GENERATION (electrolytic, Faraday's law)</t>
  </si>
  <si>
    <t>From Inputs (= j × area)</t>
  </si>
  <si>
    <t>O2 generation rate (anode)</t>
  </si>
  <si>
    <t>rO2_gen</t>
  </si>
  <si>
    <t>mol O2/h</t>
  </si>
  <si>
    <t>= I×ηF/(z_O2×F)×3600  (mol/s→mol/h)</t>
  </si>
  <si>
    <t>O2 generation rate</t>
  </si>
  <si>
    <t>rO2_gen_mg</t>
  </si>
  <si>
    <t>mg O2/h</t>
  </si>
  <si>
    <t>= rO2_gen × M_O2 × 1000</t>
  </si>
  <si>
    <t>H2 generation rate (cathode, for reference)</t>
  </si>
  <si>
    <t>rH2_gen</t>
  </si>
  <si>
    <t>mol H2/h</t>
  </si>
  <si>
    <t>= I×ηF/(z_H2×F)×3600; H2:O2 = 2:1</t>
  </si>
  <si>
    <t>2. O2 CONSUMPTION (respiration)</t>
  </si>
  <si>
    <t>Biomass production rate (rX = µ·X)</t>
  </si>
  <si>
    <t>rX_o2</t>
  </si>
  <si>
    <t>= µ × X_conc × V_work_L</t>
  </si>
  <si>
    <t>O2 consumption rate (respiration)</t>
  </si>
  <si>
    <t>rO2_cons</t>
  </si>
  <si>
    <t>= rX × Y_O2 (mol O2/gDCW)</t>
  </si>
  <si>
    <t>3. NET O2 &amp; STRIPPING REQUIREMENT</t>
  </si>
  <si>
    <t>Net O2 to remove (generation − consumption)</t>
  </si>
  <si>
    <t>rO2_net</t>
  </si>
  <si>
    <t>= rO2_gen − rO2_cons; &gt;0 ⇒ must strip</t>
  </si>
  <si>
    <t>Net O2 to remove</t>
  </si>
  <si>
    <t>rO2_net_mg</t>
  </si>
  <si>
    <t>= rO2_net × M_O2 × 1000</t>
  </si>
  <si>
    <t>Inhibition threshold (dissolved O2)</t>
  </si>
  <si>
    <t>DO_inhib_uM</t>
  </si>
  <si>
    <t>From Inputs (hydrogenase O2-inhibition, PLACEHOLDER)</t>
  </si>
  <si>
    <t>Max allowed dissolved O2 inventory in liquid</t>
  </si>
  <si>
    <t>O2_inv_max</t>
  </si>
  <si>
    <t>µmol</t>
  </si>
  <si>
    <t>= DO_inhib (µM = µmol/L) × V_work_L</t>
  </si>
  <si>
    <t>Time to reach threshold if NOT stripped</t>
  </si>
  <si>
    <t>t_to_inhib</t>
  </si>
  <si>
    <t>= max inventory / net O2 rate (µmol/h) × 60</t>
  </si>
  <si>
    <t>Required O2 strip rate (= net generation)</t>
  </si>
  <si>
    <t>strip_req</t>
  </si>
  <si>
    <t>Steady state: strip exactly the net O2 produced</t>
  </si>
  <si>
    <t>4. SPARGE STRIPPING CAPACITY &amp; REGIME FLAG</t>
  </si>
  <si>
    <t>Henry const. O2 at reactor T (van 't Hoff corrected)</t>
  </si>
  <si>
    <t>H_O2_T_cell</t>
  </si>
  <si>
    <t>Dissolved O2 at threshold</t>
  </si>
  <si>
    <t>DO_thr_molm3</t>
  </si>
  <si>
    <t>= DO_inhib (µM) / 1000 → mmol/L = mol/m³</t>
  </si>
  <si>
    <t>Gas-phase O2 in equilib. with threshold liquid</t>
  </si>
  <si>
    <t>pO2_eq</t>
  </si>
  <si>
    <t>= DO_threshold / H_O2(T)  (Henry, inverted)</t>
  </si>
  <si>
    <t>Molar gas feed rate (sparge, ideal gas)</t>
  </si>
  <si>
    <t>n_gas_o2</t>
  </si>
  <si>
    <t>mol/h</t>
  </si>
  <si>
    <t>PV=nRT; same basis as CO2 tab, per hour</t>
  </si>
  <si>
    <t>Max O2 strip capacity of sparge (gas can carry)</t>
  </si>
  <si>
    <t>strip_cap</t>
  </si>
  <si>
    <t>= gas molar flow × (pO2_eq / P_tot); O2 the exit gas can remove at threshold</t>
  </si>
  <si>
    <t>Stripping capacity : requirement ratio</t>
  </si>
  <si>
    <t>strip_ratio</t>
  </si>
  <si>
    <t>= strip capacity / strip requirement; ≥1 = can hold below threshold</t>
  </si>
  <si>
    <t>O2 REGIME</t>
  </si>
  <si>
    <t>O2_regime</t>
  </si>
  <si>
    <t>Flags when reactor goes O2-inhibited at current sparge rate</t>
  </si>
  <si>
    <t>Sensitivity — response surfaces</t>
  </si>
  <si>
    <t>Each cell recomputes the model from its own axis values + Inputs constants, so the grids are live. Centre cell (yellow) ≈ current base case.</t>
  </si>
  <si>
    <t>TABLE 1 — CO2 supply : demand ratio  (≥1 = non-limiting)</t>
  </si>
  <si>
    <t>Rows: gas flow (mL/min)  ↓    Cols: growth rate µ (1/h)  →</t>
  </si>
  <si>
    <t>Q_gas \ µ</t>
  </si>
  <si>
    <t>TABLE 2 — O2 stripping capacity : requirement ratio  (&lt;1 = O2-inhibited)</t>
  </si>
  <si>
    <t>Rows: gas flow (mL/min)  ↓    Cols: current density j (A/m²)  →</t>
  </si>
  <si>
    <t>Q_gas \ j</t>
  </si>
  <si>
    <t>Note: Table 2 ratio capped at 5.00 for readability (when current density is low, net O2→0 and the ratio diverges). &lt;1.00 (red) = O2-inhibited regime.</t>
  </si>
  <si>
    <t>Na₂CO₃ Electrolyte Assessment — sodium carbonate vs current electrolyte</t>
  </si>
  <si>
    <t>Scores 1 (poor) – 5 (excellent), blue = editable judgement. Weighted total drives the go/no-go. Replace the ‘current electrolyte’ column header with your actual baseline.</t>
  </si>
  <si>
    <t>Criterion</t>
  </si>
  <si>
    <t>Weight</t>
  </si>
  <si>
    <t>Na₂CO₃ score</t>
  </si>
  <si>
    <t>Current score</t>
  </si>
  <si>
    <t>Na₂CO₃ wtd</t>
  </si>
  <si>
    <t>Current wtd</t>
  </si>
  <si>
    <t>Rationale / notes</t>
  </si>
  <si>
    <t>Ionic conductivity</t>
  </si>
  <si>
    <t>Na₂CO₃ gives good ionic strength; conductivity rises with concentration. Verify vs current at working molarity.</t>
  </si>
  <si>
    <t>Cathode buffering / pH stability</t>
  </si>
  <si>
    <t>Carbonate/bicarbonate is a natural buffer near pH 9–10; resists cathodic alkalinisation from H2 evolution. Strong advantage if cells tolerate that pH.</t>
  </si>
  <si>
    <t>Carbonate as carbon source</t>
  </si>
  <si>
    <t>CO₃²⁻/HCO₃⁻ adds a dissolved inorganic carbon reservoir buffering CO₂ supply to cells — synergistic with autotrophy. Confirm C. necator uptake of HCO₃⁻.</t>
  </si>
  <si>
    <t>Electrode compatibility / corrosion</t>
  </si>
  <si>
    <t>Alkaline carbonate is generally benign for Ni/stainless anodes but can scale with Ca²⁺; check electrode material and scaling risk.</t>
  </si>
  <si>
    <t>Safety / handling</t>
  </si>
  <si>
    <t>Na₂CO₃ is mild alkali, low hazard, food-grade grades available — favourable for aseptic bioprocess vs caustic electrolytes.</t>
  </si>
  <si>
    <t>Weight total (must = 100%)</t>
  </si>
  <si>
    <t>WEIGHTED TOTAL (out of 5)</t>
  </si>
  <si>
    <t>Na₂CO₃ advantage (weighted points)</t>
  </si>
  <si>
    <t>RECOMMENDATION</t>
  </si>
  <si>
    <t>Decision threshold: ≥0.50 weighted-point lead ⇒ GO; &gt;0 ⇒ conditional; ≤0 ⇒ no-go. Adjust weights/scores to reflect AMYBO priorities.</t>
  </si>
  <si>
    <t>Assumptions &amp; Sources — reviewer checklist</t>
  </si>
  <si>
    <t>Every value a reviewer must check. RED status = unverified assumption or literature placeholder — confirm before relying on outputs. Blank Inputs cells (red) need a measured value; do not invent.</t>
  </si>
  <si>
    <t>Item</t>
  </si>
  <si>
    <t>Inputs cell</t>
  </si>
  <si>
    <t>Type</t>
  </si>
  <si>
    <t>Status</t>
  </si>
  <si>
    <t>Source / what's needed to verify</t>
  </si>
  <si>
    <t>CONSTANTS (verified handbook)</t>
  </si>
  <si>
    <t>Inputs!D41</t>
  </si>
  <si>
    <t>Constant</t>
  </si>
  <si>
    <t>Verified</t>
  </si>
  <si>
    <t>CODATA 2018: 96485 C/mol</t>
  </si>
  <si>
    <t>Inputs!D42</t>
  </si>
  <si>
    <t>CODATA: 8.314 J/mol/K</t>
  </si>
  <si>
    <t>Henry const. CO₂ (Hcp, 298K) + T-dependence</t>
  </si>
  <si>
    <t>Inputs!D43:D44</t>
  </si>
  <si>
    <t>Sander, Atmos. Chem. Phys. 15 (2015): Hcp≈3.3e-4 mol/m³/Pa, −ΔsolH/R≈2400 K. Confirm exact value for your medium ionic strength (salting-out lowers solubility).</t>
  </si>
  <si>
    <t>Henry const. O₂ (Hcp, 298K) + T-dependence</t>
  </si>
  <si>
    <t>Inputs!D45:D46</t>
  </si>
  <si>
    <t>Sander (2015): Hcp≈1.3e-5 mol/m³/Pa, −ΔsolH/R≈1500 K. Same salting-out caveat.</t>
  </si>
  <si>
    <t>Molar masses CO₂ / O₂; electron stoichiometry</t>
  </si>
  <si>
    <t>Inputs!D48:D51</t>
  </si>
  <si>
    <t>Handbook: M_CO₂=44.01, M_O₂=32.00 g/mol; z=2 (H₂), z=4 (O₂) from water electrolysis half-reactions.</t>
  </si>
  <si>
    <t>ASSUMPTIONS / PLACEHOLDERS (must verify)</t>
  </si>
  <si>
    <t>Working volumes 20 / 40 mL; headspace 10 mL</t>
  </si>
  <si>
    <t>Inputs!D7,D8,D12</t>
  </si>
  <si>
    <t>Design</t>
  </si>
  <si>
    <t>Assumption</t>
  </si>
  <si>
    <t>Confirm against actual reactor geometry.</t>
  </si>
  <si>
    <t>Temperature 30 °C</t>
  </si>
  <si>
    <t>Inputs!D13</t>
  </si>
  <si>
    <t>C. necator optimum ~30 °C; confirm your setpoint.</t>
  </si>
  <si>
    <t>Electrode area 10 cm²</t>
  </si>
  <si>
    <t>Inputs!D15</t>
  </si>
  <si>
    <t>Measure geometric (and ideally electrochemically active) area.</t>
  </si>
  <si>
    <t>Gas partial pressures CO₂/O₂/H₂ (10/5/60 kPa)</t>
  </si>
  <si>
    <t>Inputs!D20:D22</t>
  </si>
  <si>
    <t>Set by gas-blending scheme; confirm feed composition.</t>
  </si>
  <si>
    <t>Target sparge flow 10 mL/min</t>
  </si>
  <si>
    <t>Inputs!D23</t>
  </si>
  <si>
    <t>Operating target; the sensitivity tab shows model response across flow.</t>
  </si>
  <si>
    <t>Specific growth rate µ = 0.25 /h</t>
  </si>
  <si>
    <t>Inputs!D27</t>
  </si>
  <si>
    <t>Biology</t>
  </si>
  <si>
    <t>PLACEHOLDER</t>
  </si>
  <si>
    <t>C. necator autotrophic µmax ~0.2–0.4 /h in literature; measure your strain/conditions.</t>
  </si>
  <si>
    <t>Target OD 10; biomass/OD 0.4 gDCW/L</t>
  </si>
  <si>
    <t>Inputs!D28:D29</t>
  </si>
  <si>
    <t>Calibrate OD→DCW for your strain &amp; spectrophotometer.</t>
  </si>
  <si>
    <t>Biomass C-fraction 0.48 gC/gDCW</t>
  </si>
  <si>
    <t>Inputs!D31</t>
  </si>
  <si>
    <t>Typical microbial value; refine via elemental (CHN) analysis.</t>
  </si>
  <si>
    <t>O₂ demand 0.04 mol O₂/gDCW</t>
  </si>
  <si>
    <t>Inputs!D32</t>
  </si>
  <si>
    <t>Knallgas respiratory O₂ yield; verify by off-gas / respirometry.</t>
  </si>
  <si>
    <t>Hydrogenase O₂-inhibition threshold 50 µM</t>
  </si>
  <si>
    <t>Inputs!D33</t>
  </si>
  <si>
    <t>[NiFe] hydrogenase O₂-sensitivity is strain/enzyme specific; determine the tolerated dissolved-O₂ ceiling experimentally. DRIVES the O₂ regime flag.</t>
  </si>
  <si>
    <t>Current density 100 A/m²; Faradaic eff. 0.95</t>
  </si>
  <si>
    <t>Inputs!D36,D38</t>
  </si>
  <si>
    <t>Electrolysis</t>
  </si>
  <si>
    <t>Set by power supply / cell design; measure actual gas-evolution efficiency.</t>
  </si>
  <si>
    <t>CO₂ non-limiting floor 50% of saturation</t>
  </si>
  <si>
    <t>CO2 dosing!D29</t>
  </si>
  <si>
    <t>Model</t>
  </si>
  <si>
    <t>Monod-safe floor; tighten if K_s for CO₂ is known.</t>
  </si>
  <si>
    <t>NOT YET SUPPLIED — leave blank, do not invent</t>
  </si>
  <si>
    <t>Current electrolyte identity &amp; properties (baseline for Na₂CO₃ comparison)</t>
  </si>
  <si>
    <t>Na2CO3 tab col D</t>
  </si>
  <si>
    <t>Data gap</t>
  </si>
  <si>
    <t>NEEDED</t>
  </si>
  <si>
    <t>Supply the actual current electrolyte and its measured conductivity/pH so the comparison is real, not indicative.</t>
  </si>
  <si>
    <t>Volumetric gas-liquid mass-transfer coeff (kLa) for CO₂ and O₂</t>
  </si>
  <si>
    <t>Model assumes sparge reaches gas-liquid equilibrium. Real stripping/dosing is kLa-limited; measure kLa to convert these equilibrium bounds into rates.</t>
  </si>
  <si>
    <t>CO₂ / HCO₃⁻ speciation &amp; medium buffering</t>
  </si>
  <si>
    <t>At pH&gt;6 much dissolved inorganic carbon is HCO₃⁻/CO₃²⁻, not CO₂(aq). Henry's law here gives CO₂(aq) only; add carbonate equilibria for total DIC available to cells.</t>
  </si>
  <si>
    <t>KEY MODEL RESULTS (live links)</t>
  </si>
  <si>
    <t>CO₂ supply : demand ratio</t>
  </si>
  <si>
    <t>Pulsed sparge feasibility</t>
  </si>
  <si>
    <t>Time to O₂ inhibition if unstripped (min)</t>
  </si>
  <si>
    <t>O₂ strip capacity : requirement</t>
  </si>
  <si>
    <t>Na₂CO₃ verdict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</si>
</sst>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0E+00"/>
    <numFmt numFmtId="165" formatCode="0.000"/>
    <numFmt numFmtId="166" formatCode="0.0000"/>
    <numFmt numFmtId="167" formatCode="#,##0.0"/>
    <numFmt numFmtId="168" formatCode="0.0&quot;×&quot;"/>
    <numFmt numFmtId="169" formatCode="0.0"/>
    <numFmt numFmtId="170" formatCode="0.0%"/>
    <numFmt numFmtId="171" formatCode="0.00&quot;×&quot;"/>
    <numFmt numFmtId="172" formatCode="\+0.00;\-0.00"/>
  </numFmts>
  <fonts count="13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rgb="FFFFFFFF"/>
      <name val="Aptos Narrow"/>
      <family val="2"/>
      <scheme val="minor"/>
    </font>
    <font>
      <i/>
      <sz val="12"/>
      <color rgb="FFFFFFFF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sz val="12"/>
      <color rgb="FF0000FF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sz val="12"/>
      <color rgb="FF008000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i/>
      <sz val="12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0" borderId="0" xfId="0" applyFont="1"/>
    <xf numFmtId="0" fontId="2" fillId="3" borderId="0" xfId="0" applyFont="1" applyFill="1"/>
    <xf numFmtId="0" fontId="2" fillId="3" borderId="0" xfId="0" applyFont="1" applyFill="1" applyAlignment="1">
      <alignment horizontal="right"/>
    </xf>
    <xf numFmtId="0" fontId="5" fillId="4" borderId="0" xfId="0" applyFont="1" applyFill="1"/>
    <xf numFmtId="0" fontId="0" fillId="4" borderId="0" xfId="0" applyFill="1"/>
    <xf numFmtId="0" fontId="6" fillId="0" borderId="0" xfId="0" applyFont="1" applyAlignment="1">
      <alignment horizontal="right"/>
    </xf>
    <xf numFmtId="0" fontId="1" fillId="0" borderId="0" xfId="0" applyFont="1"/>
    <xf numFmtId="0" fontId="7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0" borderId="0" xfId="0" quotePrefix="1"/>
    <xf numFmtId="0" fontId="1" fillId="0" borderId="0" xfId="0" quotePrefix="1" applyFont="1"/>
    <xf numFmtId="164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68" fontId="0" fillId="0" borderId="0" xfId="0" applyNumberFormat="1" applyAlignment="1">
      <alignment horizontal="right"/>
    </xf>
    <xf numFmtId="0" fontId="2" fillId="0" borderId="0" xfId="0" applyFont="1" applyAlignment="1">
      <alignment horizontal="right"/>
    </xf>
    <xf numFmtId="0" fontId="9" fillId="0" borderId="0" xfId="0" applyFont="1"/>
    <xf numFmtId="169" fontId="6" fillId="0" borderId="0" xfId="0" applyNumberFormat="1" applyFont="1" applyAlignment="1">
      <alignment horizontal="right"/>
    </xf>
    <xf numFmtId="169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170" fontId="0" fillId="0" borderId="0" xfId="0" applyNumberFormat="1" applyAlignment="1">
      <alignment horizontal="right"/>
    </xf>
    <xf numFmtId="171" fontId="0" fillId="0" borderId="0" xfId="0" applyNumberFormat="1" applyAlignment="1">
      <alignment horizontal="right"/>
    </xf>
    <xf numFmtId="0" fontId="2" fillId="3" borderId="0" xfId="0" applyFont="1" applyFill="1" applyAlignment="1">
      <alignment horizontal="center"/>
    </xf>
    <xf numFmtId="2" fontId="2" fillId="3" borderId="0" xfId="0" applyNumberFormat="1" applyFont="1" applyFill="1" applyAlignment="1">
      <alignment horizontal="center"/>
    </xf>
    <xf numFmtId="2" fontId="2" fillId="5" borderId="0" xfId="0" applyNumberFormat="1" applyFont="1" applyFill="1" applyAlignment="1">
      <alignment horizontal="center"/>
    </xf>
    <xf numFmtId="169" fontId="2" fillId="3" borderId="0" xfId="0" applyNumberFormat="1" applyFont="1" applyFill="1" applyAlignment="1">
      <alignment horizontal="center"/>
    </xf>
    <xf numFmtId="169" fontId="2" fillId="5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1" xfId="0" applyNumberFormat="1" applyBorder="1" applyAlignment="1">
      <alignment horizontal="center"/>
    </xf>
    <xf numFmtId="1" fontId="2" fillId="3" borderId="0" xfId="0" applyNumberFormat="1" applyFont="1" applyFill="1" applyAlignment="1">
      <alignment horizontal="center"/>
    </xf>
    <xf numFmtId="1" fontId="2" fillId="5" borderId="0" xfId="0" applyNumberFormat="1" applyFont="1" applyFill="1" applyAlignment="1">
      <alignment horizontal="center"/>
    </xf>
    <xf numFmtId="0" fontId="6" fillId="0" borderId="0" xfId="0" applyFont="1" applyAlignment="1">
      <alignment horizontal="center"/>
    </xf>
    <xf numFmtId="9" fontId="6" fillId="0" borderId="0" xfId="0" applyNumberFormat="1" applyFont="1" applyAlignment="1">
      <alignment horizontal="center"/>
    </xf>
    <xf numFmtId="9" fontId="2" fillId="0" borderId="0" xfId="0" applyNumberFormat="1" applyFont="1" applyAlignment="1">
      <alignment horizontal="center"/>
    </xf>
    <xf numFmtId="0" fontId="0" fillId="3" borderId="0" xfId="0" applyFill="1"/>
    <xf numFmtId="2" fontId="2" fillId="6" borderId="0" xfId="0" applyNumberFormat="1" applyFont="1" applyFill="1" applyAlignment="1">
      <alignment horizontal="center"/>
    </xf>
    <xf numFmtId="172" fontId="2" fillId="0" borderId="0" xfId="0" applyNumberFormat="1" applyFont="1" applyAlignment="1">
      <alignment horizontal="center"/>
    </xf>
    <xf numFmtId="0" fontId="1" fillId="0" borderId="0" xfId="0" applyFont="1" applyAlignment="1">
      <alignment wrapText="1"/>
    </xf>
    <xf numFmtId="0" fontId="10" fillId="0" borderId="0" xfId="0" applyFont="1"/>
    <xf numFmtId="0" fontId="11" fillId="0" borderId="0" xfId="0" applyFont="1"/>
    <xf numFmtId="171" fontId="0" fillId="0" borderId="0" xfId="0" applyNumberFormat="1" applyAlignment="1">
      <alignment horizontal="center"/>
    </xf>
    <xf numFmtId="0" fontId="0" fillId="0" borderId="0" xfId="0" applyAlignment="1">
      <alignment wrapText="1"/>
    </xf>
    <xf numFmtId="0" fontId="0" fillId="4" borderId="0" xfId="0" applyFill="1" applyAlignment="1">
      <alignment wrapText="1"/>
    </xf>
    <xf numFmtId="0" fontId="9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3" fillId="2" borderId="0" xfId="0" applyFont="1" applyFill="1"/>
    <xf numFmtId="0" fontId="4" fillId="2" borderId="0" xfId="0" applyFont="1" applyFill="1"/>
    <xf numFmtId="0" fontId="8" fillId="2" borderId="0" xfId="0" applyFont="1" applyFill="1"/>
    <xf numFmtId="0" fontId="2" fillId="0" borderId="0" xfId="0" applyFont="1" applyAlignment="1">
      <alignment wrapText="1"/>
    </xf>
    <xf numFmtId="0" fontId="2" fillId="0" borderId="0" xfId="0" applyFont="1"/>
    <xf numFmtId="0" fontId="9" fillId="0" borderId="0" xfId="0" applyFont="1"/>
    <xf numFmtId="0" fontId="5" fillId="4" borderId="0" xfId="0" applyFont="1" applyFill="1"/>
  </cellXfs>
  <cellStyles count="1">
    <cellStyle name="Normal" xfId="0" builtinId="0"/>
  </cellStyles>
  <dxfs count="8"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25CBFFB-E9D0-1F4C-B4A0-936D9A3BF60C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97da9b58-7031-4d5d-8b9f-82f2bf32608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99A19-AD71-2C4D-9B07-58C120266E8A}">
  <dimension ref="A1:E51"/>
  <sheetViews>
    <sheetView tabSelected="1" topLeftCell="A36" workbookViewId="0">
      <selection sqref="A1:E1"/>
    </sheetView>
  </sheetViews>
  <sheetFormatPr baseColWidth="10" defaultRowHeight="16" x14ac:dyDescent="0.2"/>
  <cols>
    <col min="1" max="1" width="38.33203125" customWidth="1"/>
    <col min="2" max="2" width="13.33203125" customWidth="1"/>
    <col min="3" max="3" width="12.5" customWidth="1"/>
    <col min="4" max="4" width="15" customWidth="1"/>
    <col min="5" max="5" width="60" customWidth="1"/>
  </cols>
  <sheetData>
    <row r="1" spans="1:5" ht="18" customHeight="1" x14ac:dyDescent="0.3">
      <c r="A1" s="49" t="s">
        <v>0</v>
      </c>
      <c r="B1" s="49"/>
      <c r="C1" s="49"/>
      <c r="D1" s="49"/>
      <c r="E1" s="49"/>
    </row>
    <row r="2" spans="1:5" ht="18" customHeight="1" x14ac:dyDescent="0.2">
      <c r="A2" s="50" t="s">
        <v>1</v>
      </c>
      <c r="B2" s="50"/>
      <c r="C2" s="50"/>
      <c r="D2" s="50"/>
      <c r="E2" s="50"/>
    </row>
    <row r="4" spans="1:5" x14ac:dyDescent="0.2">
      <c r="A4" s="2" t="s">
        <v>2</v>
      </c>
      <c r="B4" s="2" t="s">
        <v>3</v>
      </c>
      <c r="C4" s="2" t="s">
        <v>4</v>
      </c>
      <c r="D4" s="3" t="s">
        <v>5</v>
      </c>
      <c r="E4" s="2" t="s">
        <v>6</v>
      </c>
    </row>
    <row r="6" spans="1:5" x14ac:dyDescent="0.2">
      <c r="A6" s="4" t="s">
        <v>7</v>
      </c>
      <c r="B6" s="5"/>
      <c r="C6" s="5"/>
      <c r="D6" s="5"/>
      <c r="E6" s="5"/>
    </row>
    <row r="7" spans="1:5" x14ac:dyDescent="0.2">
      <c r="A7" t="s">
        <v>8</v>
      </c>
      <c r="B7" t="s">
        <v>9</v>
      </c>
      <c r="C7" t="s">
        <v>10</v>
      </c>
      <c r="D7" s="6">
        <v>20</v>
      </c>
      <c r="E7" s="7" t="s">
        <v>11</v>
      </c>
    </row>
    <row r="8" spans="1:5" x14ac:dyDescent="0.2">
      <c r="A8" t="s">
        <v>12</v>
      </c>
      <c r="B8" t="s">
        <v>13</v>
      </c>
      <c r="C8" t="s">
        <v>10</v>
      </c>
      <c r="D8" s="6">
        <v>40</v>
      </c>
      <c r="E8" s="7" t="s">
        <v>14</v>
      </c>
    </row>
    <row r="9" spans="1:5" x14ac:dyDescent="0.2">
      <c r="A9" t="s">
        <v>15</v>
      </c>
      <c r="B9" t="s">
        <v>16</v>
      </c>
      <c r="C9" t="s">
        <v>17</v>
      </c>
      <c r="D9" s="6" t="s">
        <v>18</v>
      </c>
      <c r="E9" s="7" t="s">
        <v>19</v>
      </c>
    </row>
    <row r="10" spans="1:5" x14ac:dyDescent="0.2">
      <c r="A10" t="s">
        <v>20</v>
      </c>
      <c r="B10" t="s">
        <v>21</v>
      </c>
      <c r="C10" t="s">
        <v>10</v>
      </c>
      <c r="D10" s="8">
        <f>IF(D9="B",D8,D7)</f>
        <v>20</v>
      </c>
      <c r="E10" s="7" t="s">
        <v>22</v>
      </c>
    </row>
    <row r="11" spans="1:5" x14ac:dyDescent="0.2">
      <c r="A11" t="s">
        <v>20</v>
      </c>
      <c r="B11" t="s">
        <v>23</v>
      </c>
      <c r="C11" t="s">
        <v>24</v>
      </c>
      <c r="D11" s="9">
        <f>D10/1000</f>
        <v>0.02</v>
      </c>
      <c r="E11" s="7" t="s">
        <v>25</v>
      </c>
    </row>
    <row r="12" spans="1:5" x14ac:dyDescent="0.2">
      <c r="A12" t="s">
        <v>26</v>
      </c>
      <c r="B12" t="s">
        <v>27</v>
      </c>
      <c r="C12" t="s">
        <v>10</v>
      </c>
      <c r="D12" s="6">
        <v>10</v>
      </c>
      <c r="E12" s="7" t="s">
        <v>28</v>
      </c>
    </row>
    <row r="13" spans="1:5" x14ac:dyDescent="0.2">
      <c r="A13" t="s">
        <v>29</v>
      </c>
      <c r="B13" t="s">
        <v>30</v>
      </c>
      <c r="C13" t="s">
        <v>31</v>
      </c>
      <c r="D13" s="6">
        <v>30</v>
      </c>
      <c r="E13" s="7" t="s">
        <v>32</v>
      </c>
    </row>
    <row r="14" spans="1:5" x14ac:dyDescent="0.2">
      <c r="A14" t="s">
        <v>33</v>
      </c>
      <c r="B14" t="s">
        <v>34</v>
      </c>
      <c r="C14" t="s">
        <v>35</v>
      </c>
      <c r="D14" s="9">
        <f>D13+273.15</f>
        <v>303.14999999999998</v>
      </c>
      <c r="E14" s="11" t="s">
        <v>36</v>
      </c>
    </row>
    <row r="15" spans="1:5" x14ac:dyDescent="0.2">
      <c r="A15" t="s">
        <v>37</v>
      </c>
      <c r="B15" t="s">
        <v>38</v>
      </c>
      <c r="C15" t="s">
        <v>39</v>
      </c>
      <c r="D15" s="6">
        <v>10</v>
      </c>
      <c r="E15" s="7" t="s">
        <v>40</v>
      </c>
    </row>
    <row r="16" spans="1:5" x14ac:dyDescent="0.2">
      <c r="A16" t="s">
        <v>37</v>
      </c>
      <c r="B16" t="s">
        <v>41</v>
      </c>
      <c r="C16" t="s">
        <v>42</v>
      </c>
      <c r="D16" s="9">
        <f>D15/10000</f>
        <v>1E-3</v>
      </c>
      <c r="E16" s="7" t="s">
        <v>25</v>
      </c>
    </row>
    <row r="18" spans="1:5" x14ac:dyDescent="0.2">
      <c r="A18" s="4" t="s">
        <v>43</v>
      </c>
      <c r="B18" s="5"/>
      <c r="C18" s="5"/>
      <c r="D18" s="5"/>
      <c r="E18" s="5"/>
    </row>
    <row r="19" spans="1:5" x14ac:dyDescent="0.2">
      <c r="A19" t="s">
        <v>44</v>
      </c>
      <c r="B19" t="s">
        <v>45</v>
      </c>
      <c r="C19" t="s">
        <v>46</v>
      </c>
      <c r="D19" s="6">
        <v>101.325</v>
      </c>
      <c r="E19" t="s">
        <v>47</v>
      </c>
    </row>
    <row r="20" spans="1:5" x14ac:dyDescent="0.2">
      <c r="A20" t="s">
        <v>48</v>
      </c>
      <c r="B20" t="s">
        <v>49</v>
      </c>
      <c r="C20" t="s">
        <v>46</v>
      </c>
      <c r="D20" s="6">
        <v>10</v>
      </c>
      <c r="E20" s="7" t="s">
        <v>50</v>
      </c>
    </row>
    <row r="21" spans="1:5" x14ac:dyDescent="0.2">
      <c r="A21" t="s">
        <v>51</v>
      </c>
      <c r="B21" t="s">
        <v>52</v>
      </c>
      <c r="C21" t="s">
        <v>46</v>
      </c>
      <c r="D21" s="6">
        <v>5</v>
      </c>
      <c r="E21" s="7" t="s">
        <v>53</v>
      </c>
    </row>
    <row r="22" spans="1:5" x14ac:dyDescent="0.2">
      <c r="A22" t="s">
        <v>54</v>
      </c>
      <c r="B22" t="s">
        <v>55</v>
      </c>
      <c r="C22" t="s">
        <v>46</v>
      </c>
      <c r="D22" s="6">
        <v>60</v>
      </c>
      <c r="E22" s="7" t="s">
        <v>56</v>
      </c>
    </row>
    <row r="23" spans="1:5" x14ac:dyDescent="0.2">
      <c r="A23" t="s">
        <v>57</v>
      </c>
      <c r="B23" t="s">
        <v>58</v>
      </c>
      <c r="C23" t="s">
        <v>59</v>
      </c>
      <c r="D23" s="6">
        <v>10</v>
      </c>
      <c r="E23" s="7" t="s">
        <v>60</v>
      </c>
    </row>
    <row r="24" spans="1:5" x14ac:dyDescent="0.2">
      <c r="A24" t="s">
        <v>57</v>
      </c>
      <c r="B24" t="s">
        <v>61</v>
      </c>
      <c r="C24" t="s">
        <v>62</v>
      </c>
      <c r="D24" s="9">
        <f>D23/1000/60</f>
        <v>1.6666666666666666E-4</v>
      </c>
      <c r="E24" s="7" t="s">
        <v>25</v>
      </c>
    </row>
    <row r="26" spans="1:5" x14ac:dyDescent="0.2">
      <c r="A26" s="4" t="s">
        <v>63</v>
      </c>
      <c r="B26" s="5"/>
      <c r="C26" s="5"/>
      <c r="D26" s="5"/>
      <c r="E26" s="5"/>
    </row>
    <row r="27" spans="1:5" x14ac:dyDescent="0.2">
      <c r="A27" t="s">
        <v>64</v>
      </c>
      <c r="B27" t="s">
        <v>65</v>
      </c>
      <c r="C27" t="s">
        <v>66</v>
      </c>
      <c r="D27" s="6">
        <v>0.25</v>
      </c>
      <c r="E27" s="7" t="s">
        <v>67</v>
      </c>
    </row>
    <row r="28" spans="1:5" x14ac:dyDescent="0.2">
      <c r="A28" t="s">
        <v>68</v>
      </c>
      <c r="B28" t="s">
        <v>69</v>
      </c>
      <c r="C28" t="s">
        <v>70</v>
      </c>
      <c r="D28" s="6">
        <v>10</v>
      </c>
      <c r="E28" s="7" t="s">
        <v>71</v>
      </c>
    </row>
    <row r="29" spans="1:5" x14ac:dyDescent="0.2">
      <c r="A29" t="s">
        <v>72</v>
      </c>
      <c r="B29" t="s">
        <v>73</v>
      </c>
      <c r="C29" t="s">
        <v>74</v>
      </c>
      <c r="D29" s="6">
        <v>0.4</v>
      </c>
      <c r="E29" s="7" t="s">
        <v>75</v>
      </c>
    </row>
    <row r="30" spans="1:5" x14ac:dyDescent="0.2">
      <c r="A30" t="s">
        <v>76</v>
      </c>
      <c r="B30" t="s">
        <v>77</v>
      </c>
      <c r="C30" t="s">
        <v>78</v>
      </c>
      <c r="D30" s="9">
        <f>D28*D29</f>
        <v>4</v>
      </c>
      <c r="E30" s="11" t="s">
        <v>79</v>
      </c>
    </row>
    <row r="31" spans="1:5" x14ac:dyDescent="0.2">
      <c r="A31" t="s">
        <v>80</v>
      </c>
      <c r="B31" t="s">
        <v>81</v>
      </c>
      <c r="C31" t="s">
        <v>82</v>
      </c>
      <c r="D31" s="6">
        <v>0.48</v>
      </c>
      <c r="E31" s="7" t="s">
        <v>83</v>
      </c>
    </row>
    <row r="32" spans="1:5" x14ac:dyDescent="0.2">
      <c r="A32" t="s">
        <v>84</v>
      </c>
      <c r="B32" t="s">
        <v>85</v>
      </c>
      <c r="C32" t="s">
        <v>86</v>
      </c>
      <c r="D32" s="6">
        <v>0.04</v>
      </c>
      <c r="E32" s="7" t="s">
        <v>87</v>
      </c>
    </row>
    <row r="33" spans="1:5" x14ac:dyDescent="0.2">
      <c r="A33" t="s">
        <v>88</v>
      </c>
      <c r="B33" t="s">
        <v>89</v>
      </c>
      <c r="C33" t="s">
        <v>90</v>
      </c>
      <c r="D33" s="6">
        <v>50</v>
      </c>
      <c r="E33" s="7" t="s">
        <v>91</v>
      </c>
    </row>
    <row r="35" spans="1:5" x14ac:dyDescent="0.2">
      <c r="A35" s="4" t="s">
        <v>92</v>
      </c>
      <c r="B35" s="5"/>
      <c r="C35" s="5"/>
      <c r="D35" s="5"/>
      <c r="E35" s="5"/>
    </row>
    <row r="36" spans="1:5" x14ac:dyDescent="0.2">
      <c r="A36" t="s">
        <v>93</v>
      </c>
      <c r="B36" t="s">
        <v>94</v>
      </c>
      <c r="C36" t="s">
        <v>95</v>
      </c>
      <c r="D36" s="6">
        <v>100</v>
      </c>
      <c r="E36" s="7" t="s">
        <v>96</v>
      </c>
    </row>
    <row r="37" spans="1:5" x14ac:dyDescent="0.2">
      <c r="A37" t="s">
        <v>97</v>
      </c>
      <c r="B37" t="s">
        <v>98</v>
      </c>
      <c r="C37" t="s">
        <v>18</v>
      </c>
      <c r="D37" s="9">
        <f>D36*D16</f>
        <v>0.1</v>
      </c>
      <c r="E37" s="11" t="s">
        <v>99</v>
      </c>
    </row>
    <row r="38" spans="1:5" x14ac:dyDescent="0.2">
      <c r="A38" t="s">
        <v>100</v>
      </c>
      <c r="B38" t="s">
        <v>101</v>
      </c>
      <c r="C38" t="s">
        <v>102</v>
      </c>
      <c r="D38" s="6">
        <v>0.95</v>
      </c>
      <c r="E38" s="7" t="s">
        <v>103</v>
      </c>
    </row>
    <row r="40" spans="1:5" x14ac:dyDescent="0.2">
      <c r="A40" s="4" t="s">
        <v>104</v>
      </c>
      <c r="B40" s="5"/>
      <c r="C40" s="5"/>
      <c r="D40" s="5"/>
      <c r="E40" s="5"/>
    </row>
    <row r="41" spans="1:5" x14ac:dyDescent="0.2">
      <c r="A41" t="s">
        <v>105</v>
      </c>
      <c r="B41" t="s">
        <v>106</v>
      </c>
      <c r="C41" t="s">
        <v>107</v>
      </c>
      <c r="D41" s="9">
        <v>96485</v>
      </c>
      <c r="E41" t="s">
        <v>108</v>
      </c>
    </row>
    <row r="42" spans="1:5" x14ac:dyDescent="0.2">
      <c r="A42" t="s">
        <v>109</v>
      </c>
      <c r="B42" t="s">
        <v>110</v>
      </c>
      <c r="C42" t="s">
        <v>111</v>
      </c>
      <c r="D42" s="9">
        <v>8.3140000000000001</v>
      </c>
      <c r="E42" t="s">
        <v>112</v>
      </c>
    </row>
    <row r="43" spans="1:5" x14ac:dyDescent="0.2">
      <c r="A43" t="s">
        <v>113</v>
      </c>
      <c r="B43" t="s">
        <v>114</v>
      </c>
      <c r="C43" t="s">
        <v>115</v>
      </c>
      <c r="D43" s="9">
        <v>3.3E-4</v>
      </c>
      <c r="E43" t="s">
        <v>116</v>
      </c>
    </row>
    <row r="44" spans="1:5" x14ac:dyDescent="0.2">
      <c r="A44" t="s">
        <v>117</v>
      </c>
      <c r="B44" t="s">
        <v>118</v>
      </c>
      <c r="C44" t="s">
        <v>35</v>
      </c>
      <c r="D44" s="9">
        <v>2400</v>
      </c>
      <c r="E44" t="s">
        <v>119</v>
      </c>
    </row>
    <row r="45" spans="1:5" x14ac:dyDescent="0.2">
      <c r="A45" t="s">
        <v>120</v>
      </c>
      <c r="B45" t="s">
        <v>121</v>
      </c>
      <c r="C45" t="s">
        <v>115</v>
      </c>
      <c r="D45" s="9">
        <v>1.2999999999999999E-5</v>
      </c>
      <c r="E45" t="s">
        <v>122</v>
      </c>
    </row>
    <row r="46" spans="1:5" x14ac:dyDescent="0.2">
      <c r="A46" t="s">
        <v>123</v>
      </c>
      <c r="B46" t="s">
        <v>124</v>
      </c>
      <c r="C46" t="s">
        <v>35</v>
      </c>
      <c r="D46" s="9">
        <v>1500</v>
      </c>
      <c r="E46" t="s">
        <v>125</v>
      </c>
    </row>
    <row r="47" spans="1:5" x14ac:dyDescent="0.2">
      <c r="A47" t="s">
        <v>126</v>
      </c>
      <c r="B47" t="s">
        <v>127</v>
      </c>
      <c r="C47" t="s">
        <v>35</v>
      </c>
      <c r="D47" s="9">
        <v>298.14999999999998</v>
      </c>
      <c r="E47" t="s">
        <v>128</v>
      </c>
    </row>
    <row r="48" spans="1:5" x14ac:dyDescent="0.2">
      <c r="A48" t="s">
        <v>129</v>
      </c>
      <c r="B48" t="s">
        <v>130</v>
      </c>
      <c r="C48" t="s">
        <v>131</v>
      </c>
      <c r="D48" s="9">
        <v>44.01</v>
      </c>
      <c r="E48" t="s">
        <v>132</v>
      </c>
    </row>
    <row r="49" spans="1:5" x14ac:dyDescent="0.2">
      <c r="A49" t="s">
        <v>133</v>
      </c>
      <c r="B49" t="s">
        <v>134</v>
      </c>
      <c r="C49" t="s">
        <v>131</v>
      </c>
      <c r="D49" s="9">
        <v>32</v>
      </c>
      <c r="E49" t="s">
        <v>132</v>
      </c>
    </row>
    <row r="50" spans="1:5" x14ac:dyDescent="0.2">
      <c r="A50" t="s">
        <v>135</v>
      </c>
      <c r="B50" t="s">
        <v>136</v>
      </c>
      <c r="C50" t="s">
        <v>137</v>
      </c>
      <c r="D50" s="9">
        <v>2</v>
      </c>
      <c r="E50" t="s">
        <v>138</v>
      </c>
    </row>
    <row r="51" spans="1:5" x14ac:dyDescent="0.2">
      <c r="A51" t="s">
        <v>139</v>
      </c>
      <c r="B51" t="s">
        <v>140</v>
      </c>
      <c r="C51" t="s">
        <v>137</v>
      </c>
      <c r="D51" s="9">
        <v>4</v>
      </c>
      <c r="E51" t="s">
        <v>141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F418F-74B3-9B4E-BF2C-2FD88A79C8B7}">
  <dimension ref="A1:E36"/>
  <sheetViews>
    <sheetView workbookViewId="0">
      <selection sqref="A1:E1"/>
    </sheetView>
  </sheetViews>
  <sheetFormatPr baseColWidth="10" defaultRowHeight="16" x14ac:dyDescent="0.2"/>
  <cols>
    <col min="1" max="1" width="45" customWidth="1"/>
    <col min="2" max="2" width="15.83203125" customWidth="1"/>
    <col min="3" max="3" width="13.33203125" customWidth="1"/>
    <col min="4" max="4" width="15.83203125" customWidth="1"/>
    <col min="5" max="5" width="70" customWidth="1"/>
  </cols>
  <sheetData>
    <row r="1" spans="1:5" ht="19" x14ac:dyDescent="0.25">
      <c r="A1" s="51" t="s">
        <v>142</v>
      </c>
      <c r="B1" s="51"/>
      <c r="C1" s="51"/>
      <c r="D1" s="51"/>
      <c r="E1" s="51"/>
    </row>
    <row r="2" spans="1:5" x14ac:dyDescent="0.2">
      <c r="A2" s="50" t="s">
        <v>143</v>
      </c>
      <c r="B2" s="50"/>
      <c r="C2" s="50"/>
      <c r="D2" s="50"/>
      <c r="E2" s="50"/>
    </row>
    <row r="4" spans="1:5" x14ac:dyDescent="0.2">
      <c r="A4" s="2" t="s">
        <v>144</v>
      </c>
      <c r="B4" s="2" t="s">
        <v>145</v>
      </c>
      <c r="C4" s="2" t="s">
        <v>4</v>
      </c>
      <c r="D4" s="3" t="s">
        <v>5</v>
      </c>
      <c r="E4" s="2" t="s">
        <v>146</v>
      </c>
    </row>
    <row r="6" spans="1:5" x14ac:dyDescent="0.2">
      <c r="A6" s="4" t="s">
        <v>147</v>
      </c>
      <c r="B6" s="5"/>
      <c r="C6" s="5"/>
      <c r="D6" s="5"/>
      <c r="E6" s="5"/>
    </row>
    <row r="7" spans="1:5" x14ac:dyDescent="0.2">
      <c r="A7" t="s">
        <v>148</v>
      </c>
      <c r="B7" t="s">
        <v>118</v>
      </c>
      <c r="C7" t="s">
        <v>115</v>
      </c>
      <c r="D7" s="12">
        <f>H_CO2_ref*EXP(H_CO2_T*(1/T_K-1/T_ref))</f>
        <v>2.8897091602523201E-4</v>
      </c>
      <c r="E7" t="s">
        <v>149</v>
      </c>
    </row>
    <row r="8" spans="1:5" x14ac:dyDescent="0.2">
      <c r="A8" t="s">
        <v>150</v>
      </c>
      <c r="B8" t="s">
        <v>151</v>
      </c>
      <c r="C8" t="s">
        <v>152</v>
      </c>
      <c r="D8" s="13">
        <f>p_CO2*1000</f>
        <v>10000</v>
      </c>
      <c r="E8" s="10" t="s">
        <v>153</v>
      </c>
    </row>
    <row r="9" spans="1:5" x14ac:dyDescent="0.2">
      <c r="A9" t="s">
        <v>154</v>
      </c>
      <c r="B9" t="s">
        <v>155</v>
      </c>
      <c r="C9" t="s">
        <v>156</v>
      </c>
      <c r="D9" s="14">
        <f>D7*D8</f>
        <v>2.8897091602523202</v>
      </c>
      <c r="E9" s="10" t="s">
        <v>157</v>
      </c>
    </row>
    <row r="10" spans="1:5" x14ac:dyDescent="0.2">
      <c r="A10" t="s">
        <v>158</v>
      </c>
      <c r="B10" t="s">
        <v>159</v>
      </c>
      <c r="C10" t="s">
        <v>160</v>
      </c>
      <c r="D10" s="14">
        <f>D9</f>
        <v>2.8897091602523202</v>
      </c>
      <c r="E10" t="s">
        <v>161</v>
      </c>
    </row>
    <row r="12" spans="1:5" x14ac:dyDescent="0.2">
      <c r="A12" s="4" t="s">
        <v>162</v>
      </c>
      <c r="B12" s="5"/>
      <c r="C12" s="5"/>
      <c r="D12" s="5"/>
      <c r="E12" s="5"/>
    </row>
    <row r="13" spans="1:5" x14ac:dyDescent="0.2">
      <c r="A13" t="s">
        <v>163</v>
      </c>
      <c r="B13" t="s">
        <v>164</v>
      </c>
      <c r="C13" t="s">
        <v>165</v>
      </c>
      <c r="D13" s="14">
        <f>X_conc*V_work_L</f>
        <v>0.08</v>
      </c>
      <c r="E13" s="10" t="s">
        <v>166</v>
      </c>
    </row>
    <row r="14" spans="1:5" x14ac:dyDescent="0.2">
      <c r="A14" t="s">
        <v>167</v>
      </c>
      <c r="B14" t="s">
        <v>168</v>
      </c>
      <c r="C14" t="s">
        <v>169</v>
      </c>
      <c r="D14" s="15">
        <f>mu*D13</f>
        <v>0.02</v>
      </c>
      <c r="E14" s="10" t="s">
        <v>170</v>
      </c>
    </row>
    <row r="15" spans="1:5" x14ac:dyDescent="0.2">
      <c r="A15" t="s">
        <v>171</v>
      </c>
      <c r="B15" t="s">
        <v>172</v>
      </c>
      <c r="C15" t="s">
        <v>173</v>
      </c>
      <c r="D15" s="15">
        <f>D14*C_frac</f>
        <v>9.5999999999999992E-3</v>
      </c>
      <c r="E15" s="10" t="s">
        <v>174</v>
      </c>
    </row>
    <row r="16" spans="1:5" x14ac:dyDescent="0.2">
      <c r="A16" t="s">
        <v>175</v>
      </c>
      <c r="B16" t="s">
        <v>176</v>
      </c>
      <c r="C16" t="s">
        <v>177</v>
      </c>
      <c r="D16" s="15">
        <f>D15/12.011</f>
        <v>7.9926733827324946E-4</v>
      </c>
      <c r="E16" s="10" t="s">
        <v>178</v>
      </c>
    </row>
    <row r="17" spans="1:5" x14ac:dyDescent="0.2">
      <c r="A17" t="s">
        <v>179</v>
      </c>
      <c r="B17" t="s">
        <v>180</v>
      </c>
      <c r="C17" t="s">
        <v>181</v>
      </c>
      <c r="D17" s="16">
        <f>D16*M_CO2*1000</f>
        <v>35.175755557405708</v>
      </c>
      <c r="E17" s="10" t="s">
        <v>182</v>
      </c>
    </row>
    <row r="18" spans="1:5" x14ac:dyDescent="0.2">
      <c r="A18" t="s">
        <v>183</v>
      </c>
      <c r="B18" t="s">
        <v>184</v>
      </c>
      <c r="C18" t="s">
        <v>185</v>
      </c>
      <c r="D18" s="15">
        <f>D16/60*1000</f>
        <v>1.3321122304554157E-2</v>
      </c>
      <c r="E18" s="10" t="s">
        <v>186</v>
      </c>
    </row>
    <row r="20" spans="1:5" x14ac:dyDescent="0.2">
      <c r="A20" s="4" t="s">
        <v>187</v>
      </c>
      <c r="B20" s="5"/>
      <c r="C20" s="5"/>
      <c r="D20" s="5"/>
      <c r="E20" s="5"/>
    </row>
    <row r="21" spans="1:5" x14ac:dyDescent="0.2">
      <c r="A21" t="s">
        <v>188</v>
      </c>
      <c r="B21" t="s">
        <v>189</v>
      </c>
      <c r="C21" t="s">
        <v>190</v>
      </c>
      <c r="D21" s="12">
        <f>(P_tot*1000*Q_gas/1000000/1000)/(R_gas*T_K)*60</f>
        <v>2.4121275560190292E-5</v>
      </c>
      <c r="E21" t="s">
        <v>191</v>
      </c>
    </row>
    <row r="22" spans="1:5" x14ac:dyDescent="0.2">
      <c r="A22" t="s">
        <v>192</v>
      </c>
      <c r="B22" t="s">
        <v>193</v>
      </c>
      <c r="C22" t="s">
        <v>102</v>
      </c>
      <c r="D22" s="14">
        <f>p_CO2/P_tot</f>
        <v>9.8692326671601285E-2</v>
      </c>
      <c r="E22" s="10" t="s">
        <v>194</v>
      </c>
    </row>
    <row r="23" spans="1:5" x14ac:dyDescent="0.2">
      <c r="A23" t="s">
        <v>195</v>
      </c>
      <c r="B23" t="s">
        <v>196</v>
      </c>
      <c r="C23" t="s">
        <v>185</v>
      </c>
      <c r="D23" s="14">
        <f>D21*D22*1000</f>
        <v>2.3805848073220125E-3</v>
      </c>
      <c r="E23" s="10" t="s">
        <v>197</v>
      </c>
    </row>
    <row r="24" spans="1:5" x14ac:dyDescent="0.2">
      <c r="A24" t="s">
        <v>198</v>
      </c>
      <c r="B24" t="s">
        <v>199</v>
      </c>
      <c r="C24" t="s">
        <v>200</v>
      </c>
      <c r="D24" s="17">
        <f>D23/D18</f>
        <v>0.17870752575465434</v>
      </c>
      <c r="E24" s="10" t="s">
        <v>201</v>
      </c>
    </row>
    <row r="25" spans="1:5" x14ac:dyDescent="0.2">
      <c r="A25" t="s">
        <v>202</v>
      </c>
      <c r="B25" t="s">
        <v>203</v>
      </c>
      <c r="C25" t="s">
        <v>204</v>
      </c>
      <c r="D25" s="18" t="str">
        <f>IF(D24&gt;=1,"OK — non-limiting","LIMITING — raise flow or p_CO2")</f>
        <v>LIMITING — raise flow or p_CO2</v>
      </c>
      <c r="E25" t="s">
        <v>205</v>
      </c>
    </row>
    <row r="27" spans="1:5" x14ac:dyDescent="0.2">
      <c r="A27" s="4" t="s">
        <v>206</v>
      </c>
      <c r="B27" s="5"/>
      <c r="C27" s="5"/>
      <c r="D27" s="5"/>
      <c r="E27" s="5"/>
    </row>
    <row r="28" spans="1:5" x14ac:dyDescent="0.2">
      <c r="A28" s="19" t="s">
        <v>207</v>
      </c>
      <c r="B28" s="19"/>
      <c r="C28" s="19"/>
      <c r="D28" s="19"/>
      <c r="E28" s="19" t="s">
        <v>208</v>
      </c>
    </row>
    <row r="29" spans="1:5" x14ac:dyDescent="0.2">
      <c r="A29" t="s">
        <v>209</v>
      </c>
      <c r="B29" t="s">
        <v>210</v>
      </c>
      <c r="C29" t="s">
        <v>102</v>
      </c>
      <c r="D29" s="20">
        <v>0.5</v>
      </c>
      <c r="E29" s="7" t="s">
        <v>211</v>
      </c>
    </row>
    <row r="30" spans="1:5" x14ac:dyDescent="0.2">
      <c r="A30" t="s">
        <v>212</v>
      </c>
      <c r="B30" t="s">
        <v>213</v>
      </c>
      <c r="C30" t="s">
        <v>214</v>
      </c>
      <c r="D30" s="15">
        <f>D9*(1-D29)*V_work_L</f>
        <v>2.8897091602523201E-2</v>
      </c>
      <c r="E30" s="10" t="s">
        <v>215</v>
      </c>
    </row>
    <row r="31" spans="1:5" x14ac:dyDescent="0.2">
      <c r="A31" t="s">
        <v>216</v>
      </c>
      <c r="B31" t="s">
        <v>217</v>
      </c>
      <c r="C31" t="s">
        <v>218</v>
      </c>
      <c r="D31" s="21">
        <f>D30/D18</f>
        <v>2.1692685452369136</v>
      </c>
      <c r="E31" s="10" t="s">
        <v>219</v>
      </c>
    </row>
    <row r="32" spans="1:5" x14ac:dyDescent="0.2">
      <c r="A32" t="s">
        <v>220</v>
      </c>
      <c r="B32" t="s">
        <v>221</v>
      </c>
      <c r="C32" t="s">
        <v>222</v>
      </c>
      <c r="D32" s="22">
        <f>60/D31</f>
        <v>27.659092799617941</v>
      </c>
      <c r="E32" s="10" t="s">
        <v>223</v>
      </c>
    </row>
    <row r="33" spans="1:5" x14ac:dyDescent="0.2">
      <c r="A33" t="s">
        <v>224</v>
      </c>
      <c r="B33" t="s">
        <v>225</v>
      </c>
      <c r="C33" t="s">
        <v>214</v>
      </c>
      <c r="D33" s="15">
        <f>D30</f>
        <v>2.8897091602523201E-2</v>
      </c>
      <c r="E33" s="10" t="s">
        <v>226</v>
      </c>
    </row>
    <row r="34" spans="1:5" x14ac:dyDescent="0.2">
      <c r="A34" t="s">
        <v>227</v>
      </c>
      <c r="B34" t="s">
        <v>228</v>
      </c>
      <c r="C34" t="s">
        <v>229</v>
      </c>
      <c r="D34" s="21">
        <f>D33/D23*60</f>
        <v>728.31914696701006</v>
      </c>
      <c r="E34" s="10" t="s">
        <v>230</v>
      </c>
    </row>
    <row r="35" spans="1:5" x14ac:dyDescent="0.2">
      <c r="A35" t="s">
        <v>231</v>
      </c>
      <c r="B35" t="s">
        <v>232</v>
      </c>
      <c r="C35" t="s">
        <v>233</v>
      </c>
      <c r="D35" s="23">
        <f>D34/(D31*60)</f>
        <v>5.5957352426941958</v>
      </c>
      <c r="E35" s="10" t="s">
        <v>234</v>
      </c>
    </row>
    <row r="36" spans="1:5" x14ac:dyDescent="0.2">
      <c r="A36" t="s">
        <v>235</v>
      </c>
      <c r="B36" t="s">
        <v>236</v>
      </c>
      <c r="C36" t="s">
        <v>204</v>
      </c>
      <c r="D36" s="18" t="str">
        <f>IF(D35&gt;1,"INFEASIBLE — needs continuous sparge / higher p_CO2","FEASIBLE — pulse OK")</f>
        <v>INFEASIBLE — needs continuous sparge / higher p_CO2</v>
      </c>
      <c r="E36" t="s">
        <v>237</v>
      </c>
    </row>
  </sheetData>
  <mergeCells count="2">
    <mergeCell ref="A1:E1"/>
    <mergeCell ref="A2:E2"/>
  </mergeCells>
  <conditionalFormatting sqref="D25">
    <cfRule type="containsText" dxfId="7" priority="1" operator="containsText" text="OK">
      <formula>NOT(ISERROR(SEARCH("OK",D25)))</formula>
    </cfRule>
    <cfRule type="containsText" dxfId="6" priority="2" operator="containsText" text="LIMITING">
      <formula>NOT(ISERROR(SEARCH("LIMITING",D25)))</formula>
    </cfRule>
  </conditionalFormatting>
  <conditionalFormatting sqref="D36">
    <cfRule type="containsText" dxfId="5" priority="3" operator="containsText" text="FEASIBLE">
      <formula>NOT(ISERROR(SEARCH("FEASIBLE",D36)))</formula>
    </cfRule>
    <cfRule type="containsText" dxfId="4" priority="4" operator="containsText" text="INFEASIBLE">
      <formula>NOT(ISERROR(SEARCH("INFEASIBLE",D36)))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3E1C5-B99C-3A4C-8ADD-B980570B2308}">
  <dimension ref="A1:E31"/>
  <sheetViews>
    <sheetView workbookViewId="0">
      <selection sqref="A1:E1"/>
    </sheetView>
  </sheetViews>
  <sheetFormatPr baseColWidth="10" defaultRowHeight="16" x14ac:dyDescent="0.2"/>
  <cols>
    <col min="1" max="1" width="48.33203125" customWidth="1"/>
    <col min="2" max="2" width="16.6640625" customWidth="1"/>
    <col min="3" max="3" width="13" customWidth="1"/>
    <col min="4" max="4" width="15.83203125" customWidth="1"/>
    <col min="5" max="5" width="71.6640625" customWidth="1"/>
  </cols>
  <sheetData>
    <row r="1" spans="1:5" ht="19" x14ac:dyDescent="0.25">
      <c r="A1" s="51" t="s">
        <v>238</v>
      </c>
      <c r="B1" s="51"/>
      <c r="C1" s="51"/>
      <c r="D1" s="51"/>
      <c r="E1" s="51"/>
    </row>
    <row r="2" spans="1:5" x14ac:dyDescent="0.2">
      <c r="A2" s="50" t="s">
        <v>239</v>
      </c>
      <c r="B2" s="50"/>
      <c r="C2" s="50"/>
      <c r="D2" s="50"/>
      <c r="E2" s="50"/>
    </row>
    <row r="4" spans="1:5" x14ac:dyDescent="0.2">
      <c r="A4" s="2" t="s">
        <v>144</v>
      </c>
      <c r="B4" s="2" t="s">
        <v>145</v>
      </c>
      <c r="C4" s="2" t="s">
        <v>4</v>
      </c>
      <c r="D4" s="3" t="s">
        <v>5</v>
      </c>
      <c r="E4" s="2" t="s">
        <v>146</v>
      </c>
    </row>
    <row r="6" spans="1:5" x14ac:dyDescent="0.2">
      <c r="A6" s="4" t="s">
        <v>240</v>
      </c>
      <c r="B6" s="5"/>
      <c r="C6" s="5"/>
      <c r="D6" s="5"/>
      <c r="E6" s="5"/>
    </row>
    <row r="7" spans="1:5" x14ac:dyDescent="0.2">
      <c r="A7" t="s">
        <v>97</v>
      </c>
      <c r="B7" t="s">
        <v>98</v>
      </c>
      <c r="C7" t="s">
        <v>18</v>
      </c>
      <c r="D7" s="14">
        <f>I_app</f>
        <v>0.1</v>
      </c>
      <c r="E7" t="s">
        <v>241</v>
      </c>
    </row>
    <row r="8" spans="1:5" x14ac:dyDescent="0.2">
      <c r="A8" t="s">
        <v>242</v>
      </c>
      <c r="B8" t="s">
        <v>243</v>
      </c>
      <c r="C8" t="s">
        <v>244</v>
      </c>
      <c r="D8" s="12">
        <f>I_app*eta_F/(z_O2*F_const)*3600</f>
        <v>8.8614810592320045E-4</v>
      </c>
      <c r="E8" s="10" t="s">
        <v>245</v>
      </c>
    </row>
    <row r="9" spans="1:5" x14ac:dyDescent="0.2">
      <c r="A9" t="s">
        <v>246</v>
      </c>
      <c r="B9" t="s">
        <v>247</v>
      </c>
      <c r="C9" t="s">
        <v>248</v>
      </c>
      <c r="D9" s="16">
        <f>D8*M_O2*1000</f>
        <v>28.356739389542415</v>
      </c>
      <c r="E9" s="10" t="s">
        <v>249</v>
      </c>
    </row>
    <row r="10" spans="1:5" x14ac:dyDescent="0.2">
      <c r="A10" t="s">
        <v>250</v>
      </c>
      <c r="B10" t="s">
        <v>251</v>
      </c>
      <c r="C10" t="s">
        <v>252</v>
      </c>
      <c r="D10" s="12">
        <f>I_app*eta_F/(z_H2*F_const)*3600</f>
        <v>1.7722962118464009E-3</v>
      </c>
      <c r="E10" s="10" t="s">
        <v>253</v>
      </c>
    </row>
    <row r="12" spans="1:5" x14ac:dyDescent="0.2">
      <c r="A12" s="4" t="s">
        <v>254</v>
      </c>
      <c r="B12" s="5"/>
      <c r="C12" s="5"/>
      <c r="D12" s="5"/>
      <c r="E12" s="5"/>
    </row>
    <row r="13" spans="1:5" x14ac:dyDescent="0.2">
      <c r="A13" t="s">
        <v>255</v>
      </c>
      <c r="B13" t="s">
        <v>256</v>
      </c>
      <c r="C13" t="s">
        <v>169</v>
      </c>
      <c r="D13" s="15">
        <f>mu*X_conc*V_work_L</f>
        <v>0.02</v>
      </c>
      <c r="E13" s="10" t="s">
        <v>257</v>
      </c>
    </row>
    <row r="14" spans="1:5" x14ac:dyDescent="0.2">
      <c r="A14" t="s">
        <v>258</v>
      </c>
      <c r="B14" t="s">
        <v>259</v>
      </c>
      <c r="C14" t="s">
        <v>244</v>
      </c>
      <c r="D14" s="12">
        <f>D13*Y_O2</f>
        <v>8.0000000000000004E-4</v>
      </c>
      <c r="E14" s="10" t="s">
        <v>260</v>
      </c>
    </row>
    <row r="16" spans="1:5" x14ac:dyDescent="0.2">
      <c r="A16" s="4" t="s">
        <v>261</v>
      </c>
      <c r="B16" s="5"/>
      <c r="C16" s="5"/>
      <c r="D16" s="5"/>
      <c r="E16" s="5"/>
    </row>
    <row r="17" spans="1:5" x14ac:dyDescent="0.2">
      <c r="A17" t="s">
        <v>262</v>
      </c>
      <c r="B17" t="s">
        <v>263</v>
      </c>
      <c r="C17" t="s">
        <v>244</v>
      </c>
      <c r="D17" s="12">
        <f>D8-D14</f>
        <v>8.6148105923200416E-5</v>
      </c>
      <c r="E17" s="10" t="s">
        <v>264</v>
      </c>
    </row>
    <row r="18" spans="1:5" x14ac:dyDescent="0.2">
      <c r="A18" t="s">
        <v>265</v>
      </c>
      <c r="B18" t="s">
        <v>266</v>
      </c>
      <c r="C18" t="s">
        <v>248</v>
      </c>
      <c r="D18" s="16">
        <f>D17*M_O2*1000</f>
        <v>2.7567393895424135</v>
      </c>
      <c r="E18" s="10" t="s">
        <v>267</v>
      </c>
    </row>
    <row r="19" spans="1:5" x14ac:dyDescent="0.2">
      <c r="A19" t="s">
        <v>268</v>
      </c>
      <c r="B19" t="s">
        <v>269</v>
      </c>
      <c r="C19" t="s">
        <v>90</v>
      </c>
      <c r="D19" s="21">
        <f>DO_inhib</f>
        <v>50</v>
      </c>
      <c r="E19" s="7" t="s">
        <v>270</v>
      </c>
    </row>
    <row r="20" spans="1:5" x14ac:dyDescent="0.2">
      <c r="A20" t="s">
        <v>271</v>
      </c>
      <c r="B20" t="s">
        <v>272</v>
      </c>
      <c r="C20" t="s">
        <v>273</v>
      </c>
      <c r="D20" s="14">
        <f>DO_inhib*V_work_L</f>
        <v>1</v>
      </c>
      <c r="E20" s="10" t="s">
        <v>274</v>
      </c>
    </row>
    <row r="21" spans="1:5" x14ac:dyDescent="0.2">
      <c r="A21" t="s">
        <v>275</v>
      </c>
      <c r="B21" t="s">
        <v>276</v>
      </c>
      <c r="C21" t="s">
        <v>218</v>
      </c>
      <c r="D21" s="22">
        <f>IF(D17&lt;=0,"never (net≤0)",D20/(D17*1000000)*60)</f>
        <v>0.69647497593840291</v>
      </c>
      <c r="E21" s="10" t="s">
        <v>277</v>
      </c>
    </row>
    <row r="22" spans="1:5" x14ac:dyDescent="0.2">
      <c r="A22" t="s">
        <v>278</v>
      </c>
      <c r="B22" t="s">
        <v>279</v>
      </c>
      <c r="C22" t="s">
        <v>244</v>
      </c>
      <c r="D22" s="12">
        <f>MAX(0,D17)</f>
        <v>8.6148105923200416E-5</v>
      </c>
      <c r="E22" t="s">
        <v>280</v>
      </c>
    </row>
    <row r="24" spans="1:5" x14ac:dyDescent="0.2">
      <c r="A24" s="4" t="s">
        <v>281</v>
      </c>
      <c r="B24" s="5"/>
      <c r="C24" s="5"/>
      <c r="D24" s="5"/>
      <c r="E24" s="5"/>
    </row>
    <row r="25" spans="1:5" x14ac:dyDescent="0.2">
      <c r="A25" t="s">
        <v>282</v>
      </c>
      <c r="B25" t="s">
        <v>283</v>
      </c>
      <c r="C25" t="s">
        <v>115</v>
      </c>
      <c r="D25" s="12">
        <f>H_O2_ref*EXP(H_O2_T*(1/T_K-1/T_ref))</f>
        <v>1.1964814616913177E-5</v>
      </c>
      <c r="E25" t="s">
        <v>149</v>
      </c>
    </row>
    <row r="26" spans="1:5" x14ac:dyDescent="0.2">
      <c r="A26" t="s">
        <v>284</v>
      </c>
      <c r="B26" t="s">
        <v>285</v>
      </c>
      <c r="C26" t="s">
        <v>156</v>
      </c>
      <c r="D26" s="14">
        <f>DO_inhib/1000</f>
        <v>0.05</v>
      </c>
      <c r="E26" s="10" t="s">
        <v>286</v>
      </c>
    </row>
    <row r="27" spans="1:5" x14ac:dyDescent="0.2">
      <c r="A27" t="s">
        <v>287</v>
      </c>
      <c r="B27" t="s">
        <v>288</v>
      </c>
      <c r="C27" t="s">
        <v>152</v>
      </c>
      <c r="D27" s="13">
        <f>D26/D25</f>
        <v>4178.9197409980088</v>
      </c>
      <c r="E27" s="10" t="s">
        <v>289</v>
      </c>
    </row>
    <row r="28" spans="1:5" x14ac:dyDescent="0.2">
      <c r="A28" t="s">
        <v>290</v>
      </c>
      <c r="B28" t="s">
        <v>291</v>
      </c>
      <c r="C28" t="s">
        <v>292</v>
      </c>
      <c r="D28" s="12">
        <f>(P_tot*1000*Q_gas/1000000/1000)/(R_gas*T_K)*3600</f>
        <v>1.4472765336114176E-3</v>
      </c>
      <c r="E28" t="s">
        <v>293</v>
      </c>
    </row>
    <row r="29" spans="1:5" x14ac:dyDescent="0.2">
      <c r="A29" t="s">
        <v>294</v>
      </c>
      <c r="B29" t="s">
        <v>295</v>
      </c>
      <c r="C29" t="s">
        <v>244</v>
      </c>
      <c r="D29" s="12">
        <f>D28*(D27/(P_tot*1000))</f>
        <v>5.9689637078627405E-5</v>
      </c>
      <c r="E29" s="10" t="s">
        <v>296</v>
      </c>
    </row>
    <row r="30" spans="1:5" x14ac:dyDescent="0.2">
      <c r="A30" t="s">
        <v>297</v>
      </c>
      <c r="B30" t="s">
        <v>298</v>
      </c>
      <c r="C30" t="s">
        <v>200</v>
      </c>
      <c r="D30" s="24">
        <f>IF(D22=0,"n/a (no net O2)",D29/D22)</f>
        <v>0.69287230913515041</v>
      </c>
      <c r="E30" s="10" t="s">
        <v>299</v>
      </c>
    </row>
    <row r="31" spans="1:5" x14ac:dyDescent="0.2">
      <c r="A31" s="1" t="s">
        <v>300</v>
      </c>
      <c r="B31" t="s">
        <v>301</v>
      </c>
      <c r="C31" t="s">
        <v>204</v>
      </c>
      <c r="D31" s="18" t="str">
        <f>IF(D22=0,"OK — net O2 ≤0, no stripping needed",IF(D29&gt;=D22,"OK — sparge strips enough","O2-INHIBITED — stripping insufficient"))</f>
        <v>O2-INHIBITED — stripping insufficient</v>
      </c>
      <c r="E31" t="s">
        <v>302</v>
      </c>
    </row>
  </sheetData>
  <mergeCells count="2">
    <mergeCell ref="A1:E1"/>
    <mergeCell ref="A2:E2"/>
  </mergeCells>
  <conditionalFormatting sqref="D31">
    <cfRule type="containsText" dxfId="3" priority="1" operator="containsText" text="OK">
      <formula>NOT(ISERROR(SEARCH("OK",D31)))</formula>
    </cfRule>
    <cfRule type="containsText" dxfId="2" priority="2" operator="containsText" text="INHIBITED">
      <formula>NOT(ISERROR(SEARCH("INHIBITED",D31)))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4F517-9B7A-6B44-9752-A9A9C58DAB54}">
  <dimension ref="A1:H27"/>
  <sheetViews>
    <sheetView workbookViewId="0">
      <selection sqref="A1:H1"/>
    </sheetView>
  </sheetViews>
  <sheetFormatPr baseColWidth="10" defaultRowHeight="16" x14ac:dyDescent="0.2"/>
  <cols>
    <col min="1" max="1" width="15.83203125" customWidth="1"/>
    <col min="2" max="8" width="11.6640625" customWidth="1"/>
  </cols>
  <sheetData>
    <row r="1" spans="1:8" ht="19" x14ac:dyDescent="0.25">
      <c r="A1" s="51" t="s">
        <v>303</v>
      </c>
      <c r="B1" s="51"/>
      <c r="C1" s="51"/>
      <c r="D1" s="51"/>
      <c r="E1" s="51"/>
      <c r="F1" s="51"/>
      <c r="G1" s="51"/>
      <c r="H1" s="51"/>
    </row>
    <row r="2" spans="1:8" x14ac:dyDescent="0.2">
      <c r="A2" s="50" t="s">
        <v>304</v>
      </c>
      <c r="B2" s="50"/>
      <c r="C2" s="50"/>
      <c r="D2" s="50"/>
      <c r="E2" s="50"/>
      <c r="F2" s="50"/>
      <c r="G2" s="50"/>
      <c r="H2" s="50"/>
    </row>
    <row r="4" spans="1:8" x14ac:dyDescent="0.2">
      <c r="A4" s="4" t="s">
        <v>305</v>
      </c>
    </row>
    <row r="5" spans="1:8" x14ac:dyDescent="0.2">
      <c r="A5" s="19" t="s">
        <v>306</v>
      </c>
    </row>
    <row r="6" spans="1:8" x14ac:dyDescent="0.2">
      <c r="A6" s="25" t="s">
        <v>307</v>
      </c>
      <c r="B6" s="26">
        <f>mu*0.4</f>
        <v>0.1</v>
      </c>
      <c r="C6" s="26">
        <f>mu*0.7</f>
        <v>0.17499999999999999</v>
      </c>
      <c r="D6" s="26">
        <f>mu*0.85</f>
        <v>0.21249999999999999</v>
      </c>
      <c r="E6" s="27">
        <f>mu</f>
        <v>0.25</v>
      </c>
      <c r="F6" s="26">
        <f>mu*1.15</f>
        <v>0.28749999999999998</v>
      </c>
      <c r="G6" s="26">
        <f>mu*1.3</f>
        <v>0.32500000000000001</v>
      </c>
      <c r="H6" s="26">
        <f>mu*1.6</f>
        <v>0.4</v>
      </c>
    </row>
    <row r="7" spans="1:8" x14ac:dyDescent="0.2">
      <c r="A7" s="28">
        <f>Q_gas*0.2</f>
        <v>2</v>
      </c>
      <c r="B7" s="31">
        <f t="shared" ref="B7:H13" si="0">((P_tot*1000*$A7/1000000/1000)/(R_gas*T_K)*60*(p_CO2/P_tot)*1000)/(B$6*X_conc*V_work_L*C_frac/12.011/60*1000)</f>
        <v>8.9353762877327159E-2</v>
      </c>
      <c r="C7" s="31">
        <f t="shared" si="0"/>
        <v>5.1059293072758395E-2</v>
      </c>
      <c r="D7" s="31">
        <f t="shared" si="0"/>
        <v>4.2048829589330428E-2</v>
      </c>
      <c r="E7" s="31">
        <f t="shared" si="0"/>
        <v>3.5741505150930872E-2</v>
      </c>
      <c r="F7" s="31">
        <f t="shared" si="0"/>
        <v>3.1079569696461622E-2</v>
      </c>
      <c r="G7" s="31">
        <f t="shared" si="0"/>
        <v>2.749346550071605E-2</v>
      </c>
      <c r="H7" s="31">
        <f t="shared" si="0"/>
        <v>2.233844071933179E-2</v>
      </c>
    </row>
    <row r="8" spans="1:8" x14ac:dyDescent="0.2">
      <c r="A8" s="28">
        <f>Q_gas*0.5</f>
        <v>5</v>
      </c>
      <c r="B8" s="31">
        <f t="shared" si="0"/>
        <v>0.2233844071933179</v>
      </c>
      <c r="C8" s="31">
        <f t="shared" si="0"/>
        <v>0.12764823268189598</v>
      </c>
      <c r="D8" s="31">
        <f t="shared" si="0"/>
        <v>0.10512207397332606</v>
      </c>
      <c r="E8" s="31">
        <f t="shared" si="0"/>
        <v>8.9353762877327172E-2</v>
      </c>
      <c r="F8" s="31">
        <f t="shared" si="0"/>
        <v>7.7698924241154044E-2</v>
      </c>
      <c r="G8" s="31">
        <f t="shared" si="0"/>
        <v>6.8733663751790131E-2</v>
      </c>
      <c r="H8" s="31">
        <f t="shared" si="0"/>
        <v>5.5846101798329474E-2</v>
      </c>
    </row>
    <row r="9" spans="1:8" ht="17" thickBot="1" x14ac:dyDescent="0.25">
      <c r="A9" s="28">
        <f>Q_gas*0.75</f>
        <v>7.5</v>
      </c>
      <c r="B9" s="31">
        <f t="shared" si="0"/>
        <v>0.33507661078997691</v>
      </c>
      <c r="C9" s="31">
        <f t="shared" si="0"/>
        <v>0.19147234902284399</v>
      </c>
      <c r="D9" s="31">
        <f t="shared" si="0"/>
        <v>0.1576831109599891</v>
      </c>
      <c r="E9" s="31">
        <f t="shared" si="0"/>
        <v>0.13403064431599077</v>
      </c>
      <c r="F9" s="31">
        <f t="shared" si="0"/>
        <v>0.11654838636173109</v>
      </c>
      <c r="G9" s="31">
        <f t="shared" si="0"/>
        <v>0.10310049562768521</v>
      </c>
      <c r="H9" s="31">
        <f t="shared" si="0"/>
        <v>8.3769152697494229E-2</v>
      </c>
    </row>
    <row r="10" spans="1:8" ht="18" thickTop="1" thickBot="1" x14ac:dyDescent="0.25">
      <c r="A10" s="29">
        <f>Q_gas</f>
        <v>10</v>
      </c>
      <c r="B10" s="31">
        <f t="shared" si="0"/>
        <v>0.44676881438663579</v>
      </c>
      <c r="C10" s="31">
        <f t="shared" si="0"/>
        <v>0.25529646536379197</v>
      </c>
      <c r="D10" s="31">
        <f t="shared" si="0"/>
        <v>0.21024414794665211</v>
      </c>
      <c r="E10" s="32">
        <f t="shared" si="0"/>
        <v>0.17870752575465434</v>
      </c>
      <c r="F10" s="31">
        <f t="shared" si="0"/>
        <v>0.15539784848230809</v>
      </c>
      <c r="G10" s="31">
        <f t="shared" si="0"/>
        <v>0.13746732750358026</v>
      </c>
      <c r="H10" s="31">
        <f t="shared" si="0"/>
        <v>0.11169220359665895</v>
      </c>
    </row>
    <row r="11" spans="1:8" ht="17" thickTop="1" x14ac:dyDescent="0.2">
      <c r="A11" s="28">
        <f>Q_gas*1.5</f>
        <v>15</v>
      </c>
      <c r="B11" s="31">
        <f t="shared" si="0"/>
        <v>0.67015322157995383</v>
      </c>
      <c r="C11" s="31">
        <f t="shared" si="0"/>
        <v>0.38294469804568798</v>
      </c>
      <c r="D11" s="31">
        <f t="shared" si="0"/>
        <v>0.31536622191997821</v>
      </c>
      <c r="E11" s="31">
        <f t="shared" si="0"/>
        <v>0.26806128863198153</v>
      </c>
      <c r="F11" s="31">
        <f t="shared" si="0"/>
        <v>0.23309677272346219</v>
      </c>
      <c r="G11" s="31">
        <f t="shared" si="0"/>
        <v>0.20620099125537042</v>
      </c>
      <c r="H11" s="31">
        <f t="shared" si="0"/>
        <v>0.16753830539498846</v>
      </c>
    </row>
    <row r="12" spans="1:8" x14ac:dyDescent="0.2">
      <c r="A12" s="28">
        <f>Q_gas*2</f>
        <v>20</v>
      </c>
      <c r="B12" s="31">
        <f t="shared" si="0"/>
        <v>0.89353762877327159</v>
      </c>
      <c r="C12" s="31">
        <f t="shared" si="0"/>
        <v>0.51059293072758394</v>
      </c>
      <c r="D12" s="31">
        <f t="shared" si="0"/>
        <v>0.42048829589330422</v>
      </c>
      <c r="E12" s="31">
        <f t="shared" si="0"/>
        <v>0.35741505150930869</v>
      </c>
      <c r="F12" s="31">
        <f t="shared" si="0"/>
        <v>0.31079569696461617</v>
      </c>
      <c r="G12" s="31">
        <f t="shared" si="0"/>
        <v>0.27493465500716052</v>
      </c>
      <c r="H12" s="31">
        <f t="shared" si="0"/>
        <v>0.2233844071933179</v>
      </c>
    </row>
    <row r="13" spans="1:8" x14ac:dyDescent="0.2">
      <c r="A13" s="28">
        <f>Q_gas*3</f>
        <v>30</v>
      </c>
      <c r="B13" s="31">
        <f t="shared" si="0"/>
        <v>1.3403064431599077</v>
      </c>
      <c r="C13" s="31">
        <f t="shared" si="0"/>
        <v>0.76588939609137596</v>
      </c>
      <c r="D13" s="31">
        <f t="shared" si="0"/>
        <v>0.63073244383995641</v>
      </c>
      <c r="E13" s="31">
        <f t="shared" si="0"/>
        <v>0.53612257726396306</v>
      </c>
      <c r="F13" s="31">
        <f t="shared" si="0"/>
        <v>0.46619354544692437</v>
      </c>
      <c r="G13" s="31">
        <f t="shared" si="0"/>
        <v>0.41240198251074084</v>
      </c>
      <c r="H13" s="31">
        <f t="shared" si="0"/>
        <v>0.33507661078997691</v>
      </c>
    </row>
    <row r="16" spans="1:8" x14ac:dyDescent="0.2">
      <c r="A16" s="4" t="s">
        <v>308</v>
      </c>
    </row>
    <row r="17" spans="1:8" x14ac:dyDescent="0.2">
      <c r="A17" s="19" t="s">
        <v>309</v>
      </c>
    </row>
    <row r="18" spans="1:8" x14ac:dyDescent="0.2">
      <c r="A18" s="25" t="s">
        <v>310</v>
      </c>
      <c r="B18" s="33">
        <f>j*0.4</f>
        <v>40</v>
      </c>
      <c r="C18" s="33">
        <f>j*0.7</f>
        <v>70</v>
      </c>
      <c r="D18" s="33">
        <f>j*0.85</f>
        <v>85</v>
      </c>
      <c r="E18" s="34">
        <f>j</f>
        <v>100</v>
      </c>
      <c r="F18" s="33">
        <f>j*1.15</f>
        <v>114.99999999999999</v>
      </c>
      <c r="G18" s="33">
        <f>j*1.3</f>
        <v>130</v>
      </c>
      <c r="H18" s="33">
        <f>j*1.6</f>
        <v>160</v>
      </c>
    </row>
    <row r="19" spans="1:8" x14ac:dyDescent="0.2">
      <c r="A19" s="28">
        <f>Q_gas*0.2</f>
        <v>2</v>
      </c>
      <c r="B19" s="31">
        <f t="shared" ref="B19:H25" si="1">MIN(5,((P_tot*1000*$A19/1000000/1000)/(R_gas*T_K)*3600*(((DO_inhib/1000)/(H_O2_ref*EXP(H_O2_T*(1/T_K-1/T_ref))))/(P_tot*1000)))/MAX(0.000000000001,(B$18*A_elec_m2*eta_F/(z_O2*F_const)*3600)-(mu*X_conc*V_work_L*Y_O2)))</f>
        <v>5</v>
      </c>
      <c r="C19" s="31">
        <f t="shared" si="1"/>
        <v>5</v>
      </c>
      <c r="D19" s="31">
        <f t="shared" si="1"/>
        <v>5</v>
      </c>
      <c r="E19" s="31">
        <f t="shared" si="1"/>
        <v>0.13857446182703009</v>
      </c>
      <c r="F19" s="31">
        <f t="shared" si="1"/>
        <v>5.4493585972762132E-2</v>
      </c>
      <c r="G19" s="31">
        <f t="shared" si="1"/>
        <v>3.391528551634982E-2</v>
      </c>
      <c r="H19" s="31">
        <f t="shared" si="1"/>
        <v>1.9322131898045245E-2</v>
      </c>
    </row>
    <row r="20" spans="1:8" x14ac:dyDescent="0.2">
      <c r="A20" s="28">
        <f>Q_gas*0.5</f>
        <v>5</v>
      </c>
      <c r="B20" s="31">
        <f t="shared" si="1"/>
        <v>5</v>
      </c>
      <c r="C20" s="31">
        <f t="shared" si="1"/>
        <v>5</v>
      </c>
      <c r="D20" s="31">
        <f t="shared" si="1"/>
        <v>5</v>
      </c>
      <c r="E20" s="31">
        <f t="shared" si="1"/>
        <v>0.34643615456757521</v>
      </c>
      <c r="F20" s="31">
        <f t="shared" si="1"/>
        <v>0.13623396493190534</v>
      </c>
      <c r="G20" s="31">
        <f t="shared" si="1"/>
        <v>8.4788213790874561E-2</v>
      </c>
      <c r="H20" s="31">
        <f t="shared" si="1"/>
        <v>4.8305329745113111E-2</v>
      </c>
    </row>
    <row r="21" spans="1:8" ht="17" thickBot="1" x14ac:dyDescent="0.25">
      <c r="A21" s="28">
        <f>Q_gas*0.75</f>
        <v>7.5</v>
      </c>
      <c r="B21" s="31">
        <f t="shared" si="1"/>
        <v>5</v>
      </c>
      <c r="C21" s="31">
        <f t="shared" si="1"/>
        <v>5</v>
      </c>
      <c r="D21" s="31">
        <f t="shared" si="1"/>
        <v>5</v>
      </c>
      <c r="E21" s="31">
        <f t="shared" si="1"/>
        <v>0.51965423185136272</v>
      </c>
      <c r="F21" s="31">
        <f t="shared" si="1"/>
        <v>0.20435094739785797</v>
      </c>
      <c r="G21" s="31">
        <f t="shared" si="1"/>
        <v>0.12718232068631183</v>
      </c>
      <c r="H21" s="31">
        <f t="shared" si="1"/>
        <v>7.2457994617669663E-2</v>
      </c>
    </row>
    <row r="22" spans="1:8" ht="18" thickTop="1" thickBot="1" x14ac:dyDescent="0.25">
      <c r="A22" s="29">
        <f>Q_gas</f>
        <v>10</v>
      </c>
      <c r="B22" s="31">
        <f t="shared" si="1"/>
        <v>5</v>
      </c>
      <c r="C22" s="31">
        <f t="shared" si="1"/>
        <v>5</v>
      </c>
      <c r="D22" s="31">
        <f t="shared" si="1"/>
        <v>5</v>
      </c>
      <c r="E22" s="32">
        <f t="shared" si="1"/>
        <v>0.69287230913515041</v>
      </c>
      <c r="F22" s="31">
        <f t="shared" si="1"/>
        <v>0.27246792986381069</v>
      </c>
      <c r="G22" s="31">
        <f t="shared" si="1"/>
        <v>0.16957642758174912</v>
      </c>
      <c r="H22" s="31">
        <f t="shared" si="1"/>
        <v>9.6610659490226222E-2</v>
      </c>
    </row>
    <row r="23" spans="1:8" ht="17" thickTop="1" x14ac:dyDescent="0.2">
      <c r="A23" s="28">
        <f>Q_gas*1.5</f>
        <v>15</v>
      </c>
      <c r="B23" s="31">
        <f t="shared" si="1"/>
        <v>5</v>
      </c>
      <c r="C23" s="31">
        <f t="shared" si="1"/>
        <v>5</v>
      </c>
      <c r="D23" s="31">
        <f t="shared" si="1"/>
        <v>5</v>
      </c>
      <c r="E23" s="31">
        <f t="shared" si="1"/>
        <v>1.0393084637027254</v>
      </c>
      <c r="F23" s="31">
        <f t="shared" si="1"/>
        <v>0.40870189479571595</v>
      </c>
      <c r="G23" s="31">
        <f t="shared" si="1"/>
        <v>0.25436464137262366</v>
      </c>
      <c r="H23" s="31">
        <f t="shared" si="1"/>
        <v>0.14491598923533933</v>
      </c>
    </row>
    <row r="24" spans="1:8" x14ac:dyDescent="0.2">
      <c r="A24" s="28">
        <f>Q_gas*2</f>
        <v>20</v>
      </c>
      <c r="B24" s="31">
        <f t="shared" si="1"/>
        <v>5</v>
      </c>
      <c r="C24" s="31">
        <f t="shared" si="1"/>
        <v>5</v>
      </c>
      <c r="D24" s="31">
        <f t="shared" si="1"/>
        <v>5</v>
      </c>
      <c r="E24" s="31">
        <f t="shared" si="1"/>
        <v>1.3857446182703008</v>
      </c>
      <c r="F24" s="31">
        <f t="shared" si="1"/>
        <v>0.54493585972762137</v>
      </c>
      <c r="G24" s="31">
        <f t="shared" si="1"/>
        <v>0.33915285516349825</v>
      </c>
      <c r="H24" s="31">
        <f t="shared" si="1"/>
        <v>0.19322131898045244</v>
      </c>
    </row>
    <row r="25" spans="1:8" x14ac:dyDescent="0.2">
      <c r="A25" s="28">
        <f>Q_gas*3</f>
        <v>30</v>
      </c>
      <c r="B25" s="31">
        <f t="shared" si="1"/>
        <v>5</v>
      </c>
      <c r="C25" s="31">
        <f t="shared" si="1"/>
        <v>5</v>
      </c>
      <c r="D25" s="31">
        <f t="shared" si="1"/>
        <v>5</v>
      </c>
      <c r="E25" s="31">
        <f t="shared" si="1"/>
        <v>2.0786169274054509</v>
      </c>
      <c r="F25" s="31">
        <f t="shared" si="1"/>
        <v>0.8174037895914319</v>
      </c>
      <c r="G25" s="31">
        <f t="shared" si="1"/>
        <v>0.50872928274524731</v>
      </c>
      <c r="H25" s="31">
        <f t="shared" si="1"/>
        <v>0.28983197847067865</v>
      </c>
    </row>
    <row r="27" spans="1:8" x14ac:dyDescent="0.2">
      <c r="A27" s="19" t="s">
        <v>311</v>
      </c>
    </row>
  </sheetData>
  <mergeCells count="2">
    <mergeCell ref="A1:H1"/>
    <mergeCell ref="A2:H2"/>
  </mergeCells>
  <conditionalFormatting sqref="B7:H13">
    <cfRule type="colorScale" priority="1">
      <colorScale>
        <cfvo type="min"/>
        <cfvo type="num" val="1"/>
        <cfvo type="max"/>
        <color rgb="FFF8696B"/>
        <color rgb="FFFFEB84"/>
        <color rgb="FF63BE7B"/>
      </colorScale>
    </cfRule>
  </conditionalFormatting>
  <conditionalFormatting sqref="B19:H25">
    <cfRule type="colorScale" priority="2">
      <colorScale>
        <cfvo type="min"/>
        <cfvo type="num" val="1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496B1-7D2B-5344-8C1E-2AA8D9DAC253}">
  <dimension ref="A1:G18"/>
  <sheetViews>
    <sheetView workbookViewId="0">
      <selection sqref="A1:G1"/>
    </sheetView>
  </sheetViews>
  <sheetFormatPr baseColWidth="10" defaultRowHeight="16" x14ac:dyDescent="0.2"/>
  <cols>
    <col min="1" max="1" width="35" customWidth="1"/>
    <col min="2" max="6" width="13" customWidth="1"/>
    <col min="7" max="7" width="71.6640625" customWidth="1"/>
  </cols>
  <sheetData>
    <row r="1" spans="1:7" ht="19" x14ac:dyDescent="0.25">
      <c r="A1" s="51" t="s">
        <v>312</v>
      </c>
      <c r="B1" s="51"/>
      <c r="C1" s="51"/>
      <c r="D1" s="51"/>
      <c r="E1" s="51"/>
      <c r="F1" s="51"/>
      <c r="G1" s="51"/>
    </row>
    <row r="2" spans="1:7" x14ac:dyDescent="0.2">
      <c r="A2" s="50" t="s">
        <v>313</v>
      </c>
      <c r="B2" s="50"/>
      <c r="C2" s="50"/>
      <c r="D2" s="50"/>
      <c r="E2" s="50"/>
      <c r="F2" s="50"/>
      <c r="G2" s="50"/>
    </row>
    <row r="4" spans="1:7" x14ac:dyDescent="0.2">
      <c r="A4" s="2" t="s">
        <v>314</v>
      </c>
      <c r="B4" s="25" t="s">
        <v>315</v>
      </c>
      <c r="C4" s="25" t="s">
        <v>316</v>
      </c>
      <c r="D4" s="25" t="s">
        <v>317</v>
      </c>
      <c r="E4" s="25" t="s">
        <v>318</v>
      </c>
      <c r="F4" s="25" t="s">
        <v>319</v>
      </c>
      <c r="G4" s="25" t="s">
        <v>320</v>
      </c>
    </row>
    <row r="5" spans="1:7" ht="34" x14ac:dyDescent="0.2">
      <c r="A5" t="s">
        <v>321</v>
      </c>
      <c r="B5" s="36">
        <v>0.2</v>
      </c>
      <c r="C5" s="35">
        <v>4</v>
      </c>
      <c r="D5" s="35">
        <v>4</v>
      </c>
      <c r="E5" s="31">
        <f>B5*C5</f>
        <v>0.8</v>
      </c>
      <c r="F5" s="31">
        <f>B5*D5</f>
        <v>0.8</v>
      </c>
      <c r="G5" s="41" t="s">
        <v>322</v>
      </c>
    </row>
    <row r="6" spans="1:7" ht="34" x14ac:dyDescent="0.2">
      <c r="A6" t="s">
        <v>323</v>
      </c>
      <c r="B6" s="36">
        <v>0.25</v>
      </c>
      <c r="C6" s="35">
        <v>5</v>
      </c>
      <c r="D6" s="35">
        <v>3</v>
      </c>
      <c r="E6" s="31">
        <f>B6*C6</f>
        <v>1.25</v>
      </c>
      <c r="F6" s="31">
        <f>B6*D6</f>
        <v>0.75</v>
      </c>
      <c r="G6" s="41" t="s">
        <v>324</v>
      </c>
    </row>
    <row r="7" spans="1:7" ht="34" x14ac:dyDescent="0.2">
      <c r="A7" t="s">
        <v>325</v>
      </c>
      <c r="B7" s="36">
        <v>0.2</v>
      </c>
      <c r="C7" s="35">
        <v>4</v>
      </c>
      <c r="D7" s="35">
        <v>2</v>
      </c>
      <c r="E7" s="31">
        <f>B7*C7</f>
        <v>0.8</v>
      </c>
      <c r="F7" s="31">
        <f>B7*D7</f>
        <v>0.4</v>
      </c>
      <c r="G7" s="41" t="s">
        <v>326</v>
      </c>
    </row>
    <row r="8" spans="1:7" ht="34" x14ac:dyDescent="0.2">
      <c r="A8" t="s">
        <v>327</v>
      </c>
      <c r="B8" s="36">
        <v>0.2</v>
      </c>
      <c r="C8" s="35">
        <v>3</v>
      </c>
      <c r="D8" s="35">
        <v>4</v>
      </c>
      <c r="E8" s="31">
        <f>B8*C8</f>
        <v>0.60000000000000009</v>
      </c>
      <c r="F8" s="31">
        <f>B8*D8</f>
        <v>0.8</v>
      </c>
      <c r="G8" s="41" t="s">
        <v>328</v>
      </c>
    </row>
    <row r="9" spans="1:7" ht="34" x14ac:dyDescent="0.2">
      <c r="A9" t="s">
        <v>329</v>
      </c>
      <c r="B9" s="36">
        <v>0.15</v>
      </c>
      <c r="C9" s="35">
        <v>4</v>
      </c>
      <c r="D9" s="35">
        <v>3</v>
      </c>
      <c r="E9" s="31">
        <f>B9*C9</f>
        <v>0.6</v>
      </c>
      <c r="F9" s="31">
        <f>B9*D9</f>
        <v>0.44999999999999996</v>
      </c>
      <c r="G9" s="41" t="s">
        <v>330</v>
      </c>
    </row>
    <row r="11" spans="1:7" x14ac:dyDescent="0.2">
      <c r="A11" s="1" t="s">
        <v>331</v>
      </c>
      <c r="B11" s="37">
        <f>SUM(B5:B9)</f>
        <v>1</v>
      </c>
      <c r="C11" s="38"/>
      <c r="D11" s="38"/>
    </row>
    <row r="12" spans="1:7" x14ac:dyDescent="0.2">
      <c r="A12" s="1" t="s">
        <v>332</v>
      </c>
      <c r="E12" s="39">
        <f>SUM(E5:E9)</f>
        <v>4.05</v>
      </c>
      <c r="F12" s="39">
        <f>SUM(F5:F9)</f>
        <v>3.2</v>
      </c>
    </row>
    <row r="14" spans="1:7" x14ac:dyDescent="0.2">
      <c r="A14" s="1" t="s">
        <v>333</v>
      </c>
      <c r="E14" s="40">
        <f>E12-F12</f>
        <v>0.84999999999999964</v>
      </c>
    </row>
    <row r="16" spans="1:7" x14ac:dyDescent="0.2">
      <c r="A16" s="55" t="s">
        <v>334</v>
      </c>
      <c r="B16" s="55"/>
      <c r="C16" s="55"/>
      <c r="D16" s="55"/>
      <c r="E16" s="55"/>
      <c r="F16" s="55"/>
      <c r="G16" s="55"/>
    </row>
    <row r="17" spans="1:7" x14ac:dyDescent="0.2">
      <c r="A17" s="52" t="str">
        <f>IF(ABS(B11-1)&gt;0.001,"⚠ Fix weights — must sum to 100% before reading the verdict",IF(E12-F12&gt;=0.5,"GO — adopt Na₂CO₃: clear weighted advantage. Pilot at working molarity and confirm cell tolerance to pH 9–10.",IF(E12-F12&gt;0,"CONDITIONAL GO — Na₂CO₃ marginally ahead; trial side-by-side before committing.","NO-GO — retain current electrolyte; Na₂CO₃ does not outscore it on the weighted criteria.")))</f>
        <v>GO — adopt Na₂CO₃: clear weighted advantage. Pilot at working molarity and confirm cell tolerance to pH 9–10.</v>
      </c>
      <c r="B17" s="53"/>
      <c r="C17" s="53"/>
      <c r="D17" s="53"/>
      <c r="E17" s="53"/>
      <c r="F17" s="53"/>
      <c r="G17" s="53"/>
    </row>
    <row r="18" spans="1:7" x14ac:dyDescent="0.2">
      <c r="A18" s="54" t="s">
        <v>335</v>
      </c>
      <c r="B18" s="54"/>
      <c r="C18" s="54"/>
      <c r="D18" s="54"/>
      <c r="E18" s="54"/>
      <c r="F18" s="54"/>
      <c r="G18" s="54"/>
    </row>
  </sheetData>
  <mergeCells count="5">
    <mergeCell ref="A1:G1"/>
    <mergeCell ref="A2:G2"/>
    <mergeCell ref="A17:G17"/>
    <mergeCell ref="A18:G18"/>
    <mergeCell ref="A16:G16"/>
  </mergeCells>
  <conditionalFormatting sqref="A17">
    <cfRule type="containsText" dxfId="1" priority="1" operator="containsText" text="GO — adopt">
      <formula>NOT(ISERROR(SEARCH("GO — adopt",A17)))</formula>
    </cfRule>
    <cfRule type="containsText" dxfId="0" priority="2" operator="containsText" text="NO-GO">
      <formula>NOT(ISERROR(SEARCH("NO-GO",A17)))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8BDC7-706B-2542-BE86-F0705791DB98}">
  <dimension ref="A1:E36"/>
  <sheetViews>
    <sheetView workbookViewId="0">
      <selection sqref="A1:E1"/>
    </sheetView>
  </sheetViews>
  <sheetFormatPr baseColWidth="10" defaultRowHeight="16" x14ac:dyDescent="0.2"/>
  <cols>
    <col min="1" max="1" width="50" customWidth="1"/>
    <col min="2" max="2" width="18.33203125" customWidth="1"/>
    <col min="3" max="3" width="14.1640625" customWidth="1"/>
    <col min="4" max="4" width="15.83203125" customWidth="1"/>
    <col min="5" max="5" width="78.33203125" customWidth="1"/>
  </cols>
  <sheetData>
    <row r="1" spans="1:5" ht="19" x14ac:dyDescent="0.25">
      <c r="A1" s="51" t="s">
        <v>336</v>
      </c>
      <c r="B1" s="51"/>
      <c r="C1" s="51"/>
      <c r="D1" s="51"/>
      <c r="E1" s="51"/>
    </row>
    <row r="2" spans="1:5" x14ac:dyDescent="0.2">
      <c r="A2" s="50" t="s">
        <v>337</v>
      </c>
      <c r="B2" s="50"/>
      <c r="C2" s="50"/>
      <c r="D2" s="50"/>
      <c r="E2" s="50"/>
    </row>
    <row r="4" spans="1:5" x14ac:dyDescent="0.2">
      <c r="A4" s="2" t="s">
        <v>338</v>
      </c>
      <c r="B4" s="2" t="s">
        <v>339</v>
      </c>
      <c r="C4" s="2" t="s">
        <v>340</v>
      </c>
      <c r="D4" s="2" t="s">
        <v>341</v>
      </c>
      <c r="E4" s="2" t="s">
        <v>342</v>
      </c>
    </row>
    <row r="5" spans="1:5" x14ac:dyDescent="0.2">
      <c r="A5" s="4" t="s">
        <v>343</v>
      </c>
      <c r="B5" s="5"/>
      <c r="C5" s="5"/>
      <c r="D5" s="5"/>
      <c r="E5" s="5"/>
    </row>
    <row r="6" spans="1:5" ht="17" x14ac:dyDescent="0.2">
      <c r="A6" t="s">
        <v>105</v>
      </c>
      <c r="B6" t="s">
        <v>344</v>
      </c>
      <c r="C6" t="s">
        <v>345</v>
      </c>
      <c r="D6" s="42" t="s">
        <v>346</v>
      </c>
      <c r="E6" s="45" t="s">
        <v>347</v>
      </c>
    </row>
    <row r="7" spans="1:5" ht="17" x14ac:dyDescent="0.2">
      <c r="A7" t="s">
        <v>109</v>
      </c>
      <c r="B7" t="s">
        <v>348</v>
      </c>
      <c r="C7" t="s">
        <v>345</v>
      </c>
      <c r="D7" s="42" t="s">
        <v>346</v>
      </c>
      <c r="E7" s="45" t="s">
        <v>349</v>
      </c>
    </row>
    <row r="8" spans="1:5" ht="34" x14ac:dyDescent="0.2">
      <c r="A8" t="s">
        <v>350</v>
      </c>
      <c r="B8" t="s">
        <v>351</v>
      </c>
      <c r="C8" t="s">
        <v>345</v>
      </c>
      <c r="D8" s="42" t="s">
        <v>346</v>
      </c>
      <c r="E8" s="45" t="s">
        <v>352</v>
      </c>
    </row>
    <row r="9" spans="1:5" ht="17" x14ac:dyDescent="0.2">
      <c r="A9" t="s">
        <v>353</v>
      </c>
      <c r="B9" t="s">
        <v>354</v>
      </c>
      <c r="C9" t="s">
        <v>345</v>
      </c>
      <c r="D9" s="42" t="s">
        <v>346</v>
      </c>
      <c r="E9" s="45" t="s">
        <v>355</v>
      </c>
    </row>
    <row r="10" spans="1:5" ht="34" x14ac:dyDescent="0.2">
      <c r="A10" t="s">
        <v>356</v>
      </c>
      <c r="B10" t="s">
        <v>357</v>
      </c>
      <c r="C10" t="s">
        <v>345</v>
      </c>
      <c r="D10" s="42" t="s">
        <v>346</v>
      </c>
      <c r="E10" s="45" t="s">
        <v>358</v>
      </c>
    </row>
    <row r="11" spans="1:5" x14ac:dyDescent="0.2">
      <c r="E11" s="45"/>
    </row>
    <row r="12" spans="1:5" x14ac:dyDescent="0.2">
      <c r="A12" s="4" t="s">
        <v>359</v>
      </c>
      <c r="B12" s="5"/>
      <c r="C12" s="5"/>
      <c r="D12" s="5"/>
      <c r="E12" s="46"/>
    </row>
    <row r="13" spans="1:5" ht="17" x14ac:dyDescent="0.2">
      <c r="A13" t="s">
        <v>360</v>
      </c>
      <c r="B13" t="s">
        <v>361</v>
      </c>
      <c r="C13" t="s">
        <v>362</v>
      </c>
      <c r="D13" s="7" t="s">
        <v>363</v>
      </c>
      <c r="E13" s="45" t="s">
        <v>364</v>
      </c>
    </row>
    <row r="14" spans="1:5" ht="17" x14ac:dyDescent="0.2">
      <c r="A14" t="s">
        <v>365</v>
      </c>
      <c r="B14" t="s">
        <v>366</v>
      </c>
      <c r="C14" t="s">
        <v>362</v>
      </c>
      <c r="D14" s="7" t="s">
        <v>363</v>
      </c>
      <c r="E14" s="45" t="s">
        <v>367</v>
      </c>
    </row>
    <row r="15" spans="1:5" ht="17" x14ac:dyDescent="0.2">
      <c r="A15" t="s">
        <v>368</v>
      </c>
      <c r="B15" t="s">
        <v>369</v>
      </c>
      <c r="C15" t="s">
        <v>362</v>
      </c>
      <c r="D15" s="7" t="s">
        <v>363</v>
      </c>
      <c r="E15" s="45" t="s">
        <v>370</v>
      </c>
    </row>
    <row r="16" spans="1:5" ht="17" x14ac:dyDescent="0.2">
      <c r="A16" t="s">
        <v>371</v>
      </c>
      <c r="B16" t="s">
        <v>372</v>
      </c>
      <c r="C16" t="s">
        <v>362</v>
      </c>
      <c r="D16" s="7" t="s">
        <v>363</v>
      </c>
      <c r="E16" s="45" t="s">
        <v>373</v>
      </c>
    </row>
    <row r="17" spans="1:5" ht="17" x14ac:dyDescent="0.2">
      <c r="A17" t="s">
        <v>374</v>
      </c>
      <c r="B17" t="s">
        <v>375</v>
      </c>
      <c r="C17" t="s">
        <v>362</v>
      </c>
      <c r="D17" s="7" t="s">
        <v>363</v>
      </c>
      <c r="E17" s="45" t="s">
        <v>376</v>
      </c>
    </row>
    <row r="18" spans="1:5" ht="17" x14ac:dyDescent="0.2">
      <c r="A18" t="s">
        <v>377</v>
      </c>
      <c r="B18" t="s">
        <v>378</v>
      </c>
      <c r="C18" t="s">
        <v>379</v>
      </c>
      <c r="D18" s="7" t="s">
        <v>380</v>
      </c>
      <c r="E18" s="45" t="s">
        <v>381</v>
      </c>
    </row>
    <row r="19" spans="1:5" ht="17" x14ac:dyDescent="0.2">
      <c r="A19" t="s">
        <v>382</v>
      </c>
      <c r="B19" t="s">
        <v>383</v>
      </c>
      <c r="C19" t="s">
        <v>379</v>
      </c>
      <c r="D19" s="7" t="s">
        <v>380</v>
      </c>
      <c r="E19" s="45" t="s">
        <v>384</v>
      </c>
    </row>
    <row r="20" spans="1:5" ht="17" x14ac:dyDescent="0.2">
      <c r="A20" t="s">
        <v>385</v>
      </c>
      <c r="B20" t="s">
        <v>386</v>
      </c>
      <c r="C20" t="s">
        <v>379</v>
      </c>
      <c r="D20" s="7" t="s">
        <v>380</v>
      </c>
      <c r="E20" s="45" t="s">
        <v>387</v>
      </c>
    </row>
    <row r="21" spans="1:5" ht="17" x14ac:dyDescent="0.2">
      <c r="A21" t="s">
        <v>388</v>
      </c>
      <c r="B21" t="s">
        <v>389</v>
      </c>
      <c r="C21" t="s">
        <v>379</v>
      </c>
      <c r="D21" s="7" t="s">
        <v>380</v>
      </c>
      <c r="E21" s="45" t="s">
        <v>390</v>
      </c>
    </row>
    <row r="22" spans="1:5" ht="34" x14ac:dyDescent="0.2">
      <c r="A22" t="s">
        <v>391</v>
      </c>
      <c r="B22" t="s">
        <v>392</v>
      </c>
      <c r="C22" t="s">
        <v>379</v>
      </c>
      <c r="D22" s="7" t="s">
        <v>380</v>
      </c>
      <c r="E22" s="45" t="s">
        <v>393</v>
      </c>
    </row>
    <row r="23" spans="1:5" ht="17" x14ac:dyDescent="0.2">
      <c r="A23" t="s">
        <v>394</v>
      </c>
      <c r="B23" t="s">
        <v>395</v>
      </c>
      <c r="C23" t="s">
        <v>396</v>
      </c>
      <c r="D23" s="7" t="s">
        <v>363</v>
      </c>
      <c r="E23" s="45" t="s">
        <v>397</v>
      </c>
    </row>
    <row r="24" spans="1:5" ht="17" x14ac:dyDescent="0.2">
      <c r="A24" t="s">
        <v>398</v>
      </c>
      <c r="B24" t="s">
        <v>399</v>
      </c>
      <c r="C24" t="s">
        <v>400</v>
      </c>
      <c r="D24" s="7" t="s">
        <v>363</v>
      </c>
      <c r="E24" s="45" t="s">
        <v>401</v>
      </c>
    </row>
    <row r="25" spans="1:5" x14ac:dyDescent="0.2">
      <c r="E25" s="45"/>
    </row>
    <row r="26" spans="1:5" x14ac:dyDescent="0.2">
      <c r="A26" s="4" t="s">
        <v>402</v>
      </c>
      <c r="B26" s="5"/>
      <c r="C26" s="5"/>
      <c r="D26" s="5"/>
      <c r="E26" s="46"/>
    </row>
    <row r="27" spans="1:5" ht="34" x14ac:dyDescent="0.2">
      <c r="A27" t="s">
        <v>403</v>
      </c>
      <c r="B27" t="s">
        <v>404</v>
      </c>
      <c r="C27" t="s">
        <v>405</v>
      </c>
      <c r="D27" s="43" t="s">
        <v>406</v>
      </c>
      <c r="E27" s="45" t="s">
        <v>407</v>
      </c>
    </row>
    <row r="28" spans="1:5" ht="34" x14ac:dyDescent="0.2">
      <c r="A28" t="s">
        <v>408</v>
      </c>
      <c r="B28" t="s">
        <v>204</v>
      </c>
      <c r="C28" t="s">
        <v>405</v>
      </c>
      <c r="D28" s="43" t="s">
        <v>406</v>
      </c>
      <c r="E28" s="45" t="s">
        <v>409</v>
      </c>
    </row>
    <row r="29" spans="1:5" ht="34" x14ac:dyDescent="0.2">
      <c r="A29" t="s">
        <v>410</v>
      </c>
      <c r="B29" t="s">
        <v>204</v>
      </c>
      <c r="C29" t="s">
        <v>405</v>
      </c>
      <c r="D29" s="43" t="s">
        <v>406</v>
      </c>
      <c r="E29" s="45" t="s">
        <v>411</v>
      </c>
    </row>
    <row r="31" spans="1:5" x14ac:dyDescent="0.2">
      <c r="A31" s="4" t="s">
        <v>412</v>
      </c>
      <c r="B31" s="5"/>
      <c r="C31" s="5"/>
      <c r="D31" s="5"/>
      <c r="E31" s="5"/>
    </row>
    <row r="32" spans="1:5" ht="17" x14ac:dyDescent="0.2">
      <c r="A32" t="s">
        <v>413</v>
      </c>
      <c r="D32" s="44">
        <f>'CO2 dosing'!D24</f>
        <v>0.17870752575465434</v>
      </c>
      <c r="E32" s="47" t="str">
        <f>'CO2 dosing'!D25</f>
        <v>LIMITING — raise flow or p_CO2</v>
      </c>
    </row>
    <row r="33" spans="1:5" ht="17" x14ac:dyDescent="0.2">
      <c r="A33" t="s">
        <v>414</v>
      </c>
      <c r="E33" s="48" t="str">
        <f>'CO2 dosing'!D36</f>
        <v>INFEASIBLE — needs continuous sparge / higher p_CO2</v>
      </c>
    </row>
    <row r="34" spans="1:5" x14ac:dyDescent="0.2">
      <c r="A34" t="s">
        <v>415</v>
      </c>
      <c r="D34" s="31">
        <f>'O2 balance'!D21</f>
        <v>0.69647497593840291</v>
      </c>
      <c r="E34" s="45"/>
    </row>
    <row r="35" spans="1:5" ht="17" x14ac:dyDescent="0.2">
      <c r="A35" t="s">
        <v>416</v>
      </c>
      <c r="D35" s="30">
        <f>'O2 balance'!D30</f>
        <v>0.69287230913515041</v>
      </c>
      <c r="E35" s="48" t="str">
        <f>'O2 balance'!D31</f>
        <v>O2-INHIBITED — stripping insufficient</v>
      </c>
    </row>
    <row r="36" spans="1:5" ht="34" x14ac:dyDescent="0.2">
      <c r="A36" t="s">
        <v>417</v>
      </c>
      <c r="E36" s="48" t="str">
        <f>'Na2CO3 electrolyte'!A17</f>
        <v>GO — adopt Na₂CO₃: clear weighted advantage. Pilot at working molarity and confirm cell tolerance to pH 9–10.</v>
      </c>
    </row>
  </sheetData>
  <mergeCells count="2">
    <mergeCell ref="A1:E1"/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52</vt:i4>
      </vt:variant>
    </vt:vector>
  </HeadingPairs>
  <TitlesOfParts>
    <vt:vector size="58" baseType="lpstr">
      <vt:lpstr>Inputs</vt:lpstr>
      <vt:lpstr>CO2 dosing</vt:lpstr>
      <vt:lpstr>O2 balance</vt:lpstr>
      <vt:lpstr>Sensitivity</vt:lpstr>
      <vt:lpstr>Na2CO3 electrolyte</vt:lpstr>
      <vt:lpstr>Assumptions &amp; sources</vt:lpstr>
      <vt:lpstr>A_elec</vt:lpstr>
      <vt:lpstr>A_elec_m2</vt:lpstr>
      <vt:lpstr>C_frac</vt:lpstr>
      <vt:lpstr>CO2_ratio</vt:lpstr>
      <vt:lpstr>CO2_sat</vt:lpstr>
      <vt:lpstr>CO2_supply</vt:lpstr>
      <vt:lpstr>DO_inhib</vt:lpstr>
      <vt:lpstr>duty_cycle</vt:lpstr>
      <vt:lpstr>eta_F</vt:lpstr>
      <vt:lpstr>F_const</vt:lpstr>
      <vt:lpstr>H_CO2_ref</vt:lpstr>
      <vt:lpstr>H_CO2_T</vt:lpstr>
      <vt:lpstr>H_O2_ref</vt:lpstr>
      <vt:lpstr>H_O2_T</vt:lpstr>
      <vt:lpstr>I_app</vt:lpstr>
      <vt:lpstr>j</vt:lpstr>
      <vt:lpstr>M_CO2</vt:lpstr>
      <vt:lpstr>M_O2</vt:lpstr>
      <vt:lpstr>mu</vt:lpstr>
      <vt:lpstr>OD_target</vt:lpstr>
      <vt:lpstr>p_CO2</vt:lpstr>
      <vt:lpstr>p_H2</vt:lpstr>
      <vt:lpstr>p_O2</vt:lpstr>
      <vt:lpstr>P_tot</vt:lpstr>
      <vt:lpstr>pulse_freq</vt:lpstr>
      <vt:lpstr>Q_gas</vt:lpstr>
      <vt:lpstr>Q_gas_Ls</vt:lpstr>
      <vt:lpstr>R_gas</vt:lpstr>
      <vt:lpstr>rCO2_min</vt:lpstr>
      <vt:lpstr>rO2_cons</vt:lpstr>
      <vt:lpstr>rO2_gen</vt:lpstr>
      <vt:lpstr>rO2_net</vt:lpstr>
      <vt:lpstr>strip_cap</vt:lpstr>
      <vt:lpstr>strip_ratio</vt:lpstr>
      <vt:lpstr>strip_req</vt:lpstr>
      <vt:lpstr>T_C</vt:lpstr>
      <vt:lpstr>t_drawdown</vt:lpstr>
      <vt:lpstr>T_K</vt:lpstr>
      <vt:lpstr>T_ref</vt:lpstr>
      <vt:lpstr>t_sparge</vt:lpstr>
      <vt:lpstr>t_to_inhib</vt:lpstr>
      <vt:lpstr>V_head</vt:lpstr>
      <vt:lpstr>V_optA</vt:lpstr>
      <vt:lpstr>V_optB</vt:lpstr>
      <vt:lpstr>V_sel</vt:lpstr>
      <vt:lpstr>V_work</vt:lpstr>
      <vt:lpstr>V_work_L</vt:lpstr>
      <vt:lpstr>X_conc</vt:lpstr>
      <vt:lpstr>X_per_OD</vt:lpstr>
      <vt:lpstr>Y_O2</vt:lpstr>
      <vt:lpstr>z_H2</vt:lpstr>
      <vt:lpstr>z_O2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Currie</dc:creator>
  <cp:lastModifiedBy>Martin Currie</cp:lastModifiedBy>
  <dcterms:created xsi:type="dcterms:W3CDTF">2026-05-29T03:50:16Z</dcterms:created>
  <dcterms:modified xsi:type="dcterms:W3CDTF">2026-05-31T02:57:10Z</dcterms:modified>
</cp:coreProperties>
</file>