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01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inlineStr">
        <is>
          <t>0-5</t>
        </is>
      </c>
      <c r="D5" s="100" t="inlineStr">
        <is>
          <t>Cupriavidus necator</t>
        </is>
      </c>
      <c r="E5" s="11" t="inlineStr">
        <is>
          <t>ISO 4793 / DURAN class; 0 = coarsest. Dropdown.</t>
        </is>
      </c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'Mass Transfer'!$D$90</f>
        <v/>
      </c>
      <c r="E8" s="87">
        <f>HYPERLINK("#'Mass Transfer'!D90","From Mass Transfer")</f>
        <v/>
      </c>
    </row>
    <row r="9">
      <c r="A9" t="inlineStr">
        <is>
          <t>► Optimal interval</t>
        </is>
      </c>
      <c r="C9" t="inlineStr">
        <is>
          <t>min</t>
        </is>
      </c>
      <c r="D9" s="60">
        <f>'Mass Transfer'!$D$91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'Mass Transfer'!$D$78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'Mass Transfer'!$D$126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'Mass Transfer'!$D$130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'Mass Transfer'!$D$95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'Mass Transfer'!$D$91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'Mass Transfer'!$D$112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  <cfRule type="expression" priority="5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CALIB",D7)),ISNUMBER(SEARCH("NEAREST",D7)),ISNUMBER(SEARCH("EXPLOSIVE",D7)),ISNUMBER(SEARCH("TIGHT",D7)),ISNUMBER(SEARCH("insufficient",D7)),EXACT(D7,"LOW"))</formula>
    </cfRule>
    <cfRule type="expression" priority="6" dxfId="12" stopIfTrue="0">
      <formula>OR(EXACT(D7,"OK"),ISNUMBER(SEARCH("calibrated",D7)),ISNUMBER(SEARCH("under optimum",D7)),ISNUMBER(SEARCH("above min",D7)),ISNUMBER(SEARCH("exact",D7)),ISNUMBER(SEARCH("CARBON-limited",D7)))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  <cfRule type="expression" priority="7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CALIB",D44)),ISNUMBER(SEARCH("NEAREST",D44)),ISNUMBER(SEARCH("EXPLOSIVE",D44)),ISNUMBER(SEARCH("TIGHT",D44)),ISNUMBER(SEARCH("insufficient",D44)),EXACT(D44,"LOW"))</formula>
    </cfRule>
    <cfRule type="expression" priority="8" dxfId="12" stopIfTrue="0">
      <formula>OR(EXACT(D44,"OK"),ISNUMBER(SEARCH("calibrated",D44)),ISNUMBER(SEARCH("under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9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CALIB",D63)),ISNUMBER(SEARCH("NEAREST",D63)),ISNUMBER(SEARCH("EXPLOSIVE",D63)),ISNUMBER(SEARCH("TIGHT",D63)),ISNUMBER(SEARCH("insufficient",D63)),EXACT(D63,"LOW"))</formula>
    </cfRule>
    <cfRule type="expression" priority="10" dxfId="12" stopIfTrue="0">
      <formula>OR(EXACT(D63,"OK"),ISNUMBER(SEARCH("calibrated",D63)),ISNUMBER(SEARCH("under optimum",D63)),ISNUMBER(SEARCH("above min",D63)),ISNUMBER(SEARCH("exact",D63)),ISNUMBER(SEARCH("CARBON-limited",D63)))</formula>
    </cfRule>
  </conditionalFormatting>
  <dataValidations count="5">
    <dataValidation sqref="D3" showDropDown="0" showInputMessage="0" showErrorMessage="0" allowBlank="1" type="list">
      <formula1>=Geometry!$A$59:$A$88</formula1>
    </dataValidation>
    <dataValidation sqref="D4" showDropDown="0" showInputMessage="0" showErrorMessage="0" allowBlank="1" type="list">
      <formula1>=Electrochemistry!$A$35:$A$43</formula1>
    </dataValidation>
    <dataValidation sqref="D5" showDropDown="0" showInputMessage="0" showErrorMessage="0" allowBlank="1" type="list">
      <formula1>=Biology!$A$52:$A$65</formula1>
    </dataValidation>
    <dataValidation sqref="D6" showDropDown="0" showInputMessage="0" showErrorMessage="0" allowBlank="1" type="list">
      <formula1>=Biology!$A$61:$A$69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" t="inlineStr">
        <is>
          <t>Current build (20 mL Pioreactor vial, assumed).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1" t="inlineStr">
        <is>
          <t>Empirical current-vs-intensity fit (constant-current; electrolyte/volume-independent).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1" t="inlineStr">
        <is>
          <t>Intercept of the same fit.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25" t="inlineStr">
        <is>
          <t>OER at the anode assumed ~100% faradaic; the cell's inefficiency is cathodic (O₂ reduction competing with H₂), not anodic. Design assumption.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" t="inlineStr">
        <is>
          <t>H₂ consumed × O₂:H₂. Steady growth only; ~0 during lag.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4" t="inlineStr">
        <is>
          <t>Net O₂ (after cathode) minus biological uptake — the surplus to strip.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1.3e-05</v>
      </c>
      <c r="E21" s="11" t="inlineStr">
        <is>
          <t>Sander (2023) compilation (supersedes 2015), value from Burkholder et al. 2019.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t="inlineStr">
        <is>
          <t>Amer &amp; Kim 2023; Wilde &amp; Schlegel 1982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20" t="inlineStr">
        <is>
          <t>x duty cycle.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23" t="inlineStr">
        <is>
          <t>Per-orifice superficial gas velocity during a sparge pulse.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23" t="inlineStr">
        <is>
          <t>Gas inertia vs surface tension at the orifice. Sets whether bubble detachment is quasi-static.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53" t="inlineStr">
        <is>
          <t>Gas removal (bubble + surface) vs the steady-growth surplus O2_excess (which already nets the cathodic sink and biological uptake). &gt;=1 = ceiling held at steady growth.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flowrate_cal*60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D131" s="80" t="n"/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2026-06-19T12:56:29Z</dcterms:modified>
  <cp:lastModifiedBy>Martin Currie</cp:lastModifiedBy>
  <cp:revision>0</cp:revision>
</cp:coreProperties>
</file>