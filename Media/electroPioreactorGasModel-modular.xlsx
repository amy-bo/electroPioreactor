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electrode_sel" localSheetId="2">Electrochemistry!$D$38</definedName>
    <definedName name="sparger_e" localSheetId="2">Electrochemistry!$D$39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organism_sel" localSheetId="3">Biology!$D$57</definedName>
    <definedName name="DO_min" localSheetId="3">Biology!$D$58</definedName>
    <definedName name="DO_opt" localSheetId="3">Biology!$D$59</definedName>
    <definedName name="DO_impair" localSheetId="3">Biology!$D$60</definedName>
    <definedName name="DO_toxic" localSheetId="3">Biology!$D$61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DO_opt" localSheetId="4">'Mass Transfer'!$D$103</definedName>
    <definedName name="DO_impair" localSheetId="4">'Mass Transfer'!$D$104</definedName>
    <definedName name="DO_toxic" localSheetId="4">'Mass Transfer'!$D$105</definedName>
    <definedName name="DO_min" localSheetId="4">'Mass Transfer'!$D$106</definedName>
    <definedName name="DO_ss" localSheetId="4">'Mass Transfer'!$D$109</definedName>
    <definedName name="DO_ss_vs_opt" localSheetId="4">'Mass Transfer'!$D$110</definedName>
    <definedName name="DO_ss_vs_min" localSheetId="4">'Mass Transfer'!$D$111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  <definedName name="cal_warning" localSheetId="5">Dosing!$D$41</definedName>
    <definedName name="has_cal" localSheetId="5">Dosing!$D$39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4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41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Electrochemistry!$D$39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0">
      <c r="A20" t="inlineStr">
        <is>
          <t>Calibration source</t>
        </is>
      </c>
      <c r="D20" s="76">
        <f>Dosing!$D$41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9">
      <c r="A39" t="inlineStr">
        <is>
          <t>Steady-state DO (surface, mg/L)</t>
        </is>
      </c>
      <c r="D39" s="83">
        <f>'Mass Transfer'!$D$109</f>
        <v/>
      </c>
    </row>
    <row r="40">
      <c r="A40" t="inlineStr">
        <is>
          <t>DO vs organism optimum</t>
        </is>
      </c>
      <c r="D40" s="83">
        <f>'Mass Transfer'!$D$110</f>
        <v/>
      </c>
    </row>
    <row r="41">
      <c r="A41" t="inlineStr">
        <is>
          <t>DO vs organism minimum</t>
        </is>
      </c>
      <c r="D41" s="83">
        <f>'Mass Transfer'!$D$111</f>
        <v/>
      </c>
    </row>
  </sheetData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3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77">
        <f>VLOOKUP(electrode_sel,$A$32:$I$34,9,FALSE)</f>
        <v/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  <row r="38">
      <c r="A38" t="inlineStr">
        <is>
          <t>(import) Electrode selection</t>
        </is>
      </c>
      <c r="B38" t="inlineStr">
        <is>
          <t>electrode_sel</t>
        </is>
      </c>
      <c r="D38" s="79">
        <f>Summary!$D$34</f>
        <v/>
      </c>
    </row>
    <row r="39">
      <c r="A39" t="inlineStr">
        <is>
          <t>Sparger (from electrode)</t>
        </is>
      </c>
      <c r="B39" t="inlineStr">
        <is>
          <t>sparger_e</t>
        </is>
      </c>
      <c r="D39" s="80">
        <f>VLOOKUP(electrode_sel,$A$32:$I$34,4,FALSE)</f>
        <v/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  <row r="57">
      <c r="A57" t="inlineStr">
        <is>
          <t>(import) HOB organism</t>
        </is>
      </c>
      <c r="B57" t="inlineStr">
        <is>
          <t>organism_sel</t>
        </is>
      </c>
      <c r="D57" s="79">
        <f>Summary!$D$35</f>
        <v/>
      </c>
    </row>
    <row r="58">
      <c r="A58" t="inlineStr">
        <is>
          <t>Minimum DO (organism)</t>
        </is>
      </c>
      <c r="B58" t="inlineStr">
        <is>
          <t>DO_min</t>
        </is>
      </c>
      <c r="D58" s="84">
        <f>IF(ISNUMBER(VLOOKUP(organism_sel,$A$47:$F$52,2,FALSE)),VLOOKUP(organism_sel,$A$47:$F$52,2,FALSE),NA())</f>
        <v/>
      </c>
    </row>
    <row r="59">
      <c r="A59" t="inlineStr">
        <is>
          <t>Optimum DO (organism)</t>
        </is>
      </c>
      <c r="B59" t="inlineStr">
        <is>
          <t>DO_opt</t>
        </is>
      </c>
      <c r="D59" s="80">
        <f>IF(ISNUMBER(VLOOKUP(organism_sel,$A$47:$F$52,3,FALSE)),VLOOKUP(organism_sel,$A$47:$F$52,3,FALSE),NA())</f>
        <v/>
      </c>
    </row>
    <row r="60">
      <c r="A60" t="inlineStr">
        <is>
          <t>Impairment DO (organism)</t>
        </is>
      </c>
      <c r="B60" t="inlineStr">
        <is>
          <t>DO_impair</t>
        </is>
      </c>
      <c r="D60" s="80">
        <f>IF(ISNUMBER(VLOOKUP(organism_sel,$A$47:$F$52,4,FALSE)),VLOOKUP(organism_sel,$A$47:$F$52,4,FALSE),NA())</f>
        <v/>
      </c>
    </row>
    <row r="61">
      <c r="A61" t="inlineStr">
        <is>
          <t>Toxic/inhibition DO (organism)</t>
        </is>
      </c>
      <c r="B61" t="inlineStr">
        <is>
          <t>DO_toxic</t>
        </is>
      </c>
      <c r="D61" s="80">
        <f>IF(ISNUMBER(VLOOKUP(organism_sel,$A$47:$F$52,5,FALSE)),VLOOKUP(organism_sel,$A$47:$F$52,5,FALSE),NA())</f>
        <v/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11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DO fraction (organism optimum / inhibition)</t>
        </is>
      </c>
      <c r="B61" s="8" t="inlineStr">
        <is>
          <t>target_DO_frac</t>
        </is>
      </c>
      <c r="C61" s="9" t="inlineStr">
        <is>
          <t>-</t>
        </is>
      </c>
      <c r="D61" s="85">
        <f>IF(AND(ISNUMBER(DO_opt),ISNUMBER(DO_toxic)),DO_opt/DO_toxic,0.5)</f>
        <v/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 (from electrode)</t>
        </is>
      </c>
      <c r="B100" t="inlineStr">
        <is>
          <t>sparger</t>
        </is>
      </c>
      <c r="C100" t="inlineStr">
        <is>
          <t>-</t>
        </is>
      </c>
      <c r="D100" s="82">
        <f>Electrochemistry!$D$39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  <row r="103">
      <c r="A103" t="inlineStr">
        <is>
          <t>(import) Optimum DO (organism)</t>
        </is>
      </c>
      <c r="B103" t="inlineStr">
        <is>
          <t>DO_opt</t>
        </is>
      </c>
      <c r="D103" s="86">
        <f>Biology!$D$59</f>
        <v/>
      </c>
    </row>
    <row r="104">
      <c r="A104" t="inlineStr">
        <is>
          <t>(import) Impairment DO (organism)</t>
        </is>
      </c>
      <c r="B104" t="inlineStr">
        <is>
          <t>DO_impair</t>
        </is>
      </c>
      <c r="D104" s="86">
        <f>Biology!$D$60</f>
        <v/>
      </c>
    </row>
    <row r="105">
      <c r="A105" t="inlineStr">
        <is>
          <t>(import) Toxic/inhibition DO (organism)</t>
        </is>
      </c>
      <c r="B105" t="inlineStr">
        <is>
          <t>DO_toxic</t>
        </is>
      </c>
      <c r="D105" s="86">
        <f>Biology!$D$61</f>
        <v/>
      </c>
    </row>
    <row r="106">
      <c r="A106" t="inlineStr">
        <is>
          <t>(import) Minimum DO (organism)</t>
        </is>
      </c>
      <c r="B106" t="inlineStr">
        <is>
          <t>DO_min</t>
        </is>
      </c>
      <c r="D106" s="86">
        <f>Biology!$D$58</f>
        <v/>
      </c>
    </row>
    <row r="108">
      <c r="A108" s="69" t="inlineStr">
        <is>
          <t>STEADY-STATE DO CHECK (surface stripping vs organism band)</t>
        </is>
      </c>
    </row>
    <row r="109">
      <c r="A109" t="inlineStr">
        <is>
          <t>Steady-state DO under surface stripping</t>
        </is>
      </c>
      <c r="B109" t="inlineStr">
        <is>
          <t>DO_ss</t>
        </is>
      </c>
      <c r="D109" s="80">
        <f>O2_excess/(kLa_surf_used*3600*(V_charge/1000000))*32</f>
        <v/>
      </c>
    </row>
    <row r="110">
      <c r="A110" t="inlineStr">
        <is>
          <t xml:space="preserve">  DO_ss vs optimum (organism)</t>
        </is>
      </c>
      <c r="B110" t="inlineStr">
        <is>
          <t>DO_ss_vs_opt</t>
        </is>
      </c>
      <c r="D110" s="80">
        <f>IF(ISNUMBER(DO_opt),IF(DO_ss&lt;=DO_opt,"at/under optimum",IF(DO_ss&lt;DO_impair,"above optimum, under impairment","OVER IMPAIRMENT - surface strip insufficient")),"organism optimum unknown")</f>
        <v/>
      </c>
    </row>
    <row r="111">
      <c r="A111" t="inlineStr">
        <is>
          <t xml:space="preserve">  DO_ss vs minimum (organism)</t>
        </is>
      </c>
      <c r="B111" t="inlineStr">
        <is>
          <t>DO_ss_vs_min</t>
        </is>
      </c>
      <c r="D111" s="80">
        <f>IF(ISNUMBER(DO_min),IF(DO_ss&gt;=DO_min,"above minimum","BELOW MINIMUM"),"minimum DO unknown - measure")</f>
        <v/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41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s="79">
        <f>Summary!$D$33</f>
        <v/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 s="80">
        <f>SUMPRODUCT(MAX(('CO2 flows'!$A$4:$A$200=Reactor)*('CO2 flows'!$J$4:$J$200&gt;0)*'CO2 flows'!$B$4:$B$200))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  <c r="E38" t="inlineStr">
        <is>
          <t>Pulled from CO2 flows (latest date for reactor).</t>
        </is>
      </c>
    </row>
    <row r="39">
      <c r="A39" t="inlineStr">
        <is>
          <t>reactor has a calibration row?</t>
        </is>
      </c>
      <c r="B39" t="inlineStr">
        <is>
          <t>has_cal</t>
        </is>
      </c>
      <c r="D39" s="80">
        <f>SUMPRODUCT(('CO2 flows'!$A$4:$A$200=Reactor)*('CO2 flows'!$J$4:$J$200&gt;0)*1)</f>
        <v/>
      </c>
    </row>
    <row r="40">
      <c r="D40" s="80" t="n"/>
    </row>
    <row r="41">
      <c r="A41" t="inlineStr">
        <is>
          <t>calibration source</t>
        </is>
      </c>
      <c r="B41" t="inlineStr">
        <is>
          <t>cal_warning</t>
        </is>
      </c>
      <c r="D41" s="80">
        <f>IF(has_cal&gt;0,"calibrated: "&amp;Reactor,"NO CALIBRATION for "&amp;Reactor&amp;" - add a row in CO2 flows with nominal flowrate + minimum sparge")</f>
        <v/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8"/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3"/>
    <row r="54">
      <c r="A54" s="73" t="n"/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>
      <c r="A72" s="72" t="n"/>
    </row>
    <row r="73">
      <c r="A73" s="72" t="n"/>
    </row>
    <row r="74"/>
    <row r="75">
      <c r="A75" s="73" t="n"/>
    </row>
    <row r="76"/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2026-06-19T11:51:56Z</dcterms:modified>
  <cp:lastModifiedBy>Martin Currie</cp:lastModifiedBy>
  <cp:revision>0</cp:revision>
</cp:coreProperties>
</file>