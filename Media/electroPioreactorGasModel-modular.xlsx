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6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Dosing" sheetId="6" state="visible" r:id="rId6"/>
    <sheet name="CO2 flows" sheetId="7" state="visible" r:id="rId7"/>
  </sheets>
  <definedNames>
    <definedName name="por_grade" localSheetId="0">Summary!$D$5</definedName>
    <definedName name="rx_ver" localSheetId="0">Summary!$D$3</definedName>
    <definedName name="sparger" localSheetId="0">Summary!$D$4</definedName>
    <definedName name="A_x" localSheetId="1">Geometry!$D$16</definedName>
    <definedName name="D_int" localSheetId="1">Geometry!$D$17</definedName>
    <definedName name="D_int_1" localSheetId="1">Geometry!$D$7</definedName>
    <definedName name="D_int_2" localSheetId="1">Geometry!$D$8</definedName>
    <definedName name="disp_tot" localSheetId="1">Geometry!$D$35</definedName>
    <definedName name="eff_disp" localSheetId="1">Geometry!$D$34</definedName>
    <definedName name="eff_ID" localSheetId="1">Geometry!$D$29</definedName>
    <definedName name="eff_OD" localSheetId="1">Geometry!$D$28</definedName>
    <definedName name="eff_sub_L" localSheetId="1">Geometry!$D$33</definedName>
    <definedName name="elec_clear" localSheetId="1">Geometry!$D$23</definedName>
    <definedName name="elec_disp" localSheetId="1">Geometry!$D$31</definedName>
    <definedName name="elec_ins" localSheetId="1">Geometry!$D$24</definedName>
    <definedName name="elec_sub_L" localSheetId="1">Geometry!$D$30</definedName>
    <definedName name="h_actual" localSheetId="1">Geometry!$D$37</definedName>
    <definedName name="h_datum" localSheetId="1">Geometry!$D$20</definedName>
    <definedName name="headspace_V" localSheetId="1">Geometry!$D$44</definedName>
    <definedName name="interface_A" localSheetId="1">Geometry!$D$39</definedName>
    <definedName name="rod_d" localSheetId="1">Geometry!$D$21</definedName>
    <definedName name="rod_n" localSheetId="1">Geometry!$D$22</definedName>
    <definedName name="rx_ver" localSheetId="1">Geometry!$D$48</definedName>
    <definedName name="sparge_depth" localSheetId="1">Geometry!$D$38</definedName>
    <definedName name="spg_disp" localSheetId="1">Geometry!$D$32</definedName>
    <definedName name="spg_ID" localSheetId="1">Geometry!$D$26</definedName>
    <definedName name="spg_len" localSheetId="1">Geometry!$D$45</definedName>
    <definedName name="spg_OD" localSheetId="1">Geometry!$D$25</definedName>
    <definedName name="spg_tip_h" localSheetId="1">Geometry!$D$27</definedName>
    <definedName name="V_charge" localSheetId="1">Geometry!$D$36</definedName>
    <definedName name="V_inserts" localSheetId="1">Geometry!$D$43</definedName>
    <definedName name="V_max" localSheetId="1">Geometry!$D$18</definedName>
    <definedName name="V_vial_total" localSheetId="1">Geometry!$D$19</definedName>
    <definedName name="ver_name_1" localSheetId="1">Geometry!$D$3</definedName>
    <definedName name="ver_name_2" localSheetId="1">Geometry!$D$4</definedName>
    <definedName name="vial_ID" localSheetId="1">Geometry!$D$15</definedName>
    <definedName name="vial_OD" localSheetId="1">Geometry!$D$13</definedName>
    <definedName name="vial_OD_1" localSheetId="1">Geometry!$D$5</definedName>
    <definedName name="vial_OD_2" localSheetId="1">Geometry!$D$6</definedName>
    <definedName name="vial_wall" localSheetId="1">Geometry!$D$14</definedName>
    <definedName name="Vmax_1" localSheetId="1">Geometry!$D$9</definedName>
    <definedName name="Vmax_2" localSheetId="1">Geometry!$D$10</definedName>
    <definedName name="Vtot_1" localSheetId="1">Geometry!$D$11</definedName>
    <definedName name="Vtot_2" localSheetId="1">Geometry!$D$12</definedName>
    <definedName name="xtube_n" localSheetId="1">Geometry!$D$41</definedName>
    <definedName name="xtube_OD" localSheetId="1">Geometry!$D$40</definedName>
    <definedName name="xtube_pro" localSheetId="1">Geometry!$D$42</definedName>
    <definedName name="etaF" localSheetId="2">Electrochemistry!$D$11</definedName>
    <definedName name="etaF_OER" localSheetId="2">Electrochemistry!$D$19</definedName>
    <definedName name="F_const" localSheetId="2">Electrochemistry!$D$8</definedName>
    <definedName name="gerrit_int" localSheetId="2">Electrochemistry!$D$5</definedName>
    <definedName name="gerrit_max" localSheetId="2">Electrochemistry!$D$7</definedName>
    <definedName name="gerrit_min" localSheetId="2">Electrochemistry!$D$6</definedName>
    <definedName name="gerrit_slope" localSheetId="2">Electrochemistry!$D$4</definedName>
    <definedName name="I_app" localSheetId="2">Electrochemistry!$D$12</definedName>
    <definedName name="I_valid" localSheetId="2">Electrochemistry!$D$13</definedName>
    <definedName name="intensity" localSheetId="2">Electrochemistry!$D$3</definedName>
    <definedName name="O2_cathode_ORR" localSheetId="2">Electrochemistry!$D$21</definedName>
    <definedName name="O2_net_gen" localSheetId="2">Electrochemistry!$D$22</definedName>
    <definedName name="P_atm" localSheetId="2">Electrochemistry!$D$26</definedName>
    <definedName name="R_gas" localSheetId="2">Electrochemistry!$D$27</definedName>
    <definedName name="rH2_gen" localSheetId="2">Electrochemistry!$D$14</definedName>
    <definedName name="rO2_gen" localSheetId="2">Electrochemistry!$D$15</definedName>
    <definedName name="T_K" localSheetId="2">Electrochemistry!$D$25</definedName>
    <definedName name="V_gas_total" localSheetId="2">Electrochemistry!$D$18</definedName>
    <definedName name="V_H2_gen" localSheetId="2">Electrochemistry!$D$16</definedName>
    <definedName name="V_O2_gen" localSheetId="2">Electrochemistry!$D$17</definedName>
    <definedName name="z_e_H2" localSheetId="2">Electrochemistry!$D$9</definedName>
    <definedName name="z_e_O2" localSheetId="2">Electrochemistry!$D$10</definedName>
    <definedName name="z_e_ORR" localSheetId="2">Electrochemistry!$D$20</definedName>
    <definedName name="bio_CO2" localSheetId="3">Biology!$D$5</definedName>
    <definedName name="bio_H2" localSheetId="3">Biology!$D$3</definedName>
    <definedName name="bio_O2" localSheetId="3">Biology!$D$4</definedName>
    <definedName name="C_H2_sat" localSheetId="3">Biology!$D$34</definedName>
    <definedName name="CO2_carbon_margin" localSheetId="3">Biology!$D$28</definedName>
    <definedName name="CO2_cons" localSheetId="3">Biology!$D$8</definedName>
    <definedName name="CO2_diss" localSheetId="3">Biology!$D$26</definedName>
    <definedName name="H_CO2_T" localSheetId="3">Biology!$D$24</definedName>
    <definedName name="H_CO2ref" localSheetId="3">Biology!$D$22</definedName>
    <definedName name="H_CO2T" localSheetId="3">Biology!$D$23</definedName>
    <definedName name="H_H2_T" localSheetId="3">Biology!$D$33</definedName>
    <definedName name="H_H2ref" localSheetId="3">Biology!$D$31</definedName>
    <definedName name="H_H2T" localSheetId="3">Biology!$D$32</definedName>
    <definedName name="H_O2_T" localSheetId="3">Biology!$D$17</definedName>
    <definedName name="H_O2ref" localSheetId="3">Biology!$D$14</definedName>
    <definedName name="H_O2T" localSheetId="3">Biology!$D$15</definedName>
    <definedName name="H2_cons" localSheetId="3">Biology!$D$6</definedName>
    <definedName name="H2_safety" localSheetId="3">Biology!$D$37</definedName>
    <definedName name="H2_turnover" localSheetId="3">Biology!$D$36</definedName>
    <definedName name="Ka1_carb" localSheetId="3">Biology!$D$29</definedName>
    <definedName name="Km_CO2" localSheetId="3">Biology!$D$27</definedName>
    <definedName name="O2_ceil_atm" localSheetId="3">Biology!$D$18</definedName>
    <definedName name="O2_ceil_C" localSheetId="3">Biology!$D$20</definedName>
    <definedName name="O2_ceil_Pa" localSheetId="3">Biology!$D$19</definedName>
    <definedName name="O2_ceil_uM" localSheetId="3">Biology!$D$21</definedName>
    <definedName name="O2_cons" localSheetId="3">Biology!$D$7</definedName>
    <definedName name="O2_excess" localSheetId="3">Biology!$D$9</definedName>
    <definedName name="O2_net_gen" localSheetId="3">Biology!$D$41</definedName>
    <definedName name="P_atm" localSheetId="3">Biology!$D$12</definedName>
    <definedName name="p_CO2_sparge" localSheetId="3">Biology!$D$25</definedName>
    <definedName name="Pa_per_atm" localSheetId="3">Biology!$D$13</definedName>
    <definedName name="pH_CO2_unbuf" localSheetId="3">Biology!$D$30</definedName>
    <definedName name="rH2_gen" localSheetId="3">Biology!$D$40</definedName>
    <definedName name="T_C" localSheetId="3">Biology!$D$10</definedName>
    <definedName name="t_H2_sat" localSheetId="3">Biology!$D$35</definedName>
    <definedName name="T_K" localSheetId="3">Biology!$D$11</definedName>
    <definedName name="T_ref" localSheetId="3">Biology!$D$16</definedName>
    <definedName name="V_charge" localSheetId="3">Biology!$D$42</definedName>
    <definedName name="a_int" localSheetId="4">'Mass Transfer'!$D$25</definedName>
    <definedName name="a_surf" localSheetId="4">'Mass Transfer'!$D$48</definedName>
    <definedName name="A_x" localSheetId="4">'Mass Transfer'!$D$96</definedName>
    <definedName name="bubble_regime" localSheetId="4">'Mass Transfer'!$D$40</definedName>
    <definedName name="carbon_margin_min" localSheetId="4">'Mass Transfer'!$D$62</definedName>
    <definedName name="carry_flag" localSheetId="4">'Mass Transfer'!$D$35</definedName>
    <definedName name="CO2_cons" localSheetId="4">'Mass Transfer'!$D$82</definedName>
    <definedName name="CO2_supply" localSheetId="4">'Mass Transfer'!$D$86</definedName>
    <definedName name="d_bubble" localSheetId="4">'Mass Transfer'!$D$18</definedName>
    <definedName name="d_bubble_mm" localSheetId="4">'Mass Transfer'!$D$19</definedName>
    <definedName name="D_O2" localSheetId="4">'Mass Transfer'!$D$8</definedName>
    <definedName name="d_orifice" localSheetId="4">'Mass Transfer'!$D$17</definedName>
    <definedName name="DO_vent_eq" localSheetId="4">'Mass Transfer'!$D$53</definedName>
    <definedName name="duty" localSheetId="4">'Mass Transfer'!$D$91</definedName>
    <definedName name="duty_actual" localSheetId="4">'Mass Transfer'!$D$70</definedName>
    <definedName name="duty_carbon" localSheetId="4">'Mass Transfer'!$D$63</definedName>
    <definedName name="duty_O2vent" localSheetId="4">'Mass Transfer'!$D$64</definedName>
    <definedName name="duty_opt" localSheetId="4">'Mass Transfer'!$D$65</definedName>
    <definedName name="g_const" localSheetId="4">'Mass Transfer'!$D$7</definedName>
    <definedName name="H_O2_T" localSheetId="4">'Mass Transfer'!$D$84</definedName>
    <definedName name="headspace_V" localSheetId="4">'Mass Transfer'!$D$98</definedName>
    <definedName name="holdup" localSheetId="4">'Mass Transfer'!$D$24</definedName>
    <definedName name="hs_flush_time" localSheetId="4">'Mass Transfer'!$D$54</definedName>
    <definedName name="interface_A" localSheetId="4">'Mass Transfer'!$D$93</definedName>
    <definedName name="kinetic_caveat" localSheetId="4">'Mass Transfer'!$D$73</definedName>
    <definedName name="kL" localSheetId="4">'Mass Transfer'!$D$27</definedName>
    <definedName name="kL_surf" localSheetId="4">'Mass Transfer'!$D$47</definedName>
    <definedName name="kLa_avg" localSheetId="4">'Mass Transfer'!$D$29</definedName>
    <definedName name="kLa_meas" localSheetId="4">'Mass Transfer'!$D$74</definedName>
    <definedName name="kLa_req" localSheetId="4">'Mass Transfer'!$D$33</definedName>
    <definedName name="kLa_sparge" localSheetId="4">'Mass Transfer'!$D$28</definedName>
    <definedName name="kLa_surf" localSheetId="4">'Mass Transfer'!$D$49</definedName>
    <definedName name="kLa_surf_used" localSheetId="4">'Mass Transfer'!$D$75</definedName>
    <definedName name="M_CO2" localSheetId="4">'Mass Transfer'!$D$89</definedName>
    <definedName name="mend_a" localSheetId="4">'Mass Transfer'!$D$20</definedName>
    <definedName name="mend_b" localSheetId="4">'Mass Transfer'!$D$21</definedName>
    <definedName name="n_pores_active" localSheetId="4">'Mass Transfer'!$D$37</definedName>
    <definedName name="nCO2_rate" localSheetId="4">'Mass Transfer'!$D$90</definedName>
    <definedName name="O2_ceil_C" localSheetId="4">'Mass Transfer'!$D$78</definedName>
    <definedName name="O2_ceil_Pa" localSheetId="4">'Mass Transfer'!$D$79</definedName>
    <definedName name="O2_excess" localSheetId="4">'Mass Transfer'!$D$83</definedName>
    <definedName name="O2_net_gen" localSheetId="4">'Mass Transfer'!$D$92</definedName>
    <definedName name="O2_removal_ratio" localSheetId="4">'Mass Transfer'!$D$55</definedName>
    <definedName name="od_ok" localSheetId="4">'Mass Transfer'!$D$72</definedName>
    <definedName name="opt_binding" localSheetId="4">'Mass Transfer'!$D$71</definedName>
    <definedName name="P_atm" localSheetId="4">'Mass Transfer'!$D$81</definedName>
    <definedName name="por_grade" localSheetId="4">'Mass Transfer'!$D$99</definedName>
    <definedName name="por_pore" localSheetId="4">'Mass Transfer'!$D$15</definedName>
    <definedName name="por0_um" localSheetId="4">'Mass Transfer'!$D$9</definedName>
    <definedName name="por1_um" localSheetId="4">'Mass Transfer'!$D$10</definedName>
    <definedName name="por2_um" localSheetId="4">'Mass Transfer'!$D$11</definedName>
    <definedName name="por3_um" localSheetId="4">'Mass Transfer'!$D$12</definedName>
    <definedName name="por4_um" localSheetId="4">'Mass Transfer'!$D$13</definedName>
    <definedName name="por5_um" localSheetId="4">'Mass Transfer'!$D$14</definedName>
    <definedName name="pulse_floor" localSheetId="4">'Mass Transfer'!$D$85</definedName>
    <definedName name="Q_CO2" localSheetId="4">'Mass Transfer'!$D$88</definedName>
    <definedName name="R_gas" localSheetId="4">'Mass Transfer'!$D$87</definedName>
    <definedName name="rho_CO2" localSheetId="4">'Mass Transfer'!$D$36</definedName>
    <definedName name="rho_L" localSheetId="4">'Mass Transfer'!$D$6</definedName>
    <definedName name="s_renew" localSheetId="4">'Mass Transfer'!$D$46</definedName>
    <definedName name="sched_mode" localSheetId="4">'Mass Transfer'!$D$58</definedName>
    <definedName name="sigma" localSheetId="4">'Mass Transfer'!$D$5</definedName>
    <definedName name="sparger" localSheetId="4">'Mass Transfer'!$D$100</definedName>
    <definedName name="spg_dur_man" localSheetId="4">'Mass Transfer'!$D$59</definedName>
    <definedName name="spg_dur_opt" localSheetId="4">'Mass Transfer'!$D$67</definedName>
    <definedName name="spg_ID" localSheetId="4">'Mass Transfer'!$D$97</definedName>
    <definedName name="spg_int_man" localSheetId="4">'Mass Transfer'!$D$60</definedName>
    <definedName name="spg_int_max" localSheetId="4">'Mass Transfer'!$D$66</definedName>
    <definedName name="spg_int_opt" localSheetId="4">'Mass Transfer'!$D$68</definedName>
    <definedName name="spg_int_opt_s" localSheetId="4">'Mass Transfer'!$D$69</definedName>
    <definedName name="spg_name_1" localSheetId="4">'Mass Transfer'!$D$3</definedName>
    <definedName name="spg_name_2" localSheetId="4">'Mass Transfer'!$D$4</definedName>
    <definedName name="stir_len" localSheetId="4">'Mass Transfer'!$D$44</definedName>
    <definedName name="stir_rpm" localSheetId="4">'Mass Transfer'!$D$43</definedName>
    <definedName name="strip_avg" localSheetId="4">'Mass Transfer'!$D$31</definedName>
    <definedName name="strip_ratio" localSheetId="4">'Mass Transfer'!$D$32</definedName>
    <definedName name="strip_sparge" localSheetId="4">'Mass Transfer'!$D$30</definedName>
    <definedName name="surf_ratio" localSheetId="4">'Mass Transfer'!$D$51</definedName>
    <definedName name="surf_strip" localSheetId="4">'Mass Transfer'!$D$50</definedName>
    <definedName name="t_contact" localSheetId="4">'Mass Transfer'!$D$26</definedName>
    <definedName name="T_K" localSheetId="4">'Mass Transfer'!$D$80</definedName>
    <definedName name="t_O2_ceiling" localSheetId="4">'Mass Transfer'!$D$41</definedName>
    <definedName name="t_O2_ceiling_lag" localSheetId="4">'Mass Transfer'!$D$56</definedName>
    <definedName name="t_O2_ceiling_rem" localSheetId="4">'Mass Transfer'!$D$57</definedName>
    <definedName name="t_O2_ceiling_strip" localSheetId="4">'Mass Transfer'!$D$42</definedName>
    <definedName name="target_DO_frac" localSheetId="4">'Mass Transfer'!$D$61</definedName>
    <definedName name="tip_speed" localSheetId="4">'Mass Transfer'!$D$45</definedName>
    <definedName name="tube_d_m" localSheetId="4">'Mass Transfer'!$D$16</definedName>
    <definedName name="u_g_max" localSheetId="4">'Mass Transfer'!$D$34</definedName>
    <definedName name="u_rise" localSheetId="4">'Mass Transfer'!$D$22</definedName>
    <definedName name="u_sg" localSheetId="4">'Mass Transfer'!$D$23</definedName>
    <definedName name="V_charge" localSheetId="4">'Mass Transfer'!$D$95</definedName>
    <definedName name="v_orifice" localSheetId="4">'Mass Transfer'!$D$38</definedName>
    <definedName name="vial_ID" localSheetId="4">'Mass Transfer'!$D$94</definedName>
    <definedName name="We_orifice" localSheetId="4">'Mass Transfer'!$D$39</definedName>
    <definedName name="y_O2_vent" localSheetId="4">'Mass Transfer'!$D$52</definedName>
    <definedName name="flush_factor" localSheetId="4">'Mass Transfer'!$D$102</definedName>
    <definedName name="CO2_cons" localSheetId="5">Dosing!$D$25</definedName>
    <definedName name="CO2_pulse" localSheetId="5">Dosing!$D$10</definedName>
    <definedName name="CO2_sd_ratio" localSheetId="5">Dosing!$D$14</definedName>
    <definedName name="CO2_supply" localSheetId="5">Dosing!$D$13</definedName>
    <definedName name="dur_ok" localSheetId="5">Dosing!$D$19</definedName>
    <definedName name="duty" localSheetId="5">Dosing!$D$15</definedName>
    <definedName name="M_CO2" localSheetId="5">Dosing!$D$8</definedName>
    <definedName name="nCO2_rate" localSheetId="5">Dosing!$D$9</definedName>
    <definedName name="O2_accum" localSheetId="5">Dosing!$D$16</definedName>
    <definedName name="O2_excess" localSheetId="5">Dosing!$D$22</definedName>
    <definedName name="O2_strip_pulse" localSheetId="5">Dosing!$D$17</definedName>
    <definedName name="P_atm" localSheetId="5">Dosing!$D$24</definedName>
    <definedName name="pulse_floor" localSheetId="5">Dosing!$D$6</definedName>
    <definedName name="pulses_d" localSheetId="5">Dosing!$D$12</definedName>
    <definedName name="pulses_h" localSheetId="5">Dosing!$D$11</definedName>
    <definedName name="Q_CO2" localSheetId="5">Dosing!$D$3</definedName>
    <definedName name="R_gas" localSheetId="5">Dosing!$D$7</definedName>
    <definedName name="sched_bal" localSheetId="5">Dosing!$D$18</definedName>
    <definedName name="sched_mode" localSheetId="5">Dosing!$D$27</definedName>
    <definedName name="spg_dur" localSheetId="5">Dosing!$D$4</definedName>
    <definedName name="spg_dur_man" localSheetId="5">Dosing!$D$30</definedName>
    <definedName name="spg_dur_opt" localSheetId="5">Dosing!$D$28</definedName>
    <definedName name="spg_int" localSheetId="5">Dosing!$D$5</definedName>
    <definedName name="spg_int_man" localSheetId="5">Dosing!$D$26</definedName>
    <definedName name="spg_int_opt" localSheetId="5">Dosing!$D$31</definedName>
    <definedName name="strip_sparge" localSheetId="5">Dosing!$D$29</definedName>
    <definedName name="T_K" localSheetId="5">Dosing!$D$23</definedName>
    <definedName name="Reactor" localSheetId="5">Dosing!$D$34</definedName>
    <definedName name="flush_factor" localSheetId="5">Dosing!$D$35</definedName>
    <definedName name="latest_date" localSheetId="5">Dosing!$D$36</definedName>
    <definedName name="flowrate_cal" localSheetId="5">Dosing!$D$37</definedName>
    <definedName name="min_sparge_cal" localSheetId="5">Dosing!$D$38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2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</cellXfs>
  <cellStyles count="1">
    <cellStyle name="Normal" xfId="0" builtinId="0"/>
  </cellStyles>
  <dxfs count="11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30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version</t>
        </is>
      </c>
      <c r="B3" s="8" t="inlineStr">
        <is>
          <t>rx_ver</t>
        </is>
      </c>
      <c r="C3" s="9" t="inlineStr">
        <is>
          <t>-</t>
        </is>
      </c>
      <c r="D3" s="30" t="inlineStr">
        <is>
          <t>AEP0.1.1</t>
        </is>
      </c>
      <c r="E3" s="10" t="inlineStr">
        <is>
          <t>Active build. Choose from the values below. Dropdown.</t>
        </is>
      </c>
    </row>
    <row r="4">
      <c r="A4" s="7" t="inlineStr">
        <is>
          <t>Sparger type</t>
        </is>
      </c>
      <c r="B4" s="8" t="inlineStr">
        <is>
          <t>sparger</t>
        </is>
      </c>
      <c r="C4" s="9" t="inlineStr">
        <is>
          <t>-</t>
        </is>
      </c>
      <c r="D4" s="30" t="inlineStr">
        <is>
          <t>Sintered</t>
        </is>
      </c>
      <c r="E4" s="10" t="inlineStr">
        <is>
          <t>CO₂ delivery route. Choose from the values below. Dropdown.</t>
        </is>
      </c>
    </row>
    <row r="5">
      <c r="A5" s="7" t="inlineStr">
        <is>
          <t>Sinter porosity grade (if Sintered)</t>
        </is>
      </c>
      <c r="B5" s="8" t="inlineStr">
        <is>
          <t>por_grade</t>
        </is>
      </c>
      <c r="C5" s="9" t="inlineStr">
        <is>
          <t>0-5</t>
        </is>
      </c>
      <c r="D5" s="30" t="n">
        <v>5</v>
      </c>
      <c r="E5" s="11" t="inlineStr">
        <is>
          <t>ISO 4793 / DURAN class; 0 = coarsest. Dropdown.</t>
        </is>
      </c>
    </row>
    <row r="7">
      <c r="A7" s="59" t="inlineStr">
        <is>
          <t>RESULTS (imported — border = source tab)</t>
        </is>
      </c>
    </row>
    <row r="8">
      <c r="A8" t="inlineStr">
        <is>
          <t>► Optimal pulse (s)</t>
        </is>
      </c>
      <c r="D8" s="60">
        <f>'Mass Transfer'!$D$67</f>
        <v/>
      </c>
      <c r="E8" t="inlineStr">
        <is>
          <t>From Mass Transfer.</t>
        </is>
      </c>
    </row>
    <row r="9">
      <c r="A9" t="inlineStr">
        <is>
          <t>► Optimal interval (min)</t>
        </is>
      </c>
      <c r="D9" s="60">
        <f>'Mass Transfer'!$D$68</f>
        <v/>
      </c>
      <c r="E9" t="inlineStr">
        <is>
          <t>From Mass Transfer.</t>
        </is>
      </c>
    </row>
    <row r="10">
      <c r="A10" t="inlineStr">
        <is>
          <t>O₂ removal : surplus</t>
        </is>
      </c>
      <c r="D10" s="60">
        <f>'Mass Transfer'!$D$55</f>
        <v/>
      </c>
      <c r="E10" t="inlineStr">
        <is>
          <t>From Mass Transfer.</t>
        </is>
      </c>
    </row>
    <row r="11">
      <c r="A11" t="inlineStr">
        <is>
          <t>O₂ time-to-ceiling lag (min)</t>
        </is>
      </c>
      <c r="D11" s="60">
        <f>'Mass Transfer'!$D$56</f>
        <v/>
      </c>
      <c r="E11" t="inlineStr">
        <is>
          <t>From Mass Transfer.</t>
        </is>
      </c>
    </row>
    <row r="12">
      <c r="A12" t="inlineStr">
        <is>
          <t>Carbon margin</t>
        </is>
      </c>
      <c r="D12" s="61">
        <f>Biology!$D$28</f>
        <v/>
      </c>
      <c r="E12" t="inlineStr">
        <is>
          <t>From Biology.</t>
        </is>
      </c>
    </row>
    <row r="13">
      <c r="A13" t="inlineStr">
        <is>
          <t>CO₂ supply:demand</t>
        </is>
      </c>
      <c r="D13" s="62">
        <f>Dosing!$D$14</f>
        <v/>
      </c>
      <c r="E13" t="inlineStr">
        <is>
          <t>From Dosing.</t>
        </is>
      </c>
    </row>
    <row r="14">
      <c r="A14" t="inlineStr">
        <is>
          <t>Current-law</t>
        </is>
      </c>
      <c r="D14" s="63">
        <f>Electrochemistry!$D$13</f>
        <v/>
      </c>
      <c r="E14" t="inlineStr">
        <is>
          <t>From Electrochemistry.</t>
        </is>
      </c>
    </row>
    <row r="15">
      <c r="A15" t="inlineStr">
        <is>
          <t>Carryover</t>
        </is>
      </c>
      <c r="D15" s="60">
        <f>'Mass Transfer'!$D$35</f>
        <v/>
      </c>
      <c r="E15" t="inlineStr">
        <is>
          <t>From Mass Transfer.</t>
        </is>
      </c>
    </row>
    <row r="16">
      <c r="A16" t="inlineStr">
        <is>
          <t>Bubble regime</t>
        </is>
      </c>
      <c r="D16" s="60">
        <f>'Mass Transfer'!$D$40</f>
        <v/>
      </c>
      <c r="E16" t="inlineStr">
        <is>
          <t>From Mass Transfer.</t>
        </is>
      </c>
    </row>
    <row r="17">
      <c r="A17" t="inlineStr">
        <is>
          <t>Pulse≥floor</t>
        </is>
      </c>
      <c r="D17" s="62">
        <f>Dosing!$D$19</f>
        <v/>
      </c>
      <c r="E17" t="inlineStr">
        <is>
          <t>From Dosing.</t>
        </is>
      </c>
    </row>
    <row r="18">
      <c r="A18" t="inlineStr">
        <is>
          <t>OD window</t>
        </is>
      </c>
      <c r="D18" s="60">
        <f>'Mass Transfer'!$D$72</f>
        <v/>
      </c>
      <c r="E18" t="inlineStr">
        <is>
          <t>From Mass Transfer.</t>
        </is>
      </c>
    </row>
    <row r="19">
      <c r="A19" t="inlineStr">
        <is>
          <t>H₂ headspace</t>
        </is>
      </c>
      <c r="D19" s="61">
        <f>Biology!$D$37</f>
        <v/>
      </c>
      <c r="E19" t="inlineStr">
        <is>
          <t>From Biology.</t>
        </is>
      </c>
    </row>
    <row r="21">
      <c r="A21" s="59" t="inlineStr">
        <is>
          <t>KEY</t>
        </is>
      </c>
    </row>
    <row r="22">
      <c r="A22" s="1" t="inlineStr">
        <is>
          <t>Verified / handbook / defined / standard</t>
        </is>
      </c>
    </row>
    <row r="23">
      <c r="A23" s="2" t="inlineStr">
        <is>
          <t>Literature-supported (~90%)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</sheetData>
  <dataValidations count="3">
    <dataValidation sqref="D3" showDropDown="0" showInputMessage="0" showErrorMessage="1" allowBlank="0" type="list">
      <formula1>"AEP0.1.1,AEP0.2"</formula1>
    </dataValidation>
    <dataValidation sqref="D4" showDropDown="0" showInputMessage="0" showErrorMessage="1" allowBlank="0" type="list">
      <formula1>"Tube,Sintered"</formula1>
    </dataValidation>
    <dataValidation sqref="D5" showDropDown="0" showInputMessage="0" showErrorMessage="1" allowBlank="0" type="list">
      <formula1>"0,1,2,3,4,5"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E48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version 1</t>
        </is>
      </c>
      <c r="B3" s="8" t="inlineStr">
        <is>
          <t>ver_name_1</t>
        </is>
      </c>
      <c r="C3" s="9" t="inlineStr">
        <is>
          <t>-</t>
        </is>
      </c>
      <c r="D3" s="30" t="inlineStr">
        <is>
          <t>AEP0.1.1</t>
        </is>
      </c>
      <c r="E3" s="10" t="inlineStr">
        <is>
          <t>Current build (20 mL Pioreactor vial, assumed).</t>
        </is>
      </c>
    </row>
    <row r="4">
      <c r="A4" s="7" t="inlineStr">
        <is>
          <t xml:space="preserve">  valid version 2</t>
        </is>
      </c>
      <c r="B4" s="8" t="inlineStr">
        <is>
          <t>ver_name_2</t>
        </is>
      </c>
      <c r="C4" s="9" t="inlineStr">
        <is>
          <t>-</t>
        </is>
      </c>
      <c r="D4" s="30" t="inlineStr">
        <is>
          <t>AEP0.2</t>
        </is>
      </c>
      <c r="E4" s="10" t="inlineStr">
        <is>
          <t>Planned build (40 mL Pioreactor vial).</t>
        </is>
      </c>
    </row>
    <row r="5">
      <c r="A5" s="7" t="inlineStr">
        <is>
          <t>Vial outer diameter - AEP0.1.1</t>
        </is>
      </c>
      <c r="B5" s="8" t="inlineStr">
        <is>
          <t>vial_OD_1</t>
        </is>
      </c>
      <c r="C5" s="9" t="inlineStr">
        <is>
          <t>mm</t>
        </is>
      </c>
      <c r="D5" s="24" t="n">
        <v>27.48</v>
      </c>
      <c r="E5" s="11" t="inlineStr">
        <is>
          <t>Pioreactor 20 mL vial, measured OD.</t>
        </is>
      </c>
    </row>
    <row r="6">
      <c r="A6" s="7" t="inlineStr">
        <is>
          <t>Vial outer diameter - AEP0.2</t>
        </is>
      </c>
      <c r="B6" s="8" t="inlineStr">
        <is>
          <t>vial_OD_2</t>
        </is>
      </c>
      <c r="C6" s="9" t="inlineStr">
        <is>
          <t>mm</t>
        </is>
      </c>
      <c r="D6" s="24" t="n">
        <v>27.48</v>
      </c>
      <c r="E6" s="21" t="inlineStr">
        <is>
          <t>40 mL vial — same diameter as 20 mL (Pioreactor source). Using 27.48 mm until measured.</t>
        </is>
      </c>
    </row>
    <row r="7">
      <c r="A7" s="7" t="inlineStr">
        <is>
          <t>Internal usable depth - AEP0.1.1</t>
        </is>
      </c>
      <c r="B7" s="8" t="inlineStr">
        <is>
          <t>D_int_1</t>
        </is>
      </c>
      <c r="C7" s="9" t="inlineStr">
        <is>
          <t>mm</t>
        </is>
      </c>
      <c r="D7" s="31" t="n">
        <v>55</v>
      </c>
      <c r="E7" s="12" t="inlineStr">
        <is>
          <t>20 mL vial total height 57.4 mm; usable depth est. Measure.</t>
        </is>
      </c>
    </row>
    <row r="8">
      <c r="A8" s="7" t="inlineStr">
        <is>
          <t>Internal usable depth - AEP0.2</t>
        </is>
      </c>
      <c r="B8" s="8" t="inlineStr">
        <is>
          <t>D_int_2</t>
        </is>
      </c>
      <c r="C8" s="9" t="inlineStr">
        <is>
          <t>mm</t>
        </is>
      </c>
      <c r="D8" s="31" t="n">
        <v>95</v>
      </c>
      <c r="E8" s="12" t="inlineStr">
        <is>
          <t>40 mL internal depth — measure. ~double the 20 mL (same diameter, double volume).</t>
        </is>
      </c>
    </row>
    <row r="9">
      <c r="A9" s="7" t="inlineStr">
        <is>
          <t>Recommended max working volume - AEP0.1.1</t>
        </is>
      </c>
      <c r="B9" s="8" t="inlineStr">
        <is>
          <t>Vmax_1</t>
        </is>
      </c>
      <c r="C9" s="9" t="inlineStr">
        <is>
          <t>mL</t>
        </is>
      </c>
      <c r="D9" s="31" t="n">
        <v>16</v>
      </c>
      <c r="E9" s="11" t="inlineStr">
        <is>
          <t>Pioreactor docs: 8-16 mL for 20 mL vial; using max as level datum.</t>
        </is>
      </c>
    </row>
    <row r="10" ht="24" customHeight="1">
      <c r="A10" s="7" t="inlineStr">
        <is>
          <t>Recommended max working volume - AEP0.2</t>
        </is>
      </c>
      <c r="B10" s="8" t="inlineStr">
        <is>
          <t>Vmax_2</t>
        </is>
      </c>
      <c r="C10" s="9" t="inlineStr">
        <is>
          <t>mL</t>
        </is>
      </c>
      <c r="D10" s="31" t="n">
        <v>30</v>
      </c>
      <c r="E10" s="11" t="inlineStr">
        <is>
          <t>Pioreactor docs recommend 10–30 mL working volume for the 40 mL vial; using the top of that range as level datum.</t>
        </is>
      </c>
    </row>
    <row r="11">
      <c r="A11" s="7" t="inlineStr">
        <is>
          <t>Total internal vial volume - AEP0.1.1</t>
        </is>
      </c>
      <c r="B11" s="8" t="inlineStr">
        <is>
          <t>Vtot_1</t>
        </is>
      </c>
      <c r="C11" s="9" t="inlineStr">
        <is>
          <t>mL</t>
        </is>
      </c>
      <c r="D11" s="31" t="n">
        <v>20</v>
      </c>
      <c r="E11" s="13" t="inlineStr">
        <is>
          <t>To cap underside (&gt; nominal). Placeholder - measure (water to fill).</t>
        </is>
      </c>
    </row>
    <row r="12">
      <c r="A12" s="7" t="inlineStr">
        <is>
          <t>Total internal vial volume - AEP0.2</t>
        </is>
      </c>
      <c r="B12" s="8" t="inlineStr">
        <is>
          <t>Vtot_2</t>
        </is>
      </c>
      <c r="C12" s="9" t="inlineStr">
        <is>
          <t>mL</t>
        </is>
      </c>
      <c r="D12" s="31" t="n">
        <v>40</v>
      </c>
      <c r="E12" s="13" t="inlineStr">
        <is>
          <t>Placeholder - measure.</t>
        </is>
      </c>
    </row>
    <row r="13">
      <c r="A13" s="7" t="inlineStr">
        <is>
          <t>Vial outer diameter</t>
        </is>
      </c>
      <c r="B13" s="8" t="inlineStr">
        <is>
          <t>vial_OD</t>
        </is>
      </c>
      <c r="C13" s="9" t="inlineStr">
        <is>
          <t>mm</t>
        </is>
      </c>
      <c r="D13" s="32">
        <f>IF(rx_ver=ver_name_1,vial_OD_1,IF(rx_ver=ver_name_2,vial_OD_2,NA()))</f>
        <v/>
      </c>
      <c r="E13" s="14" t="inlineStr">
        <is>
          <t>Selected by rx_ver; invalid version returns an error.</t>
        </is>
      </c>
    </row>
    <row r="14" ht="24" customHeight="1">
      <c r="A14" s="7" t="inlineStr">
        <is>
          <t>Vial wall thickness</t>
        </is>
      </c>
      <c r="B14" s="8" t="inlineStr">
        <is>
          <t>vial_wall</t>
        </is>
      </c>
      <c r="C14" s="9" t="inlineStr">
        <is>
          <t>mm</t>
        </is>
      </c>
      <c r="D14" s="24" t="n">
        <v>1.1</v>
      </c>
      <c r="E14" s="15" t="inlineStr">
        <is>
          <t>Borosilicate vial; Pioreactor publish neither wall nor internal diameter, so wall estimated ~1.1 mm (typical for this glass-vial class).</t>
        </is>
      </c>
    </row>
    <row r="15">
      <c r="A15" s="7" t="inlineStr">
        <is>
          <t>Vial internal diameter</t>
        </is>
      </c>
      <c r="B15" s="8" t="inlineStr">
        <is>
          <t>vial_ID</t>
        </is>
      </c>
      <c r="C15" s="9" t="inlineStr">
        <is>
          <t>mm</t>
        </is>
      </c>
      <c r="D15" s="32">
        <f>vial_OD-2*vial_wall</f>
        <v/>
      </c>
      <c r="E15" s="14" t="inlineStr">
        <is>
          <t>OD minus two wall thicknesses.</t>
        </is>
      </c>
    </row>
    <row r="16">
      <c r="A16" s="7" t="inlineStr">
        <is>
          <t>Internal cross-sectional area</t>
        </is>
      </c>
      <c r="B16" s="8" t="inlineStr">
        <is>
          <t>A_x</t>
        </is>
      </c>
      <c r="C16" s="9" t="inlineStr">
        <is>
          <t>mm²</t>
        </is>
      </c>
      <c r="D16" s="33">
        <f>PI()/4*vial_ID^2</f>
        <v/>
      </c>
      <c r="E16" s="14" t="inlineStr">
        <is>
          <t>Uniform-cylinder body approximation (neck excluded - see headspace).</t>
        </is>
      </c>
    </row>
    <row r="17">
      <c r="A17" s="7" t="inlineStr">
        <is>
          <t>Internal usable depth</t>
        </is>
      </c>
      <c r="B17" s="8" t="inlineStr">
        <is>
          <t>D_int</t>
        </is>
      </c>
      <c r="C17" s="9" t="inlineStr">
        <is>
          <t>mm</t>
        </is>
      </c>
      <c r="D17" s="33">
        <f>IF(rx_ver=ver_name_1,D_int_1,IF(rx_ver=ver_name_2,D_int_2,NA()))</f>
        <v/>
      </c>
      <c r="E17" s="14" t="inlineStr">
        <is>
          <t>Selected by rx_ver.</t>
        </is>
      </c>
    </row>
    <row r="18">
      <c r="A18" s="7" t="inlineStr">
        <is>
          <t>Recommended max working volume (datum)</t>
        </is>
      </c>
      <c r="B18" s="8" t="inlineStr">
        <is>
          <t>V_max</t>
        </is>
      </c>
      <c r="C18" s="9" t="inlineStr">
        <is>
          <t>mL</t>
        </is>
      </c>
      <c r="D18" s="33">
        <f>IF(rx_ver=ver_name_1,Vmax_1,IF(rx_ver=ver_name_2,Vmax_2,NA()))</f>
        <v/>
      </c>
      <c r="E18" s="14" t="inlineStr">
        <is>
          <t>Selected by rx_ver.</t>
        </is>
      </c>
    </row>
    <row r="19">
      <c r="A19" s="7" t="inlineStr">
        <is>
          <t>Total internal vial volume</t>
        </is>
      </c>
      <c r="B19" s="8" t="inlineStr">
        <is>
          <t>V_vial_total</t>
        </is>
      </c>
      <c r="C19" s="9" t="inlineStr">
        <is>
          <t>mL</t>
        </is>
      </c>
      <c r="D19" s="33">
        <f>IF(rx_ver=ver_name_1,Vtot_1,IF(rx_ver=ver_name_2,Vtot_2,NA()))</f>
        <v/>
      </c>
      <c r="E19" s="14" t="inlineStr">
        <is>
          <t>Selected by rx_ver.</t>
        </is>
      </c>
    </row>
    <row r="20">
      <c r="A20" s="7" t="inlineStr">
        <is>
          <t>Bare liquid level (datum height)</t>
        </is>
      </c>
      <c r="B20" s="8" t="inlineStr">
        <is>
          <t>h_datum</t>
        </is>
      </c>
      <c r="C20" s="9" t="inlineStr">
        <is>
          <t>mm</t>
        </is>
      </c>
      <c r="D20" s="32">
        <f>V_max*1000/A_x</f>
        <v/>
      </c>
      <c r="E20" s="14" t="inlineStr">
        <is>
          <t>Height the bare max volume reaches with no inserts.</t>
        </is>
      </c>
    </row>
    <row r="21">
      <c r="A21" s="7" t="inlineStr">
        <is>
          <t>Electrode rod diameter</t>
        </is>
      </c>
      <c r="B21" s="8" t="inlineStr">
        <is>
          <t>rod_d</t>
        </is>
      </c>
      <c r="C21" s="9" t="inlineStr">
        <is>
          <t>mm</t>
        </is>
      </c>
      <c r="D21" s="31" t="n">
        <v>6</v>
      </c>
      <c r="E21" s="10" t="inlineStr">
        <is>
          <t>6 mm rod electrodes.</t>
        </is>
      </c>
    </row>
    <row r="22">
      <c r="A22" s="7" t="inlineStr">
        <is>
          <t>Number of electrodes</t>
        </is>
      </c>
      <c r="B22" s="8" t="inlineStr">
        <is>
          <t>rod_n</t>
        </is>
      </c>
      <c r="C22" s="9" t="inlineStr">
        <is>
          <t>-</t>
        </is>
      </c>
      <c r="D22" s="30" t="n">
        <v>2</v>
      </c>
      <c r="E22" s="14" t="inlineStr">
        <is>
          <t>Anode + cathode.</t>
        </is>
      </c>
    </row>
    <row r="23">
      <c r="A23" s="7" t="inlineStr">
        <is>
          <t>Electrode tip clearance above base</t>
        </is>
      </c>
      <c r="B23" s="8" t="inlineStr">
        <is>
          <t>elec_clear</t>
        </is>
      </c>
      <c r="C23" s="9" t="inlineStr">
        <is>
          <t>mm</t>
        </is>
      </c>
      <c r="D23" s="31" t="n">
        <v>22</v>
      </c>
      <c r="E23" s="10" t="inlineStr">
        <is>
          <t>Held constant across builds (OD clear zone). 22 mm ↔ 33 mm insertion in AEP0.1.1. Input.</t>
        </is>
      </c>
    </row>
    <row r="24">
      <c r="A24" s="16" t="inlineStr">
        <is>
          <t>Electrode insertion depth (derived)</t>
        </is>
      </c>
      <c r="B24" s="8" t="inlineStr">
        <is>
          <t>elec_ins</t>
        </is>
      </c>
      <c r="C24" s="9" t="inlineStr">
        <is>
          <t>mm</t>
        </is>
      </c>
      <c r="D24" s="33">
        <f>D_int-elec_clear</f>
        <v/>
      </c>
      <c r="E24" s="14" t="inlineStr">
        <is>
          <t>Cap underside -&gt; tip. Increases for the taller AEP0.2 to keep clearance constant.</t>
        </is>
      </c>
    </row>
    <row r="25">
      <c r="A25" s="7" t="inlineStr">
        <is>
          <t>Sparge tube OD</t>
        </is>
      </c>
      <c r="B25" s="8" t="inlineStr">
        <is>
          <t>spg_OD</t>
        </is>
      </c>
      <c r="C25" s="9" t="inlineStr">
        <is>
          <t>mm</t>
        </is>
      </c>
      <c r="D25" s="34" t="n">
        <v>3.175</v>
      </c>
      <c r="E25" s="14" t="inlineStr">
        <is>
          <t>1/8" OD Flexelene 135C.</t>
        </is>
      </c>
    </row>
    <row r="26">
      <c r="A26" s="7" t="inlineStr">
        <is>
          <t>Sparge tube ID</t>
        </is>
      </c>
      <c r="B26" s="8" t="inlineStr">
        <is>
          <t>spg_ID</t>
        </is>
      </c>
      <c r="C26" s="9" t="inlineStr">
        <is>
          <t>mm</t>
        </is>
      </c>
      <c r="D26" s="35" t="n">
        <v>1.5875</v>
      </c>
      <c r="E26" s="14" t="inlineStr">
        <is>
          <t>1/16" ID.</t>
        </is>
      </c>
    </row>
    <row r="27">
      <c r="A27" s="7" t="inlineStr">
        <is>
          <t>Sparge release height (= anode tip)</t>
        </is>
      </c>
      <c r="B27" s="8" t="inlineStr">
        <is>
          <t>spg_tip_h</t>
        </is>
      </c>
      <c r="C27" s="9" t="inlineStr">
        <is>
          <t>mm</t>
        </is>
      </c>
      <c r="D27" s="33">
        <f>elec_clear</f>
        <v/>
      </c>
      <c r="E27" s="10" t="inlineStr">
        <is>
          <t>CO₂ released near anode tip.</t>
        </is>
      </c>
    </row>
    <row r="28">
      <c r="A28" s="7" t="inlineStr">
        <is>
          <t>Efflux tube OD</t>
        </is>
      </c>
      <c r="B28" s="8" t="inlineStr">
        <is>
          <t>eff_OD</t>
        </is>
      </c>
      <c r="C28" s="9" t="inlineStr">
        <is>
          <t>mm</t>
        </is>
      </c>
      <c r="D28" s="34" t="n">
        <v>3.175</v>
      </c>
      <c r="E28" s="14" t="inlineStr">
        <is>
          <t>1/8" OD Flexelene 135C.</t>
        </is>
      </c>
    </row>
    <row r="29">
      <c r="A29" s="7" t="inlineStr">
        <is>
          <t>Efflux tube ID</t>
        </is>
      </c>
      <c r="B29" s="8" t="inlineStr">
        <is>
          <t>eff_ID</t>
        </is>
      </c>
      <c r="C29" s="9" t="inlineStr">
        <is>
          <t>mm</t>
        </is>
      </c>
      <c r="D29" s="35" t="n">
        <v>1.5875</v>
      </c>
      <c r="E29" s="14" t="inlineStr">
        <is>
          <t>1/16" ID.</t>
        </is>
      </c>
    </row>
    <row r="30">
      <c r="A30" s="7" t="inlineStr">
        <is>
          <t>Electrode submerged length (@datum)</t>
        </is>
      </c>
      <c r="B30" s="8" t="inlineStr">
        <is>
          <t>elec_sub_L</t>
        </is>
      </c>
      <c r="C30" s="9" t="inlineStr">
        <is>
          <t>mm</t>
        </is>
      </c>
      <c r="D30" s="32">
        <f>MAX(0,h_datum-elec_clear)</f>
        <v/>
      </c>
      <c r="E30" s="14" t="inlineStr">
        <is>
          <t>For displacement bookkeeping.</t>
        </is>
      </c>
    </row>
    <row r="31">
      <c r="A31" s="7" t="inlineStr">
        <is>
          <t>Electrode displaced volume</t>
        </is>
      </c>
      <c r="B31" s="8" t="inlineStr">
        <is>
          <t>elec_disp</t>
        </is>
      </c>
      <c r="C31" s="9" t="inlineStr">
        <is>
          <t>mL</t>
        </is>
      </c>
      <c r="D31" s="36">
        <f>rod_n*(PI()/4*rod_d^2)*elec_sub_L/1000</f>
        <v/>
      </c>
      <c r="E31" s="14" t="inlineStr">
        <is>
          <t>Submerged rod volume.</t>
        </is>
      </c>
    </row>
    <row r="32">
      <c r="A32" s="7" t="inlineStr">
        <is>
          <t>Sparge tube displaced volume</t>
        </is>
      </c>
      <c r="B32" s="8" t="inlineStr">
        <is>
          <t>spg_disp</t>
        </is>
      </c>
      <c r="C32" s="9" t="inlineStr">
        <is>
          <t>mL</t>
        </is>
      </c>
      <c r="D32" s="36">
        <f>(PI()/4*spg_OD^2)*MAX(0,h_datum-spg_tip_h)/1000</f>
        <v/>
      </c>
      <c r="E32" s="14" t="inlineStr">
        <is>
          <t>Submerged sparge-tube volume.</t>
        </is>
      </c>
    </row>
    <row r="33">
      <c r="A33" s="7" t="inlineStr">
        <is>
          <t>Efflux tube submerged length</t>
        </is>
      </c>
      <c r="B33" s="8" t="inlineStr">
        <is>
          <t>eff_sub_L</t>
        </is>
      </c>
      <c r="C33" s="9" t="inlineStr">
        <is>
          <t>mm</t>
        </is>
      </c>
      <c r="D33" s="36">
        <f>(eff_OD+eff_ID)/2</f>
        <v/>
      </c>
      <c r="E33" s="10" t="inlineStr">
        <is>
          <t>45 deg cut; level held at top of the ID opening, so wall is wetted from tip up to (OD+ID)/2.</t>
        </is>
      </c>
    </row>
    <row r="34">
      <c r="A34" s="7" t="inlineStr">
        <is>
          <t>Efflux tube displaced volume</t>
        </is>
      </c>
      <c r="B34" s="8" t="inlineStr">
        <is>
          <t>eff_disp</t>
        </is>
      </c>
      <c r="C34" s="9" t="inlineStr">
        <is>
          <t>mL</t>
        </is>
      </c>
      <c r="D34" s="37">
        <f>(PI()/4*(eff_OD^2-eff_ID^2))*eff_sub_L/1000</f>
        <v/>
      </c>
      <c r="E34" s="10" t="inlineStr">
        <is>
          <t>Annular wall only (bore is open to withdrawal). 45 deg approximation.</t>
        </is>
      </c>
    </row>
    <row r="35">
      <c r="A35" s="7" t="inlineStr">
        <is>
          <t>Total displaced volume</t>
        </is>
      </c>
      <c r="B35" s="8" t="inlineStr">
        <is>
          <t>disp_tot</t>
        </is>
      </c>
      <c r="C35" s="9" t="inlineStr">
        <is>
          <t>mL</t>
        </is>
      </c>
      <c r="D35" s="36">
        <f>elec_disp+spg_disp+eff_disp</f>
        <v/>
      </c>
      <c r="E35" s="14" t="inlineStr">
        <is>
          <t>Sum of submerged inserts.</t>
        </is>
      </c>
    </row>
    <row r="36">
      <c r="A36" s="16" t="inlineStr">
        <is>
          <t>LIQUID VOLUME TO CHARGE</t>
        </is>
      </c>
      <c r="B36" s="8" t="inlineStr">
        <is>
          <t>V_charge</t>
        </is>
      </c>
      <c r="C36" s="9" t="inlineStr">
        <is>
          <t>mL</t>
        </is>
      </c>
      <c r="D36" s="38">
        <f>ROUND(V_max-disp_tot,0)</f>
        <v/>
      </c>
      <c r="E36" s="14" t="inlineStr">
        <is>
          <t>Integer mL to charge so the level matches the bare datum despite inserts.</t>
        </is>
      </c>
    </row>
    <row r="37">
      <c r="A37" s="16" t="inlineStr">
        <is>
          <t>Resulting liquid level</t>
        </is>
      </c>
      <c r="B37" s="8" t="inlineStr">
        <is>
          <t>h_actual</t>
        </is>
      </c>
      <c r="C37" s="9" t="inlineStr">
        <is>
          <t>mm</t>
        </is>
      </c>
      <c r="D37" s="32">
        <f>(V_charge+disp_tot)*1000/A_x</f>
        <v/>
      </c>
      <c r="E37" s="14" t="inlineStr">
        <is>
          <t>Level achieved by the integer charge (displacement taken at datum; sub-mm error).</t>
        </is>
      </c>
    </row>
    <row r="38">
      <c r="A38" s="16" t="inlineStr">
        <is>
          <t>Sparge depth / bubble path length</t>
        </is>
      </c>
      <c r="B38" s="8" t="inlineStr">
        <is>
          <t>sparge_depth</t>
        </is>
      </c>
      <c r="C38" s="9" t="inlineStr">
        <is>
          <t>mm</t>
        </is>
      </c>
      <c r="D38" s="32">
        <f>MAX(0,h_actual-spg_tip_h)</f>
        <v/>
      </c>
      <c r="E38" s="14" t="inlineStr">
        <is>
          <t>Release point to surface.</t>
        </is>
      </c>
    </row>
    <row r="39">
      <c r="A39" s="16" t="inlineStr">
        <is>
          <t>Gas-liquid interfacial area</t>
        </is>
      </c>
      <c r="B39" s="8" t="inlineStr">
        <is>
          <t>interface_A</t>
        </is>
      </c>
      <c r="C39" s="9" t="inlineStr">
        <is>
          <t>mm²</t>
        </is>
      </c>
      <c r="D39" s="33">
        <f>A_x-(rod_n*(PI()/4*rod_d^2)+(PI()/4*spg_OD^2)+(PI()/4*eff_OD^2))</f>
        <v/>
      </c>
      <c r="E39" s="10" t="inlineStr">
        <is>
          <t>Free surface = cross-section minus inserts piercing it.</t>
        </is>
      </c>
    </row>
    <row r="40">
      <c r="A40" s="7" t="inlineStr">
        <is>
          <t>Extra headspace tube OD</t>
        </is>
      </c>
      <c r="B40" s="8" t="inlineStr">
        <is>
          <t>xtube_OD</t>
        </is>
      </c>
      <c r="C40" s="9" t="inlineStr">
        <is>
          <t>mm</t>
        </is>
      </c>
      <c r="D40" s="36">
        <f>eff_OD</f>
        <v/>
      </c>
      <c r="E40" s="10" t="inlineStr">
        <is>
          <t>3 further 1/8" tubes (gas-out, etc.) through the cap.</t>
        </is>
      </c>
    </row>
    <row r="41">
      <c r="A41" s="7" t="inlineStr">
        <is>
          <t>Number of extra headspace tubes</t>
        </is>
      </c>
      <c r="B41" s="8" t="inlineStr">
        <is>
          <t>xtube_n</t>
        </is>
      </c>
      <c r="C41" s="9" t="inlineStr">
        <is>
          <t>-</t>
        </is>
      </c>
      <c r="D41" s="30" t="n">
        <v>3</v>
      </c>
      <c r="E41" s="10" t="inlineStr">
        <is>
          <t>Protrude through the cap into headspace. 1x media in, 2x gas out</t>
        </is>
      </c>
    </row>
    <row r="42">
      <c r="A42" s="7" t="inlineStr">
        <is>
          <t>Extra tube protrusion</t>
        </is>
      </c>
      <c r="B42" s="8" t="inlineStr">
        <is>
          <t>xtube_pro</t>
        </is>
      </c>
      <c r="C42" s="9" t="inlineStr">
        <is>
          <t>mm</t>
        </is>
      </c>
      <c r="D42" s="31" t="n">
        <v>5</v>
      </c>
      <c r="E42" s="15" t="inlineStr">
        <is>
          <t>Each protrudes ~5 mm below cap (45 deg cut). Input.</t>
        </is>
      </c>
    </row>
    <row r="43">
      <c r="A43" s="7" t="inlineStr">
        <is>
          <t>Total in-vial insert volume</t>
        </is>
      </c>
      <c r="B43" s="8" t="inlineStr">
        <is>
          <t>V_inserts</t>
        </is>
      </c>
      <c r="C43" s="9" t="inlineStr">
        <is>
          <t>mL</t>
        </is>
      </c>
      <c r="D43" s="36">
        <f>(rod_n*(PI()/4*rod_d^2)*elec_ins+(PI()/4*spg_OD^2)*spg_len+(PI()/4*(eff_OD^2-eff_ID^2))*(D_int-h_actual)+xtube_n*(PI()/4*xtube_OD^2)*xtube_pro)/1000</f>
        <v/>
      </c>
      <c r="E43" s="10" t="inlineStr">
        <is>
          <t>In-vial inserts: electrodes &amp; sparge solid; efflux annular (open bore); extra tubes solid.</t>
        </is>
      </c>
    </row>
    <row r="44">
      <c r="A44" s="16" t="inlineStr">
        <is>
          <t>Headspace gas volume</t>
        </is>
      </c>
      <c r="B44" s="8" t="inlineStr">
        <is>
          <t>headspace_V</t>
        </is>
      </c>
      <c r="C44" s="9" t="inlineStr">
        <is>
          <t>mL</t>
        </is>
      </c>
      <c r="D44" s="32">
        <f>V_vial_total-V_charge-V_inserts</f>
        <v/>
      </c>
      <c r="E44" s="10" t="inlineStr">
        <is>
          <t>Total vial volume - liquid charged - inserts (captures neck narrowing).</t>
        </is>
      </c>
    </row>
    <row r="45">
      <c r="A45" s="7" t="inlineStr">
        <is>
          <t>Sparge tube in-vial length</t>
        </is>
      </c>
      <c r="B45" s="8" t="inlineStr">
        <is>
          <t>spg_len</t>
        </is>
      </c>
      <c r="C45" s="9" t="inlineStr">
        <is>
          <t>mm</t>
        </is>
      </c>
      <c r="D45" s="22">
        <f>D_int-spg_tip_h</f>
        <v/>
      </c>
      <c r="E45" s="23" t="inlineStr">
        <is>
          <t>Cap underside to release point; tracks spg_tip_h.</t>
        </is>
      </c>
    </row>
    <row r="47">
      <c r="A47" s="64" t="inlineStr">
        <is>
          <t>IMPORTS (from other tabs)</t>
        </is>
      </c>
    </row>
    <row r="48">
      <c r="A48" t="inlineStr">
        <is>
          <t>(import) Reactor version</t>
        </is>
      </c>
      <c r="B48" t="inlineStr">
        <is>
          <t>rx_ver</t>
        </is>
      </c>
      <c r="C48" t="inlineStr">
        <is>
          <t>-</t>
        </is>
      </c>
      <c r="D48">
        <f>Summary!$D$3</f>
        <v/>
      </c>
      <c r="E48" t="inlineStr">
        <is>
          <t>From Summary.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E27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LED intensity setpoint (Pioreactor LED_D)</t>
        </is>
      </c>
      <c r="B3" s="8" t="inlineStr">
        <is>
          <t>intensity</t>
        </is>
      </c>
      <c r="C3" s="9" t="inlineStr">
        <is>
          <t>%</t>
        </is>
      </c>
      <c r="D3" s="39" t="n">
        <v>3</v>
      </c>
      <c r="E3" s="10" t="inlineStr">
        <is>
          <t>Electrode drive via LED_D channel. Input.</t>
        </is>
      </c>
    </row>
    <row r="4">
      <c r="A4" s="7" t="inlineStr">
        <is>
          <t>Gerrit's Law - slope</t>
        </is>
      </c>
      <c r="B4" s="8" t="inlineStr">
        <is>
          <t>gerrit_slope</t>
        </is>
      </c>
      <c r="C4" s="9" t="inlineStr">
        <is>
          <t>mA/%</t>
        </is>
      </c>
      <c r="D4" s="40" t="n">
        <v>1.03</v>
      </c>
      <c r="E4" s="11" t="inlineStr">
        <is>
          <t>Empirical current-vs-intensity fit (constant-current; electrolyte/volume-independent).</t>
        </is>
      </c>
    </row>
    <row r="5">
      <c r="A5" s="7" t="inlineStr">
        <is>
          <t>Gerrit's Law - intercept</t>
        </is>
      </c>
      <c r="B5" s="8" t="inlineStr">
        <is>
          <t>gerrit_int</t>
        </is>
      </c>
      <c r="C5" s="9" t="inlineStr">
        <is>
          <t>mA</t>
        </is>
      </c>
      <c r="D5" s="41" t="n">
        <v>2.6</v>
      </c>
      <c r="E5" s="11" t="inlineStr">
        <is>
          <t>Intercept of the same fit.</t>
        </is>
      </c>
    </row>
    <row r="6">
      <c r="A6" s="7" t="inlineStr">
        <is>
          <t>Gerrit's Law - min valid intensity</t>
        </is>
      </c>
      <c r="B6" s="8" t="inlineStr">
        <is>
          <t>gerrit_min</t>
        </is>
      </c>
      <c r="C6" s="9" t="inlineStr">
        <is>
          <t>%</t>
        </is>
      </c>
      <c r="D6" s="42" t="n">
        <v>3</v>
      </c>
      <c r="E6" s="11" t="inlineStr">
        <is>
          <t>Fit validated from 3%.</t>
        </is>
      </c>
    </row>
    <row r="7">
      <c r="A7" s="7" t="inlineStr">
        <is>
          <t>Gerrit's Law - max valid intensity</t>
        </is>
      </c>
      <c r="B7" s="8" t="inlineStr">
        <is>
          <t>gerrit_max</t>
        </is>
      </c>
      <c r="C7" s="9" t="inlineStr">
        <is>
          <t>%</t>
        </is>
      </c>
      <c r="D7" s="42" t="n">
        <v>25</v>
      </c>
      <c r="E7" s="11" t="inlineStr">
        <is>
          <t>Fit validated to 25%; above this constant-current may fail as cell V nears the 5 V rail.</t>
        </is>
      </c>
    </row>
    <row r="8">
      <c r="A8" s="7" t="inlineStr">
        <is>
          <t>Faraday constant</t>
        </is>
      </c>
      <c r="B8" s="8" t="inlineStr">
        <is>
          <t>F_const</t>
        </is>
      </c>
      <c r="C8" s="9" t="inlineStr">
        <is>
          <t>C/mol</t>
        </is>
      </c>
      <c r="D8" s="43" t="n">
        <v>96485.33212000001</v>
      </c>
      <c r="E8" s="17" t="inlineStr">
        <is>
          <t>NIST CODATA (exact, SI 2019).</t>
        </is>
      </c>
    </row>
    <row r="9">
      <c r="A9" s="7" t="inlineStr">
        <is>
          <t>Electrons per H₂</t>
        </is>
      </c>
      <c r="B9" s="8" t="inlineStr">
        <is>
          <t>z_e_H2</t>
        </is>
      </c>
      <c r="C9" s="9" t="inlineStr">
        <is>
          <t>-</t>
        </is>
      </c>
      <c r="D9" s="44" t="n">
        <v>2</v>
      </c>
      <c r="E9" s="14" t="inlineStr">
        <is>
          <t>2H⁺ + 2e⁻ -&gt; H₂.</t>
        </is>
      </c>
    </row>
    <row r="10">
      <c r="A10" s="7" t="inlineStr">
        <is>
          <t>Electrons per O₂</t>
        </is>
      </c>
      <c r="B10" s="8" t="inlineStr">
        <is>
          <t>z_e_O2</t>
        </is>
      </c>
      <c r="C10" s="9" t="inlineStr">
        <is>
          <t>-</t>
        </is>
      </c>
      <c r="D10" s="44" t="n">
        <v>4</v>
      </c>
      <c r="E10" s="14" t="inlineStr">
        <is>
          <t>2H₂O -&gt; O₂ + 4H⁺ + 4e⁻.</t>
        </is>
      </c>
    </row>
    <row r="11" ht="36" customHeight="1">
      <c r="A11" s="7" t="inlineStr">
        <is>
          <t>Faradaic efficiency – H₂ at cathode (HER share)</t>
        </is>
      </c>
      <c r="B11" s="8" t="inlineStr">
        <is>
          <t>etaF</t>
        </is>
      </c>
      <c r="C11" s="9" t="inlineStr">
        <is>
          <t>-</t>
        </is>
      </c>
      <c r="D11" s="24" t="n">
        <v>1</v>
      </c>
      <c r="E11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2">
      <c r="A12" s="7" t="inlineStr">
        <is>
          <t>Electrolysis current (Gerrit's Law)</t>
        </is>
      </c>
      <c r="B12" s="8" t="inlineStr">
        <is>
          <t>I_app</t>
        </is>
      </c>
      <c r="C12" s="9" t="inlineStr">
        <is>
          <t>A</t>
        </is>
      </c>
      <c r="D12" s="37">
        <f>(gerrit_slope*intensity+gerrit_int)/1000</f>
        <v/>
      </c>
      <c r="E12" s="11" t="inlineStr">
        <is>
          <t>I(mA) = slope x intensity + intercept; /1000 -&gt; A.</t>
        </is>
      </c>
    </row>
    <row r="13">
      <c r="A13" s="7" t="inlineStr">
        <is>
          <t>Gerrit's Law validity flag</t>
        </is>
      </c>
      <c r="B13" s="8" t="inlineStr">
        <is>
          <t>I_valid</t>
        </is>
      </c>
      <c r="C13" s="9" t="inlineStr">
        <is>
          <t>-</t>
        </is>
      </c>
      <c r="D13" s="45">
        <f>IF(AND(intensity&gt;=gerrit_min,intensity&lt;=gerrit_max),"OK","OUT")</f>
        <v/>
      </c>
      <c r="E13" s="11" t="inlineStr">
        <is>
          <t>Linear fit only validated over the stated range.</t>
        </is>
      </c>
    </row>
    <row r="14">
      <c r="A14" s="7" t="inlineStr">
        <is>
          <t>H₂ generation rate</t>
        </is>
      </c>
      <c r="B14" s="8" t="inlineStr">
        <is>
          <t>rH2_gen</t>
        </is>
      </c>
      <c r="C14" s="9" t="inlineStr">
        <is>
          <t>mol/h</t>
        </is>
      </c>
      <c r="D14" s="22">
        <f>I_app*etaF/(z_e_H2*F_const)*3600</f>
        <v/>
      </c>
      <c r="E14" s="14" t="inlineStr">
        <is>
          <t>Faraday: I x etaF /(z F).</t>
        </is>
      </c>
    </row>
    <row r="15">
      <c r="A15" s="7" t="inlineStr">
        <is>
          <t>O₂ generation rate (anodic, gross)</t>
        </is>
      </c>
      <c r="B15" s="8" t="inlineStr">
        <is>
          <t>rO2_gen</t>
        </is>
      </c>
      <c r="C15" s="9" t="inlineStr">
        <is>
          <t>mol/h</t>
        </is>
      </c>
      <c r="D15" s="22">
        <f>I_app*etaF_OER/(z_e_O2*F_const)*3600</f>
        <v/>
      </c>
      <c r="E15" s="14" t="inlineStr">
        <is>
          <t>Anodic OER, gross. Uses etaF_OER (anodic), not the cathodic etaF. H₂:O₂(anodic) = 2:1.</t>
        </is>
      </c>
    </row>
    <row r="16">
      <c r="A16" s="7" t="inlineStr">
        <is>
          <t>H₂ generation rate (volumetric)</t>
        </is>
      </c>
      <c r="B16" s="8" t="inlineStr">
        <is>
          <t>V_H2_gen</t>
        </is>
      </c>
      <c r="C16" s="9" t="inlineStr">
        <is>
          <t>mL/min</t>
        </is>
      </c>
      <c r="D16" s="22">
        <f>rH2_gen/60*R_gas*T_K/P_atm*1000000</f>
        <v/>
      </c>
      <c r="E16" s="14" t="inlineStr">
        <is>
          <t>Ideal gas at surface T,P. Collect gas over water to check against this.</t>
        </is>
      </c>
    </row>
    <row r="17">
      <c r="A17" s="7" t="inlineStr">
        <is>
          <t>O₂ generation rate (volumetric)</t>
        </is>
      </c>
      <c r="B17" s="8" t="inlineStr">
        <is>
          <t>V_O2_gen</t>
        </is>
      </c>
      <c r="C17" s="9" t="inlineStr">
        <is>
          <t>mL/min</t>
        </is>
      </c>
      <c r="D17" s="22">
        <f>rO2_gen/60*R_gas*T_K/P_atm*1000000</f>
        <v/>
      </c>
      <c r="E17" s="14" t="inlineStr">
        <is>
          <t>Anodic gross O₂.</t>
        </is>
      </c>
    </row>
    <row r="18" ht="24" customHeight="1">
      <c r="A18" s="7" t="inlineStr">
        <is>
          <t>Total gas generation rate</t>
        </is>
      </c>
      <c r="B18" s="8" t="inlineStr">
        <is>
          <t>V_gas_total</t>
        </is>
      </c>
      <c r="C18" s="9" t="inlineStr">
        <is>
          <t>mL/min</t>
        </is>
      </c>
      <c r="D18" s="22">
        <f>V_H2_gen+V_O2_gen</f>
        <v/>
      </c>
      <c r="E18" s="14" t="inlineStr">
        <is>
          <t>Total electrolytic gas (H₂+O₂) — abiotic check: collect over water, no cells, to verify Gerrit/etaF. Less if etaF&lt;1.</t>
        </is>
      </c>
    </row>
    <row r="19" ht="24" customHeight="1">
      <c r="A19" s="7" t="inlineStr">
        <is>
          <t>Anodic O₂ faradaic efficiency</t>
        </is>
      </c>
      <c r="B19" s="8" t="inlineStr">
        <is>
          <t>etaF_OER</t>
        </is>
      </c>
      <c r="C19" s="9" t="inlineStr">
        <is>
          <t>-</t>
        </is>
      </c>
      <c r="D19" s="24" t="n">
        <v>1</v>
      </c>
      <c r="E19" s="25" t="inlineStr">
        <is>
          <t>OER at the anode assumed ~100% faradaic; the cell's inefficiency is cathodic (O₂ reduction competing with H₂), not anodic. Design assumption.</t>
        </is>
      </c>
    </row>
    <row r="20" ht="24" customHeight="1">
      <c r="A20" s="7" t="inlineStr">
        <is>
          <t>Electrons per O₂ reduced (cathode)</t>
        </is>
      </c>
      <c r="B20" s="8" t="inlineStr">
        <is>
          <t>z_e_ORR</t>
        </is>
      </c>
      <c r="C20" s="9" t="inlineStr">
        <is>
          <t>-</t>
        </is>
      </c>
      <c r="D20" s="24" t="n">
        <v>4</v>
      </c>
      <c r="E20" s="25" t="inlineStr">
        <is>
          <t>Electrons per cathodic O₂. 4 = to water; 2 = peroxide (favoured on non-Pt, neutral pH) — consumes 2× the O₂/amp, and H₂O₂ is biocidal. Inert while etaF=1.</t>
        </is>
      </c>
    </row>
    <row r="21">
      <c r="A21" s="7" t="inlineStr">
        <is>
          <t>O₂ consumed at cathode (ORR)</t>
        </is>
      </c>
      <c r="B21" s="8" t="inlineStr">
        <is>
          <t>O2_cathode_ORR</t>
        </is>
      </c>
      <c r="C21" s="9" t="inlineStr">
        <is>
          <t>mol/h</t>
        </is>
      </c>
      <c r="D21" s="22">
        <f>I_app*(1-etaF)/(z_e_ORR*F_const)*3600</f>
        <v/>
      </c>
      <c r="E21" s="23" t="inlineStr">
        <is>
          <t>Cathodic current not making H₂ (1−etaF) reduces dissolved O₂. 0 at etaF=1.</t>
        </is>
      </c>
    </row>
    <row r="22">
      <c r="A22" s="7" t="inlineStr">
        <is>
          <t>Net O₂ to dissolved pool</t>
        </is>
      </c>
      <c r="B22" s="8" t="inlineStr">
        <is>
          <t>O2_net_gen</t>
        </is>
      </c>
      <c r="C22" s="9" t="inlineStr">
        <is>
          <t>mol/h</t>
        </is>
      </c>
      <c r="D22" s="22">
        <f>rO2_gen-O2_cathode_ORR</f>
        <v/>
      </c>
      <c r="E22" s="23" t="inlineStr">
        <is>
          <t>Anodic O₂ minus cathodic consumption — the O₂ the dissolved pool receives.</t>
        </is>
      </c>
    </row>
    <row r="24">
      <c r="A24" s="64" t="inlineStr">
        <is>
          <t>IMPORTS (from other tabs)</t>
        </is>
      </c>
    </row>
    <row r="25">
      <c r="A25" t="inlineStr">
        <is>
          <t>(import) Temperature (absolute)</t>
        </is>
      </c>
      <c r="B25" t="inlineStr">
        <is>
          <t>T_K</t>
        </is>
      </c>
      <c r="C25" t="inlineStr">
        <is>
          <t>K</t>
        </is>
      </c>
      <c r="D25" s="61">
        <f>Biology!$D$11</f>
        <v/>
      </c>
      <c r="E25" t="inlineStr">
        <is>
          <t>From Biology.</t>
        </is>
      </c>
    </row>
    <row r="26">
      <c r="A26" t="inlineStr">
        <is>
          <t>(import) Surface pressure</t>
        </is>
      </c>
      <c r="B26" t="inlineStr">
        <is>
          <t>P_atm</t>
        </is>
      </c>
      <c r="C26" t="inlineStr">
        <is>
          <t>Pa</t>
        </is>
      </c>
      <c r="D26" s="61">
        <f>Biology!$D$12</f>
        <v/>
      </c>
      <c r="E26" t="inlineStr">
        <is>
          <t>From Biology.</t>
        </is>
      </c>
    </row>
    <row r="27">
      <c r="A27" t="inlineStr">
        <is>
          <t>(import) Ideal gas constant</t>
        </is>
      </c>
      <c r="B27" t="inlineStr">
        <is>
          <t>R_gas</t>
        </is>
      </c>
      <c r="C27" t="inlineStr">
        <is>
          <t>J/mol/K</t>
        </is>
      </c>
      <c r="D27" s="62">
        <f>Dosing!$D$7</f>
        <v/>
      </c>
      <c r="E27" t="inlineStr">
        <is>
          <t>From Dosing.</t>
        </is>
      </c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E42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inlineStr">
        <is>
          <t>Gas requirement ratio - H₂</t>
        </is>
      </c>
      <c r="B3" s="8" t="inlineStr">
        <is>
          <t>bio_H2</t>
        </is>
      </c>
      <c r="C3" s="9" t="inlineStr">
        <is>
          <t>-</t>
        </is>
      </c>
      <c r="D3" s="30" t="n">
        <v>6</v>
      </c>
      <c r="E3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4">
      <c r="A4" s="7" t="inlineStr">
        <is>
          <t>Gas requirement ratio - O₂</t>
        </is>
      </c>
      <c r="B4" s="8" t="inlineStr">
        <is>
          <t>bio_O2</t>
        </is>
      </c>
      <c r="C4" s="9" t="inlineStr">
        <is>
          <t>-</t>
        </is>
      </c>
      <c r="D4" s="30" t="n">
        <v>2</v>
      </c>
      <c r="E4" s="18" t="inlineStr">
        <is>
          <t>O₂:H₂ uptake, range 0.29–0.35 (×6 → 1.75–2.1). 2 = central; 1.8 (lean) is growth-protective.</t>
        </is>
      </c>
    </row>
    <row r="5">
      <c r="A5" s="7" t="inlineStr">
        <is>
          <t>Gas requirement ratio - CO₂</t>
        </is>
      </c>
      <c r="B5" s="8" t="inlineStr">
        <is>
          <t>bio_CO2</t>
        </is>
      </c>
      <c r="C5" s="9" t="inlineStr">
        <is>
          <t>-</t>
        </is>
      </c>
      <c r="D5" s="30" t="n">
        <v>1</v>
      </c>
      <c r="E5" s="18" t="inlineStr">
        <is>
          <t>CO₂:H₂ uptake, range 0.15–0.19 (×6 → 0.9–1.15). 1 = central. Supply ≫ demand → non-limiting.</t>
        </is>
      </c>
    </row>
    <row r="6">
      <c r="A6" s="7" t="inlineStr">
        <is>
          <t>H₂ consumed</t>
        </is>
      </c>
      <c r="B6" s="8" t="inlineStr">
        <is>
          <t>H2_cons</t>
        </is>
      </c>
      <c r="C6" s="9" t="inlineStr">
        <is>
          <t>mol/h</t>
        </is>
      </c>
      <c r="D6" s="22">
        <f>rH2_gen</f>
        <v/>
      </c>
      <c r="E6" s="10" t="inlineStr">
        <is>
          <t>Assumes 100% of evolved H₂ consumed — steady growth only; ~0 during lag (see §13).</t>
        </is>
      </c>
    </row>
    <row r="7">
      <c r="A7" s="7" t="inlineStr">
        <is>
          <t>O₂ consumed</t>
        </is>
      </c>
      <c r="B7" s="8" t="inlineStr">
        <is>
          <t>O2_cons</t>
        </is>
      </c>
      <c r="C7" s="9" t="inlineStr">
        <is>
          <t>mol/h</t>
        </is>
      </c>
      <c r="D7" s="22">
        <f>H2_cons*bio_O2/bio_H2</f>
        <v/>
      </c>
      <c r="E7" s="10" t="inlineStr">
        <is>
          <t>H₂ consumed × O₂:H₂. Steady growth only; ~0 during lag.</t>
        </is>
      </c>
    </row>
    <row r="8">
      <c r="A8" s="7" t="inlineStr">
        <is>
          <t>CO₂ consumed (carbon fixation)</t>
        </is>
      </c>
      <c r="B8" s="8" t="inlineStr">
        <is>
          <t>CO2_cons</t>
        </is>
      </c>
      <c r="C8" s="9" t="inlineStr">
        <is>
          <t>mol/h</t>
        </is>
      </c>
      <c r="D8" s="22">
        <f>H2_cons*bio_CO2/bio_H2</f>
        <v/>
      </c>
      <c r="E8" s="10" t="inlineStr">
        <is>
          <t>H₂ consumed x (CO₂/H₂ ratio).</t>
        </is>
      </c>
    </row>
    <row r="9">
      <c r="A9" s="16" t="inlineStr">
        <is>
          <t>EXCESS O₂ to remove</t>
        </is>
      </c>
      <c r="B9" s="8" t="inlineStr">
        <is>
          <t>O2_excess</t>
        </is>
      </c>
      <c r="C9" s="9" t="inlineStr">
        <is>
          <t>mol/h</t>
        </is>
      </c>
      <c r="D9" s="22">
        <f>O2_net_gen-O2_cons</f>
        <v/>
      </c>
      <c r="E9" s="14" t="inlineStr">
        <is>
          <t>Net O₂ (after cathode) minus biological uptake — the surplus to strip.</t>
        </is>
      </c>
    </row>
    <row r="10">
      <c r="A10" s="7" t="inlineStr">
        <is>
          <t>Temperature</t>
        </is>
      </c>
      <c r="B10" s="8" t="inlineStr">
        <is>
          <t>T_C</t>
        </is>
      </c>
      <c r="C10" s="9" t="inlineStr">
        <is>
          <t>°C</t>
        </is>
      </c>
      <c r="D10" s="31" t="n">
        <v>30</v>
      </c>
      <c r="E10" s="10" t="inlineStr">
        <is>
          <t>C. necator optimum ~30 °C. Input.</t>
        </is>
      </c>
    </row>
    <row r="11">
      <c r="A11" s="7" t="inlineStr">
        <is>
          <t>Temperature (absolute)</t>
        </is>
      </c>
      <c r="B11" s="8" t="inlineStr">
        <is>
          <t>T_K</t>
        </is>
      </c>
      <c r="C11" s="9" t="inlineStr">
        <is>
          <t>K</t>
        </is>
      </c>
      <c r="D11" s="32">
        <f>T_C+273.15</f>
        <v/>
      </c>
      <c r="E11" s="14" t="inlineStr">
        <is>
          <t>°C + 273.15.</t>
        </is>
      </c>
    </row>
    <row r="12">
      <c r="A12" s="7" t="inlineStr">
        <is>
          <t>Surface pressure</t>
        </is>
      </c>
      <c r="B12" s="8" t="inlineStr">
        <is>
          <t>P_atm</t>
        </is>
      </c>
      <c r="C12" s="9" t="inlineStr">
        <is>
          <t>Pa</t>
        </is>
      </c>
      <c r="D12" s="30" t="n">
        <v>101325</v>
      </c>
      <c r="E12" s="10" t="inlineStr">
        <is>
          <t>Atmospheric at the liquid surface (assumed).</t>
        </is>
      </c>
    </row>
    <row r="13">
      <c r="A13" s="7" t="inlineStr">
        <is>
          <t>Standard atmosphere (atm-&gt;Pa)</t>
        </is>
      </c>
      <c r="B13" s="8" t="inlineStr">
        <is>
          <t>Pa_per_atm</t>
        </is>
      </c>
      <c r="C13" s="9" t="inlineStr">
        <is>
          <t>Pa/atm</t>
        </is>
      </c>
      <c r="D13" s="44" t="n">
        <v>101325</v>
      </c>
      <c r="E13" s="14" t="inlineStr">
        <is>
          <t>Defined: 1 atm = 101 325 Pa exactly.</t>
        </is>
      </c>
    </row>
    <row r="14">
      <c r="A14" s="7" t="inlineStr">
        <is>
          <t>Henry solubility O₂ (ref, 298.15 K)</t>
        </is>
      </c>
      <c r="B14" s="8" t="inlineStr">
        <is>
          <t>H_O2ref</t>
        </is>
      </c>
      <c r="C14" s="9" t="inlineStr">
        <is>
          <t>mol/m³/Pa</t>
        </is>
      </c>
      <c r="D14" s="44" t="n">
        <v>1.3e-05</v>
      </c>
      <c r="E14" s="11" t="inlineStr">
        <is>
          <t>Sander (2023) compilation (supersedes 2015), value from Burkholder et al. 2019.</t>
        </is>
      </c>
    </row>
    <row r="15">
      <c r="A15" s="7" t="inlineStr">
        <is>
          <t>Henry T-dependence O₂</t>
        </is>
      </c>
      <c r="B15" s="8" t="inlineStr">
        <is>
          <t>H_O2T</t>
        </is>
      </c>
      <c r="C15" s="9" t="inlineStr">
        <is>
          <t>K</t>
        </is>
      </c>
      <c r="D15" s="44" t="n">
        <v>1500</v>
      </c>
      <c r="E15" s="11" t="inlineStr">
        <is>
          <t>Sander (2023): d ln(Hcp)/d(1/T).</t>
        </is>
      </c>
    </row>
    <row r="16">
      <c r="A16" s="7" t="inlineStr">
        <is>
          <t>Reference temperature</t>
        </is>
      </c>
      <c r="B16" s="8" t="inlineStr">
        <is>
          <t>T_ref</t>
        </is>
      </c>
      <c r="C16" s="9" t="inlineStr">
        <is>
          <t>K</t>
        </is>
      </c>
      <c r="D16" s="44" t="n">
        <v>298.15</v>
      </c>
      <c r="E16" s="14" t="inlineStr">
        <is>
          <t>Standard reference for Henry constants.</t>
        </is>
      </c>
    </row>
    <row r="17">
      <c r="A17" s="7" t="inlineStr">
        <is>
          <t>Henry solubility O₂ at T</t>
        </is>
      </c>
      <c r="B17" s="8" t="inlineStr">
        <is>
          <t>H_O2_T</t>
        </is>
      </c>
      <c r="C17" s="9" t="inlineStr">
        <is>
          <t>mol/m³/Pa</t>
        </is>
      </c>
      <c r="D17" s="46">
        <f>H_O2ref*EXP(H_O2T*(1/T_K-1/T_ref))</f>
        <v/>
      </c>
      <c r="E17" s="14" t="inlineStr">
        <is>
          <t>van 't Hoff correction to reactor T.</t>
        </is>
      </c>
    </row>
    <row r="18" ht="24" customHeight="1">
      <c r="A18" s="7" t="inlineStr">
        <is>
          <t>O₂ growth-inhibition ceiling (gas)</t>
        </is>
      </c>
      <c r="B18" s="8" t="inlineStr">
        <is>
          <t>O2_ceil_atm</t>
        </is>
      </c>
      <c r="C18" s="9" t="inlineStr">
        <is>
          <t>atm</t>
        </is>
      </c>
      <c r="D18" s="44" t="n">
        <v>0.3</v>
      </c>
      <c r="E18" s="11" t="inlineStr">
        <is>
          <t>Whole-cell growth inhibited above ~0.30 atm O₂ (Amer &amp; Kim 2023); the [NiFe] hydrogenase itself is O₂-tolerant.</t>
        </is>
      </c>
    </row>
    <row r="19">
      <c r="A19" s="7" t="inlineStr">
        <is>
          <t>O₂ ceiling (partial pressure)</t>
        </is>
      </c>
      <c r="B19" s="8" t="inlineStr">
        <is>
          <t>O2_ceil_Pa</t>
        </is>
      </c>
      <c r="C19" s="9" t="inlineStr">
        <is>
          <t>Pa</t>
        </is>
      </c>
      <c r="D19" s="33">
        <f>O2_ceil_atm*Pa_per_atm</f>
        <v/>
      </c>
      <c r="E19" s="14" t="inlineStr">
        <is>
          <t>Ceiling in Pa.</t>
        </is>
      </c>
    </row>
    <row r="20">
      <c r="A20" s="7" t="inlineStr">
        <is>
          <t>Dissolved-O₂ ceiling</t>
        </is>
      </c>
      <c r="B20" s="8" t="inlineStr">
        <is>
          <t>O2_ceil_C</t>
        </is>
      </c>
      <c r="C20" s="9" t="inlineStr">
        <is>
          <t>mol/m³</t>
        </is>
      </c>
      <c r="D20" s="37">
        <f>H_O2_T*O2_ceil_Pa</f>
        <v/>
      </c>
      <c r="E20" s="14" t="inlineStr">
        <is>
          <t>Henry's law at the gas ceiling.</t>
        </is>
      </c>
    </row>
    <row r="21">
      <c r="A21" s="16" t="inlineStr">
        <is>
          <t>Dissolved-O₂ ceiling</t>
        </is>
      </c>
      <c r="B21" s="8" t="inlineStr">
        <is>
          <t>O2_ceil_uM</t>
        </is>
      </c>
      <c r="C21" s="9" t="inlineStr">
        <is>
          <t>µM</t>
        </is>
      </c>
      <c r="D21" s="33">
        <f>O2_ceil_C*1000</f>
        <v/>
      </c>
      <c r="E21" s="19" t="inlineStr">
        <is>
          <t>mol/m³ = mM; ×1000 = µM. Aim: minimise dissolved O₂; floor set by O₂-removal capacity (§11).</t>
        </is>
      </c>
    </row>
    <row r="22">
      <c r="A22" s="7" t="inlineStr">
        <is>
          <t>Henry solubility CO₂ (ref, 298.15 K)</t>
        </is>
      </c>
      <c r="B22" s="8" t="inlineStr">
        <is>
          <t>H_CO2ref</t>
        </is>
      </c>
      <c r="C22" s="9" t="inlineStr">
        <is>
          <t>mol/m³/Pa</t>
        </is>
      </c>
      <c r="D22" s="47" t="n">
        <v>0.00033</v>
      </c>
      <c r="E22" s="54" t="inlineStr">
        <is>
          <t>Sander (2023) compilation; CO₂ ~25× more soluble than O₂.</t>
        </is>
      </c>
    </row>
    <row r="23">
      <c r="A23" s="7" t="inlineStr">
        <is>
          <t>Henry T-dependence CO₂</t>
        </is>
      </c>
      <c r="B23" s="8" t="inlineStr">
        <is>
          <t>H_CO2T</t>
        </is>
      </c>
      <c r="C23" s="9" t="inlineStr">
        <is>
          <t>K</t>
        </is>
      </c>
      <c r="D23" s="47" t="n">
        <v>2400</v>
      </c>
      <c r="E23" s="54" t="inlineStr">
        <is>
          <t>Sander (2023): d ln(Hcp)/d(1/T) for CO₂.</t>
        </is>
      </c>
    </row>
    <row r="24">
      <c r="A24" s="7" t="inlineStr">
        <is>
          <t>Henry solubility CO₂ at T</t>
        </is>
      </c>
      <c r="B24" s="8" t="inlineStr">
        <is>
          <t>H_CO2_T</t>
        </is>
      </c>
      <c r="C24" s="9" t="inlineStr">
        <is>
          <t>mol/m³/Pa</t>
        </is>
      </c>
      <c r="D24" s="22">
        <f>H_CO2ref*EXP(H_CO2T*(1/T_K-1/T_ref))</f>
        <v/>
      </c>
      <c r="E24" s="23" t="inlineStr">
        <is>
          <t>van 't Hoff to reactor T.</t>
        </is>
      </c>
    </row>
    <row r="25">
      <c r="A25" s="7" t="inlineStr">
        <is>
          <t>CO₂ partial pressure at sparge</t>
        </is>
      </c>
      <c r="B25" s="8" t="inlineStr">
        <is>
          <t>p_CO2_sparge</t>
        </is>
      </c>
      <c r="C25" s="9" t="inlineStr">
        <is>
          <t>Pa</t>
        </is>
      </c>
      <c r="D25" s="22">
        <f>P_atm</f>
        <v/>
      </c>
      <c r="E25" s="25" t="inlineStr">
        <is>
          <t>Pure-CO₂ sparge: p_CO₂ ≈ surface pressure during a pulse. Assumption.</t>
        </is>
      </c>
    </row>
    <row r="26">
      <c r="A26" s="7" t="inlineStr">
        <is>
          <t>Dissolved CO₂ (during sparge)</t>
        </is>
      </c>
      <c r="B26" s="8" t="inlineStr">
        <is>
          <t>CO2_diss</t>
        </is>
      </c>
      <c r="C26" s="9" t="inlineStr">
        <is>
          <t>mol/m³</t>
        </is>
      </c>
      <c r="D26" s="22">
        <f>H_CO2_T*p_CO2_sparge</f>
        <v/>
      </c>
      <c r="E26" s="23" t="inlineStr">
        <is>
          <t>Equilibrium dissolved CO₂ while sparging (mol/m³ = mM).</t>
        </is>
      </c>
    </row>
    <row r="27">
      <c r="A27" s="7" t="inlineStr">
        <is>
          <t>RuBisCO Km for CO₂</t>
        </is>
      </c>
      <c r="B27" s="8" t="inlineStr">
        <is>
          <t>Km_CO2</t>
        </is>
      </c>
      <c r="C27" s="9" t="inlineStr">
        <is>
          <t>µM</t>
        </is>
      </c>
      <c r="D27" s="52" t="n">
        <v>50</v>
      </c>
      <c r="E27" s="53" t="inlineStr">
        <is>
          <t>RuBisCO Km(CO₂) ~ order 50 µM. Coarse — confirm.</t>
        </is>
      </c>
    </row>
    <row r="28">
      <c r="A28" s="7" t="inlineStr">
        <is>
          <t>Carbon margin (dissolved CO₂ : Km)</t>
        </is>
      </c>
      <c r="B28" s="8" t="inlineStr">
        <is>
          <t>CO2_carbon_margin</t>
        </is>
      </c>
      <c r="C28" s="9" t="inlineStr">
        <is>
          <t>×</t>
        </is>
      </c>
      <c r="D28" s="22">
        <f>CO2_diss*1000/Km_CO2</f>
        <v/>
      </c>
      <c r="E28" s="23" t="inlineStr">
        <is>
          <t>Dissolved CO₂ : RuBisCO Km. ≫1 = saturating (duty-averaged lower).</t>
        </is>
      </c>
    </row>
    <row r="29">
      <c r="A29" s="7" t="inlineStr">
        <is>
          <t>Carbonic-acid Ka1 (apparent)</t>
        </is>
      </c>
      <c r="B29" s="8" t="inlineStr">
        <is>
          <t>Ka1_carb</t>
        </is>
      </c>
      <c r="C29" s="9" t="inlineStr">
        <is>
          <t>mol/L</t>
        </is>
      </c>
      <c r="D29" s="47" t="n">
        <v>4.45e-07</v>
      </c>
      <c r="E29" s="54" t="inlineStr">
        <is>
          <t>CO₂(aq)+H₂O ⇌ H⁺+HCO₃⁻, pKa1 6.35 (25 °C).</t>
        </is>
      </c>
    </row>
    <row r="30" ht="24" customHeight="1">
      <c r="A30" s="7" t="inlineStr">
        <is>
          <t>pH — UNBUFFERED worst case</t>
        </is>
      </c>
      <c r="B30" s="8" t="inlineStr">
        <is>
          <t>pH_CO2_unbuf</t>
        </is>
      </c>
      <c r="C30" s="9" t="inlineStr">
        <is>
          <t>-</t>
        </is>
      </c>
      <c r="D30" s="22">
        <f>-LOG10(SQRT(Ka1_carb*(CO2_diss/1000)))</f>
        <v/>
      </c>
      <c r="E30" s="53" t="inlineStr">
        <is>
          <t>Unbuffered worst case (pure water + CO₂) — lower bound only; the Sydow phosphate medium holds pH near setpoint.</t>
        </is>
      </c>
    </row>
    <row r="31">
      <c r="A31" s="7" t="inlineStr">
        <is>
          <t>Henry solubility H₂ (ref, 298.15 K)</t>
        </is>
      </c>
      <c r="B31" s="8" t="inlineStr">
        <is>
          <t>H_H2ref</t>
        </is>
      </c>
      <c r="C31" s="9" t="inlineStr">
        <is>
          <t>mol/m³/Pa</t>
        </is>
      </c>
      <c r="D31" s="47" t="n">
        <v>7.8e-06</v>
      </c>
      <c r="E31" s="54" t="inlineStr">
        <is>
          <t>Sander (2023). H₂ ~1.7× less soluble than O₂.</t>
        </is>
      </c>
    </row>
    <row r="32">
      <c r="A32" s="7" t="inlineStr">
        <is>
          <t>Henry T-dependence H₂</t>
        </is>
      </c>
      <c r="B32" s="8" t="inlineStr">
        <is>
          <t>H_H2T</t>
        </is>
      </c>
      <c r="C32" s="9" t="inlineStr">
        <is>
          <t>K</t>
        </is>
      </c>
      <c r="D32" s="47" t="n">
        <v>500</v>
      </c>
      <c r="E32" s="54" t="inlineStr">
        <is>
          <t>Sander (2023): d ln(Hcp)/d(1/T) for H₂ (weak T-dependence).</t>
        </is>
      </c>
    </row>
    <row r="33">
      <c r="A33" s="7" t="inlineStr">
        <is>
          <t>Henry solubility H₂ at T</t>
        </is>
      </c>
      <c r="B33" s="8" t="inlineStr">
        <is>
          <t>H_H2_T</t>
        </is>
      </c>
      <c r="C33" s="9" t="inlineStr">
        <is>
          <t>mol/m³/Pa</t>
        </is>
      </c>
      <c r="D33" s="22">
        <f>H_H2ref*EXP(H_H2T*(1/T_K-1/T_ref))</f>
        <v/>
      </c>
      <c r="E33" s="23" t="inlineStr">
        <is>
          <t>van 't Hoff to reactor T.</t>
        </is>
      </c>
    </row>
    <row r="34">
      <c r="A34" s="7" t="inlineStr">
        <is>
          <t>Dissolved-H₂ saturation (1 atm)</t>
        </is>
      </c>
      <c r="B34" s="8" t="inlineStr">
        <is>
          <t>C_H2_sat</t>
        </is>
      </c>
      <c r="C34" s="9" t="inlineStr">
        <is>
          <t>mol/m³</t>
        </is>
      </c>
      <c r="D34" s="22">
        <f>H_H2_T*P_atm</f>
        <v/>
      </c>
      <c r="E34" s="23" t="inlineStr">
        <is>
          <t>Max dissolved H₂ at 1 atm — the cells' H₂ ceiling.</t>
        </is>
      </c>
    </row>
    <row r="35" ht="24" customHeight="1">
      <c r="A35" s="7" t="inlineStr">
        <is>
          <t>Time to saturate dissolved H₂ (LAG)</t>
        </is>
      </c>
      <c r="B35" s="8" t="inlineStr">
        <is>
          <t>t_H2_sat</t>
        </is>
      </c>
      <c r="C35" s="9" t="inlineStr">
        <is>
          <t>min</t>
        </is>
      </c>
      <c r="D35" s="22">
        <f>C_H2_sat*(V_charge/1000000)/rH2_gen*60</f>
        <v/>
      </c>
      <c r="E35" s="23" t="inlineStr">
        <is>
          <t>Lag: dissolved H₂ saturates this fast unconsumed, then bubbles off (lost + explosive headspace). Mirrors the O₂ lag timescale.</t>
        </is>
      </c>
    </row>
    <row r="36">
      <c r="A36" s="7" t="inlineStr">
        <is>
          <t>H₂ pool turnovers per hour</t>
        </is>
      </c>
      <c r="B36" s="8" t="inlineStr">
        <is>
          <t>H2_turnover</t>
        </is>
      </c>
      <c r="C36" s="9" t="inlineStr">
        <is>
          <t>1/h</t>
        </is>
      </c>
      <c r="D36" s="22">
        <f>rH2_gen/(V_charge/1000000)/C_H2_sat</f>
        <v/>
      </c>
      <c r="E36" s="53" t="inlineStr">
        <is>
          <t>H₂ evolved ÷ saturable pool. ≫1 → cells must consume in near-real-time or it escapes.</t>
        </is>
      </c>
    </row>
    <row r="37" ht="24" customHeight="1">
      <c r="A37" s="7" t="inlineStr">
        <is>
          <t>H₂ headspace safety flag</t>
        </is>
      </c>
      <c r="B37" s="8" t="inlineStr">
        <is>
          <t>H2_safety</t>
        </is>
      </c>
      <c r="C37" s="9" t="inlineStr">
        <is>
          <t>-</t>
        </is>
      </c>
      <c r="D37" s="22">
        <f>IF(H2_turnover&gt;1,"EXPLOSIVE","watch")</f>
        <v/>
      </c>
      <c r="E37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39">
      <c r="A39" s="64" t="inlineStr">
        <is>
          <t>IMPORTS (from other tabs)</t>
        </is>
      </c>
    </row>
    <row r="40">
      <c r="A40" t="inlineStr">
        <is>
          <t>(import) H₂ generation rate</t>
        </is>
      </c>
      <c r="B40" t="inlineStr">
        <is>
          <t>rH2_gen</t>
        </is>
      </c>
      <c r="C40" t="inlineStr">
        <is>
          <t>mol/h</t>
        </is>
      </c>
      <c r="D40" s="63">
        <f>Electrochemistry!$D$14</f>
        <v/>
      </c>
      <c r="E40" t="inlineStr">
        <is>
          <t>From Electrochemistry.</t>
        </is>
      </c>
    </row>
    <row r="41">
      <c r="A41" t="inlineStr">
        <is>
          <t>(import) Net O₂ to dissolved pool</t>
        </is>
      </c>
      <c r="B41" t="inlineStr">
        <is>
          <t>O2_net_gen</t>
        </is>
      </c>
      <c r="C41" t="inlineStr">
        <is>
          <t>mol/h</t>
        </is>
      </c>
      <c r="D41" s="63">
        <f>Electrochemistry!$D$22</f>
        <v/>
      </c>
      <c r="E41" t="inlineStr">
        <is>
          <t>From Electrochemistry.</t>
        </is>
      </c>
    </row>
    <row r="42">
      <c r="A42" t="inlineStr">
        <is>
          <t>(import) LIQUID VOLUME TO CHARGE</t>
        </is>
      </c>
      <c r="B42" t="inlineStr">
        <is>
          <t>V_charge</t>
        </is>
      </c>
      <c r="C42" t="inlineStr">
        <is>
          <t>mL</t>
        </is>
      </c>
      <c r="D42" s="65">
        <f>Geometry!$D$36</f>
        <v/>
      </c>
      <c r="E42" t="inlineStr">
        <is>
          <t>From Geometry.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0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 xml:space="preserve">  valid sparger 1</t>
        </is>
      </c>
      <c r="B3" s="8" t="inlineStr">
        <is>
          <t>spg_name_1</t>
        </is>
      </c>
      <c r="C3" s="9" t="inlineStr">
        <is>
          <t>-</t>
        </is>
      </c>
      <c r="D3" s="30" t="inlineStr">
        <is>
          <t>Tube</t>
        </is>
      </c>
      <c r="E3" s="10" t="inlineStr">
        <is>
          <t>Bare 1/8" OD x 1/16" ID Flexelene 135C tube orifice.</t>
        </is>
      </c>
    </row>
    <row r="4">
      <c r="A4" s="7" t="inlineStr">
        <is>
          <t xml:space="preserve">  valid sparger 2</t>
        </is>
      </c>
      <c r="B4" s="8" t="inlineStr">
        <is>
          <t>spg_name_2</t>
        </is>
      </c>
      <c r="C4" s="9" t="inlineStr">
        <is>
          <t>-</t>
        </is>
      </c>
      <c r="D4" s="30" t="inlineStr">
        <is>
          <t>Sintered</t>
        </is>
      </c>
      <c r="E4" s="10" t="inlineStr">
        <is>
          <t>10 mm sintered-glass disc annulus on a tubular anode.</t>
        </is>
      </c>
    </row>
    <row r="5">
      <c r="A5" s="7" t="inlineStr">
        <is>
          <t>Surface tension (water, T)</t>
        </is>
      </c>
      <c r="B5" s="8" t="inlineStr">
        <is>
          <t>sigma</t>
        </is>
      </c>
      <c r="C5" s="9" t="inlineStr">
        <is>
          <t>N/m</t>
        </is>
      </c>
      <c r="D5" s="48" t="n">
        <v>0.0712</v>
      </c>
      <c r="E5" s="11" t="inlineStr">
        <is>
          <t>IAPWS R1-76(2014) formulation, evaluated at 30 °C.</t>
        </is>
      </c>
    </row>
    <row r="6">
      <c r="A6" s="7" t="inlineStr">
        <is>
          <t>Liquid density (water, T)</t>
        </is>
      </c>
      <c r="B6" s="8" t="inlineStr">
        <is>
          <t>rho_L</t>
        </is>
      </c>
      <c r="C6" s="9" t="inlineStr">
        <is>
          <t>kg/m³</t>
        </is>
      </c>
      <c r="D6" s="40" t="n">
        <v>995.65</v>
      </c>
      <c r="E6" s="11" t="inlineStr">
        <is>
          <t>IAPWS-95, evaluated at 30 °C.</t>
        </is>
      </c>
    </row>
    <row r="7">
      <c r="A7" s="7" t="inlineStr">
        <is>
          <t>Gravitational acceleration</t>
        </is>
      </c>
      <c r="B7" s="8" t="inlineStr">
        <is>
          <t>g_const</t>
        </is>
      </c>
      <c r="C7" s="9" t="inlineStr">
        <is>
          <t>m/s²</t>
        </is>
      </c>
      <c r="D7" s="43" t="n">
        <v>9.806649999999999</v>
      </c>
      <c r="E7" s="17" t="inlineStr">
        <is>
          <t>Standard gravity (defined).</t>
        </is>
      </c>
    </row>
    <row r="8" ht="24" customHeight="1">
      <c r="A8" s="7" t="inlineStr">
        <is>
          <t>O₂ diffusivity in water (T)</t>
        </is>
      </c>
      <c r="B8" s="8" t="inlineStr">
        <is>
          <t>D_O2</t>
        </is>
      </c>
      <c r="C8" s="9" t="inlineStr">
        <is>
          <t>m²/s</t>
        </is>
      </c>
      <c r="D8" s="44" t="n">
        <v>2.249e-09</v>
      </c>
      <c r="E8" s="10" t="inlineStr">
        <is>
          <t>O₂ diffusivity in water at 30 °C. Han &amp; Bartels (1996) fit log₁₀(D[cm²/s]) = −4.410 + 773.8/T − (506.4/T)² → 2.25e-9 m²/s at 303.15 K.</t>
        </is>
      </c>
    </row>
    <row r="9">
      <c r="A9" s="7" t="inlineStr">
        <is>
          <t>Pore size - grade 0</t>
        </is>
      </c>
      <c r="B9" s="8" t="inlineStr">
        <is>
          <t>por0_um</t>
        </is>
      </c>
      <c r="C9" s="9" t="inlineStr">
        <is>
          <t>µm</t>
        </is>
      </c>
      <c r="D9" s="44" t="n">
        <v>205</v>
      </c>
      <c r="E9" s="11" t="inlineStr">
        <is>
          <t>DURAN P0 160-250 µm, midpoint. ISO 4793 (paywalled) underlies; DURAN table is free.</t>
        </is>
      </c>
    </row>
    <row r="10">
      <c r="A10" s="7" t="inlineStr">
        <is>
          <t>Pore size - grade 1</t>
        </is>
      </c>
      <c r="B10" s="8" t="inlineStr">
        <is>
          <t>por1_um</t>
        </is>
      </c>
      <c r="C10" s="9" t="inlineStr">
        <is>
          <t>µm</t>
        </is>
      </c>
      <c r="D10" s="44" t="n">
        <v>130</v>
      </c>
      <c r="E10" s="11" t="inlineStr">
        <is>
          <t>DURAN P1 100-160 µm, midpoint.</t>
        </is>
      </c>
    </row>
    <row r="11">
      <c r="A11" s="7" t="inlineStr">
        <is>
          <t>Pore size - grade 2</t>
        </is>
      </c>
      <c r="B11" s="8" t="inlineStr">
        <is>
          <t>por2_um</t>
        </is>
      </c>
      <c r="C11" s="9" t="inlineStr">
        <is>
          <t>µm</t>
        </is>
      </c>
      <c r="D11" s="44" t="n">
        <v>70</v>
      </c>
      <c r="E11" s="11" t="inlineStr">
        <is>
          <t>DURAN P2 40-100 µm, midpoint.</t>
        </is>
      </c>
    </row>
    <row r="12">
      <c r="A12" s="7" t="inlineStr">
        <is>
          <t>Pore size - grade 3</t>
        </is>
      </c>
      <c r="B12" s="8" t="inlineStr">
        <is>
          <t>por3_um</t>
        </is>
      </c>
      <c r="C12" s="9" t="inlineStr">
        <is>
          <t>µm</t>
        </is>
      </c>
      <c r="D12" s="44" t="n">
        <v>28</v>
      </c>
      <c r="E12" s="11" t="inlineStr">
        <is>
          <t>DURAN P3 16-40 µm, midpoint.</t>
        </is>
      </c>
    </row>
    <row r="13">
      <c r="A13" s="7" t="inlineStr">
        <is>
          <t>Pore size - grade 4</t>
        </is>
      </c>
      <c r="B13" s="8" t="inlineStr">
        <is>
          <t>por4_um</t>
        </is>
      </c>
      <c r="C13" s="9" t="inlineStr">
        <is>
          <t>µm</t>
        </is>
      </c>
      <c r="D13" s="44" t="n">
        <v>13</v>
      </c>
      <c r="E13" s="11" t="inlineStr">
        <is>
          <t>DURAN P4 10-16 µm, midpoint.</t>
        </is>
      </c>
    </row>
    <row r="14">
      <c r="A14" s="7" t="inlineStr">
        <is>
          <t>Pore size - grade 5</t>
        </is>
      </c>
      <c r="B14" s="8" t="inlineStr">
        <is>
          <t>por5_um</t>
        </is>
      </c>
      <c r="C14" s="9" t="inlineStr">
        <is>
          <t>µm</t>
        </is>
      </c>
      <c r="D14" s="41" t="n">
        <v>1.3</v>
      </c>
      <c r="E14" s="11" t="inlineStr">
        <is>
          <t>DURAN P5 1.0-1.6 µm, midpoint.</t>
        </is>
      </c>
    </row>
    <row r="15">
      <c r="A15" s="7" t="inlineStr">
        <is>
          <t>Selected sinter pore diameter</t>
        </is>
      </c>
      <c r="B15" s="8" t="inlineStr">
        <is>
          <t>por_pore</t>
        </is>
      </c>
      <c r="C15" s="9" t="inlineStr">
        <is>
          <t>m</t>
        </is>
      </c>
      <c r="D15" s="50">
        <f>CHOOSE(por_grade+1,por0_um,por1_um,por2_um,por3_um,por4_um,por5_um)/1000000</f>
        <v/>
      </c>
      <c r="E15" s="14" t="inlineStr">
        <is>
          <t>Picked by por_grade.</t>
        </is>
      </c>
    </row>
    <row r="16">
      <c r="A16" s="7" t="inlineStr">
        <is>
          <t>Tube orifice diameter</t>
        </is>
      </c>
      <c r="B16" s="8" t="inlineStr">
        <is>
          <t>tube_d_m</t>
        </is>
      </c>
      <c r="C16" s="9" t="inlineStr">
        <is>
          <t>m</t>
        </is>
      </c>
      <c r="D16" s="50">
        <f>spg_ID/1000</f>
        <v/>
      </c>
      <c r="E16" s="14" t="inlineStr">
        <is>
          <t>Tube ID in metres.</t>
        </is>
      </c>
    </row>
    <row r="17">
      <c r="A17" s="7" t="inlineStr">
        <is>
          <t>Effective orifice/pore diameter</t>
        </is>
      </c>
      <c r="B17" s="8" t="inlineStr">
        <is>
          <t>d_orifice</t>
        </is>
      </c>
      <c r="C17" s="9" t="inlineStr">
        <is>
          <t>m</t>
        </is>
      </c>
      <c r="D17" s="50">
        <f>IF(sparger=spg_name_1,tube_d_m,IF(sparger=spg_name_2,por_pore,NA()))</f>
        <v/>
      </c>
      <c r="E17" s="14" t="inlineStr">
        <is>
          <t>Tube ID or sinter pore; invalid sparger returns an error.</t>
        </is>
      </c>
    </row>
    <row r="18" ht="24" customHeight="1">
      <c r="A18" s="16" t="inlineStr">
        <is>
          <t>Bubble detachment diameter</t>
        </is>
      </c>
      <c r="B18" s="8" t="inlineStr">
        <is>
          <t>d_bubble</t>
        </is>
      </c>
      <c r="C18" s="9" t="inlineStr">
        <is>
          <t>m</t>
        </is>
      </c>
      <c r="D18" s="22">
        <f>(6*d_orifice*sigma/(rho_L*g_const))^(1/3)</f>
        <v/>
      </c>
      <c r="E18" s="20" t="inlineStr">
        <is>
          <t>Static low-flow force balance (buoyancy vs surface tension); valid in the quasi-static regime — see bubble_regime (§10).</t>
        </is>
      </c>
    </row>
    <row r="19">
      <c r="A19" s="16" t="inlineStr">
        <is>
          <t>Bubble diameter (display)</t>
        </is>
      </c>
      <c r="B19" s="8" t="inlineStr">
        <is>
          <t>d_bubble_mm</t>
        </is>
      </c>
      <c r="C19" s="9" t="inlineStr">
        <is>
          <t>mm</t>
        </is>
      </c>
      <c r="D19" s="36">
        <f>d_bubble*1000</f>
        <v/>
      </c>
      <c r="E19" s="20" t="n"/>
    </row>
    <row r="20">
      <c r="A20" s="7" t="inlineStr">
        <is>
          <t>Mendelson coefficient a</t>
        </is>
      </c>
      <c r="B20" s="8" t="inlineStr">
        <is>
          <t>mend_a</t>
        </is>
      </c>
      <c r="C20" s="9" t="inlineStr">
        <is>
          <t>-</t>
        </is>
      </c>
      <c r="D20" s="40" t="n">
        <v>2.14</v>
      </c>
      <c r="E20" s="20" t="inlineStr">
        <is>
          <t>Mendelson (1967) wave-theory bubble rise correlation (AIChE J, paywalled).</t>
        </is>
      </c>
    </row>
    <row r="21">
      <c r="A21" s="7" t="inlineStr">
        <is>
          <t>Mendelson coefficient b</t>
        </is>
      </c>
      <c r="B21" s="8" t="inlineStr">
        <is>
          <t>mend_b</t>
        </is>
      </c>
      <c r="C21" s="9" t="inlineStr">
        <is>
          <t>-</t>
        </is>
      </c>
      <c r="D21" s="51" t="n">
        <v>0.505</v>
      </c>
      <c r="E21" s="20" t="inlineStr">
        <is>
          <t>Mendelson (1967), as above.</t>
        </is>
      </c>
    </row>
    <row r="22" ht="36" customHeight="1">
      <c r="A22" s="7" t="inlineStr">
        <is>
          <t>Bubble rise velocity</t>
        </is>
      </c>
      <c r="B22" s="8" t="inlineStr">
        <is>
          <t>u_rise</t>
        </is>
      </c>
      <c r="C22" s="9" t="inlineStr">
        <is>
          <t>m/s</t>
        </is>
      </c>
      <c r="D22" s="37">
        <f>SQRT(mend_a*sigma/(rho_L*d_bubble)+mend_b*g_const*d_bubble)</f>
        <v/>
      </c>
      <c r="E22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23">
      <c r="A23" s="7" t="inlineStr">
        <is>
          <t>Superficial gas velocity (sparge on)</t>
        </is>
      </c>
      <c r="B23" s="8" t="inlineStr">
        <is>
          <t>u_sg</t>
        </is>
      </c>
      <c r="C23" s="9" t="inlineStr">
        <is>
          <t>m/s</t>
        </is>
      </c>
      <c r="D23" s="22">
        <f>(Q_CO2/1000000/60)/(A_x/1000000)</f>
        <v/>
      </c>
      <c r="E23" s="14" t="inlineStr">
        <is>
          <t>Gas flow / liquid cross-section.</t>
        </is>
      </c>
    </row>
    <row r="24">
      <c r="A24" s="7" t="inlineStr">
        <is>
          <t>Gas holdup (sparge on)</t>
        </is>
      </c>
      <c r="B24" s="8" t="inlineStr">
        <is>
          <t>holdup</t>
        </is>
      </c>
      <c r="C24" s="9" t="inlineStr">
        <is>
          <t>-</t>
        </is>
      </c>
      <c r="D24" s="22">
        <f>u_sg/u_rise</f>
        <v/>
      </c>
      <c r="E24" s="20" t="inlineStr">
        <is>
          <t>ε ≈ superficial gas velocity / rise velocity.</t>
        </is>
      </c>
    </row>
    <row r="25">
      <c r="A25" s="7" t="inlineStr">
        <is>
          <t>Interfacial area for transfer</t>
        </is>
      </c>
      <c r="B25" s="8" t="inlineStr">
        <is>
          <t>a_int</t>
        </is>
      </c>
      <c r="C25" s="9" t="inlineStr">
        <is>
          <t>1/m</t>
        </is>
      </c>
      <c r="D25" s="32">
        <f>6*holdup/d_bubble</f>
        <v/>
      </c>
      <c r="E25" s="20" t="inlineStr">
        <is>
          <t>a = 6ε/d_b (spheres).</t>
        </is>
      </c>
    </row>
    <row r="26">
      <c r="A26" s="7" t="inlineStr">
        <is>
          <t>Bubble-liquid contact time</t>
        </is>
      </c>
      <c r="B26" s="8" t="inlineStr">
        <is>
          <t>t_contact</t>
        </is>
      </c>
      <c r="C26" s="9" t="inlineStr">
        <is>
          <t>s</t>
        </is>
      </c>
      <c r="D26" s="37">
        <f>d_bubble/u_rise</f>
        <v/>
      </c>
      <c r="E26" s="20" t="inlineStr">
        <is>
          <t>d_b / rise velocity.</t>
        </is>
      </c>
    </row>
    <row r="27">
      <c r="A27" s="7" t="inlineStr">
        <is>
          <t>Liquid-film coefficient kL</t>
        </is>
      </c>
      <c r="B27" s="8" t="inlineStr">
        <is>
          <t>kL</t>
        </is>
      </c>
      <c r="C27" s="9" t="inlineStr">
        <is>
          <t>m/s</t>
        </is>
      </c>
      <c r="D27" s="22">
        <f>2*SQRT(D_O2/(PI()*t_contact))</f>
        <v/>
      </c>
      <c r="E27" s="20" t="inlineStr">
        <is>
          <t>Higbie penetration theory.</t>
        </is>
      </c>
    </row>
    <row r="28">
      <c r="A28" s="16" t="inlineStr">
        <is>
          <t>kLa during sparge</t>
        </is>
      </c>
      <c r="B28" s="8" t="inlineStr">
        <is>
          <t>kLa_sparge</t>
        </is>
      </c>
      <c r="C28" s="9" t="inlineStr">
        <is>
          <t>1/s</t>
        </is>
      </c>
      <c r="D28" s="22">
        <f>kL*a_int</f>
        <v/>
      </c>
      <c r="E28" s="20" t="inlineStr">
        <is>
          <t>kL x a.</t>
        </is>
      </c>
    </row>
    <row r="29">
      <c r="A29" s="7" t="inlineStr">
        <is>
          <t>kLa time-averaged</t>
        </is>
      </c>
      <c r="B29" s="8" t="inlineStr">
        <is>
          <t>kLa_avg</t>
        </is>
      </c>
      <c r="C29" s="9" t="inlineStr">
        <is>
          <t>1/s</t>
        </is>
      </c>
      <c r="D29" s="46">
        <f>kLa_sparge*duty</f>
        <v/>
      </c>
      <c r="E29" s="20" t="inlineStr">
        <is>
          <t>x duty cycle.</t>
        </is>
      </c>
    </row>
    <row r="30" ht="24" customHeight="1">
      <c r="A30" s="7" t="inlineStr">
        <is>
          <t>O₂ strip rate at ceiling (sparge on)</t>
        </is>
      </c>
      <c r="B30" s="8" t="inlineStr">
        <is>
          <t>strip_sparge</t>
        </is>
      </c>
      <c r="C30" s="9" t="inlineStr">
        <is>
          <t>mol/h</t>
        </is>
      </c>
      <c r="D30" s="22">
        <f>IF(d_bubble&lt;0.001,0,kLa_sparge*(V_charge/1000000)*O2_ceil_C*3600)</f>
        <v/>
      </c>
      <c r="E30" s="20" t="inlineStr">
        <is>
          <t>Bubble O₂ strip at the ceiling driving force (best case). 0 for sub-mm bubbles (fine sinter, bubble model out of range — see bubble_regime).</t>
        </is>
      </c>
    </row>
    <row r="31">
      <c r="A31" s="16" t="inlineStr">
        <is>
          <t>O₂ strip rate time-averaged</t>
        </is>
      </c>
      <c r="B31" s="8" t="inlineStr">
        <is>
          <t>strip_avg</t>
        </is>
      </c>
      <c r="C31" s="9" t="inlineStr">
        <is>
          <t>mol/h</t>
        </is>
      </c>
      <c r="D31" s="22">
        <f>strip_sparge*duty</f>
        <v/>
      </c>
      <c r="E31" s="20" t="inlineStr">
        <is>
          <t>x duty cycle.</t>
        </is>
      </c>
    </row>
    <row r="32">
      <c r="A32" s="16" t="inlineStr">
        <is>
          <t>Strip capacity : excess-O₂</t>
        </is>
      </c>
      <c r="B32" s="8" t="inlineStr">
        <is>
          <t>strip_ratio</t>
        </is>
      </c>
      <c r="C32" s="9" t="inlineStr">
        <is>
          <t>×</t>
        </is>
      </c>
      <c r="D32" s="36">
        <f>IF(O2_excess&gt;0,strip_avg/O2_excess,NA())</f>
        <v/>
      </c>
      <c r="E32" s="20" t="inlineStr">
        <is>
          <t>Bubble strip : surplus. ≪1 — the §11 surface path is the real route.</t>
        </is>
      </c>
    </row>
    <row r="33">
      <c r="A33" s="7" t="inlineStr">
        <is>
          <t>Required time-avg kLa</t>
        </is>
      </c>
      <c r="B33" s="8" t="inlineStr">
        <is>
          <t>kLa_req</t>
        </is>
      </c>
      <c r="C33" s="9" t="inlineStr">
        <is>
          <t>1/s</t>
        </is>
      </c>
      <c r="D33" s="22">
        <f>IF(O2_excess&gt;0,O2_excess/3600/((V_charge/1000000)*O2_ceil_C),NA())</f>
        <v/>
      </c>
      <c r="E33" s="20" t="inlineStr">
        <is>
          <t>kLa that would exactly strip the excess at the ceiling.</t>
        </is>
      </c>
    </row>
    <row r="34" ht="24" customHeight="1">
      <c r="A34" s="7" t="inlineStr">
        <is>
          <t>Entrainment velocity ceiling (rule of thumb)</t>
        </is>
      </c>
      <c r="B34" s="8" t="inlineStr">
        <is>
          <t>u_g_max</t>
        </is>
      </c>
      <c r="C34" s="9" t="inlineStr">
        <is>
          <t>m/s</t>
        </is>
      </c>
      <c r="D34" s="34" t="n">
        <v>0.05</v>
      </c>
      <c r="E34" s="20" t="inlineStr">
        <is>
          <t>Provisional superficial-velocity ceiling above which droplet carryover to the hydrophilic vent filters becomes likely. Replace with measured value.</t>
        </is>
      </c>
    </row>
    <row r="35">
      <c r="A35" s="16" t="inlineStr">
        <is>
          <t>Carryover flag</t>
        </is>
      </c>
      <c r="B35" s="8" t="inlineStr">
        <is>
          <t>carry_flag</t>
        </is>
      </c>
      <c r="C35" s="9" t="inlineStr">
        <is>
          <t>-</t>
        </is>
      </c>
      <c r="D35" s="45">
        <f>IF(u_sg&gt;u_g_max,"RISK","OK")</f>
        <v/>
      </c>
      <c r="E35" s="20" t="inlineStr">
        <is>
          <t>Operating gas velocity vs ceiling.</t>
        </is>
      </c>
    </row>
    <row r="36">
      <c r="A36" s="7" t="inlineStr">
        <is>
          <t>CO₂ gas density (T,P)</t>
        </is>
      </c>
      <c r="B36" s="8" t="inlineStr">
        <is>
          <t>rho_CO2</t>
        </is>
      </c>
      <c r="C36" s="9" t="inlineStr">
        <is>
          <t>kg/m³</t>
        </is>
      </c>
      <c r="D36" s="22">
        <f>P_atm*(M_CO2/1000)/(R_gas*T_K)</f>
        <v/>
      </c>
      <c r="E36" s="23" t="inlineStr">
        <is>
          <t>Ideal gas at surface conditions; for the orifice Weber number.</t>
        </is>
      </c>
    </row>
    <row r="37">
      <c r="A37" s="7" t="inlineStr">
        <is>
          <t>Active sparge orifices</t>
        </is>
      </c>
      <c r="B37" s="8" t="inlineStr">
        <is>
          <t>n_pores_active</t>
        </is>
      </c>
      <c r="C37" s="9" t="inlineStr">
        <is>
          <t>-</t>
        </is>
      </c>
      <c r="D37" s="24" t="n">
        <v>1</v>
      </c>
      <c r="E37" s="26" t="inlineStr">
        <is>
          <t>Tube = 1. Sinter pore count unknown; 1 = worst case. DATA GAP.</t>
        </is>
      </c>
    </row>
    <row r="38">
      <c r="A38" s="7" t="inlineStr">
        <is>
          <t>Gas velocity at orifice</t>
        </is>
      </c>
      <c r="B38" s="8" t="inlineStr">
        <is>
          <t>v_orifice</t>
        </is>
      </c>
      <c r="C38" s="9" t="inlineStr">
        <is>
          <t>m/s</t>
        </is>
      </c>
      <c r="D38" s="22">
        <f>(Q_CO2/1000000/60)/(n_pores_active*(PI()/4*d_orifice^2))</f>
        <v/>
      </c>
      <c r="E38" s="23" t="inlineStr">
        <is>
          <t>Per-orifice superficial gas velocity during a sparge pulse.</t>
        </is>
      </c>
    </row>
    <row r="39">
      <c r="A39" s="7" t="inlineStr">
        <is>
          <t>Orifice Weber number</t>
        </is>
      </c>
      <c r="B39" s="8" t="inlineStr">
        <is>
          <t>We_orifice</t>
        </is>
      </c>
      <c r="C39" s="9" t="inlineStr">
        <is>
          <t>-</t>
        </is>
      </c>
      <c r="D39" s="22">
        <f>rho_CO2*v_orifice^2*d_orifice/sigma</f>
        <v/>
      </c>
      <c r="E39" s="23" t="inlineStr">
        <is>
          <t>Gas inertia vs surface tension at the orifice. Sets whether bubble detachment is quasi-static.</t>
        </is>
      </c>
    </row>
    <row r="40" ht="24" customHeight="1">
      <c r="A40" s="7" t="inlineStr">
        <is>
          <t>Bubble-formation regime</t>
        </is>
      </c>
      <c r="B40" s="8" t="inlineStr">
        <is>
          <t>bubble_regime</t>
        </is>
      </c>
      <c r="C40" s="9" t="inlineStr">
        <is>
          <t>-</t>
        </is>
      </c>
      <c r="D40" s="22">
        <f>IF(d_bubble&lt;0.001,"Sinter OOR – add fine-bubble model",IF(We_orifice&lt;2,"Static","Dynamic"))</f>
        <v/>
      </c>
      <c r="E40" s="23" t="inlineStr">
        <is>
          <t>Tate's law assumes quasi-static detachment (We&lt;~2). 'Sinter OOR' = sub-mm bubble; the fine-sinter model isn't built yet.</t>
        </is>
      </c>
    </row>
    <row r="41">
      <c r="A41" s="7" t="inlineStr">
        <is>
          <t>O₂ time-to-ceiling (no removal)</t>
        </is>
      </c>
      <c r="B41" s="8" t="inlineStr">
        <is>
          <t>t_O2_ceiling</t>
        </is>
      </c>
      <c r="C41" s="9" t="inlineStr">
        <is>
          <t>min</t>
        </is>
      </c>
      <c r="D41" s="22">
        <f>O2_ceil_C*(V_charge/1000000)/O2_excess*60</f>
        <v/>
      </c>
      <c r="E41" s="23" t="inlineStr">
        <is>
          <t>Minutes to reach the O₂ ceiling from ~0 with no removal (steady, etaF=1) — the O₂ timescale.</t>
        </is>
      </c>
    </row>
    <row r="42" ht="24" customHeight="1">
      <c r="A42" s="7" t="inlineStr">
        <is>
          <t>O₂ time-to-ceiling (with time-avg strip)</t>
        </is>
      </c>
      <c r="B42" s="8" t="inlineStr">
        <is>
          <t>t_O2_ceiling_strip</t>
        </is>
      </c>
      <c r="C42" s="9" t="inlineStr">
        <is>
          <t>min</t>
        </is>
      </c>
      <c r="D42" s="22">
        <f>IF(O2_excess-strip_avg&gt;0,O2_ceil_C*(V_charge/1000000)/(O2_excess-strip_avg)*60,9999)</f>
        <v/>
      </c>
      <c r="E42" s="23" t="inlineStr">
        <is>
          <t>As above, crediting time-averaged bubble strip (≈unchanged → bubbles aren't the mechanism). 9999 = cleared.</t>
        </is>
      </c>
    </row>
    <row r="43">
      <c r="A43" s="7" t="inlineStr">
        <is>
          <t>Stir-bar speed</t>
        </is>
      </c>
      <c r="B43" s="8" t="inlineStr">
        <is>
          <t>stir_rpm</t>
        </is>
      </c>
      <c r="C43" s="9" t="inlineStr">
        <is>
          <t>1/min</t>
        </is>
      </c>
      <c r="D43" s="52" t="n">
        <v>500</v>
      </c>
      <c r="E43" s="25" t="inlineStr">
        <is>
          <t>Pioreactor stir setpoint. RPM floor ~125 (stalls below). Input/confirm.</t>
        </is>
      </c>
    </row>
    <row r="44">
      <c r="A44" s="7" t="inlineStr">
        <is>
          <t>Stir-bar length</t>
        </is>
      </c>
      <c r="B44" s="8" t="inlineStr">
        <is>
          <t>stir_len</t>
        </is>
      </c>
      <c r="C44" s="9" t="inlineStr">
        <is>
          <t>mm</t>
        </is>
      </c>
      <c r="D44" s="52" t="n">
        <v>12</v>
      </c>
      <c r="E44" s="53" t="inlineStr">
        <is>
          <t>Magnetic stir bar. Pioreactor max 20 mm; confirm the supplied bar's length. Input.</t>
        </is>
      </c>
    </row>
    <row r="45">
      <c r="A45" s="7" t="inlineStr">
        <is>
          <t>Stir-bar tip speed</t>
        </is>
      </c>
      <c r="B45" s="8" t="inlineStr">
        <is>
          <t>tip_speed</t>
        </is>
      </c>
      <c r="C45" s="9" t="inlineStr">
        <is>
          <t>m/s</t>
        </is>
      </c>
      <c r="D45" s="22">
        <f>PI()*(stir_len/1000)*stir_rpm/60</f>
        <v/>
      </c>
      <c r="E45" s="23" t="inlineStr">
        <is>
          <t>π·d·rpm/60.</t>
        </is>
      </c>
    </row>
    <row r="46">
      <c r="A46" s="7" t="inlineStr">
        <is>
          <t>Surface renewal frequency</t>
        </is>
      </c>
      <c r="B46" s="8" t="inlineStr">
        <is>
          <t>s_renew</t>
        </is>
      </c>
      <c r="C46" s="9" t="inlineStr">
        <is>
          <t>1/s</t>
        </is>
      </c>
      <c r="D46" s="22">
        <f>tip_speed/(vial_ID/1000)</f>
        <v/>
      </c>
      <c r="E46" s="53" t="inlineStr">
        <is>
          <t>Surface renewal ≈ tip speed / vial ID. Coarse proxy.</t>
        </is>
      </c>
    </row>
    <row r="47">
      <c r="A47" s="7" t="inlineStr">
        <is>
          <t>Surface liquid-film coeff kL</t>
        </is>
      </c>
      <c r="B47" s="8" t="inlineStr">
        <is>
          <t>kL_surf</t>
        </is>
      </c>
      <c r="C47" s="9" t="inlineStr">
        <is>
          <t>m/s</t>
        </is>
      </c>
      <c r="D47" s="22">
        <f>2*SQRT(D_O2*s_renew/PI())</f>
        <v/>
      </c>
      <c r="E47" s="53" t="inlineStr">
        <is>
          <t>Danckwerts surface-renewal estimate — coarse; measure by gassing-out (§15).</t>
        </is>
      </c>
    </row>
    <row r="48">
      <c r="A48" s="7" t="inlineStr">
        <is>
          <t>Surface area per volume</t>
        </is>
      </c>
      <c r="B48" s="8" t="inlineStr">
        <is>
          <t>a_surf</t>
        </is>
      </c>
      <c r="C48" s="9" t="inlineStr">
        <is>
          <t>1/m</t>
        </is>
      </c>
      <c r="D48" s="22">
        <f>interface_A/V_charge</f>
        <v/>
      </c>
      <c r="E48" s="23" t="inlineStr">
        <is>
          <t>Free-surface area / liquid volume (mm²/mL = 1/m); uses interface_A (§1B).</t>
        </is>
      </c>
    </row>
    <row r="49">
      <c r="A49" s="7" t="inlineStr">
        <is>
          <t>Surface O₂ transfer kLa</t>
        </is>
      </c>
      <c r="B49" s="8" t="inlineStr">
        <is>
          <t>kLa_surf</t>
        </is>
      </c>
      <c r="C49" s="9" t="inlineStr">
        <is>
          <t>1/s</t>
        </is>
      </c>
      <c r="D49" s="22">
        <f>kL_surf*a_surf</f>
        <v/>
      </c>
      <c r="E49" s="53" t="inlineStr">
        <is>
          <t>kL_surf × a_surf.</t>
        </is>
      </c>
    </row>
    <row r="50">
      <c r="A50" s="7" t="inlineStr">
        <is>
          <t>O₂ strip via surface (ceiling)</t>
        </is>
      </c>
      <c r="B50" s="8" t="inlineStr">
        <is>
          <t>surf_strip</t>
        </is>
      </c>
      <c r="C50" s="9" t="inlineStr">
        <is>
          <t>mol/h</t>
        </is>
      </c>
      <c r="D50" s="22">
        <f>kLa_surf_used*(V_charge/1000000)*O2_ceil_C*3600</f>
        <v/>
      </c>
      <c r="E50" s="53" t="inlineStr">
        <is>
          <t>O₂ removed across the stirred surface at ceiling driving force, headspace ~O₂-free. Best case.</t>
        </is>
      </c>
    </row>
    <row r="51">
      <c r="A51" s="7" t="inlineStr">
        <is>
          <t>Surface strip : excess-O₂</t>
        </is>
      </c>
      <c r="B51" s="8" t="inlineStr">
        <is>
          <t>surf_ratio</t>
        </is>
      </c>
      <c r="C51" s="9" t="inlineStr">
        <is>
          <t>×</t>
        </is>
      </c>
      <c r="D51" s="22">
        <f>IF(O2_excess&gt;0,surf_strip/O2_excess,NA())</f>
        <v/>
      </c>
      <c r="E51" s="53" t="inlineStr">
        <is>
          <t>Surface strip : surplus. Coarse (kL_surf). ≫ bubble path — the dominant O₂ route.</t>
        </is>
      </c>
    </row>
    <row r="52">
      <c r="A52" s="7" t="inlineStr">
        <is>
          <t>Headspace O₂ frac. to vent excess</t>
        </is>
      </c>
      <c r="B52" s="8" t="inlineStr">
        <is>
          <t>y_O2_vent</t>
        </is>
      </c>
      <c r="C52" s="9" t="inlineStr">
        <is>
          <t>-</t>
        </is>
      </c>
      <c r="D52" s="22">
        <f>IF(CO2_supply&gt;0,O2_excess/CO2_supply,NA())</f>
        <v/>
      </c>
      <c r="E52" s="23" t="inlineStr">
        <is>
          <t>Headspace O₂ fraction at which the vented CO₂ carries the surplus out. kL-independent.</t>
        </is>
      </c>
    </row>
    <row r="53">
      <c r="A53" s="7" t="inlineStr">
        <is>
          <t>DO in equilib. with that headspace</t>
        </is>
      </c>
      <c r="B53" s="8" t="inlineStr">
        <is>
          <t>DO_vent_eq</t>
        </is>
      </c>
      <c r="C53" s="9" t="inlineStr">
        <is>
          <t>µM</t>
        </is>
      </c>
      <c r="D53" s="22">
        <f>H_O2_T*y_O2_vent*P_atm*1000</f>
        <v/>
      </c>
      <c r="E53" s="23" t="inlineStr">
        <is>
          <t>Dissolved O₂ matching that headspace fraction. ≪ ceiling → vent-feasible.</t>
        </is>
      </c>
    </row>
    <row r="54">
      <c r="A54" s="7" t="inlineStr">
        <is>
          <t>Headspace flush time</t>
        </is>
      </c>
      <c r="B54" s="8" t="inlineStr">
        <is>
          <t>hs_flush_time</t>
        </is>
      </c>
      <c r="C54" s="9" t="inlineStr">
        <is>
          <t>min</t>
        </is>
      </c>
      <c r="D54" s="22">
        <f>headspace_V/(Q_CO2*duty)</f>
        <v/>
      </c>
      <c r="E54" s="23" t="inlineStr">
        <is>
          <t>Avg CO₂ flow to displace one headspace volume.</t>
        </is>
      </c>
    </row>
    <row r="55" ht="24" customHeight="1">
      <c r="A55" s="7" t="inlineStr">
        <is>
          <t>Combined O₂ removal : excess</t>
        </is>
      </c>
      <c r="B55" s="8" t="inlineStr">
        <is>
          <t>O2_removal_ratio</t>
        </is>
      </c>
      <c r="C55" s="9" t="inlineStr">
        <is>
          <t>×</t>
        </is>
      </c>
      <c r="D55" s="22">
        <f>IF(O2_excess&gt;0,(strip_avg+surf_strip)/O2_excess,NA())</f>
        <v/>
      </c>
      <c r="E55" s="53" t="inlineStr">
        <is>
          <t>Gas removal (bubble + surface) vs the steady-growth surplus O2_excess (which already nets the cathodic sink and biological uptake). &gt;=1 = ceiling held at steady growth.</t>
        </is>
      </c>
    </row>
    <row r="56">
      <c r="A56" s="7" t="inlineStr">
        <is>
          <t>O₂ time-to-ceiling (LAG, no uptake)</t>
        </is>
      </c>
      <c r="B56" s="8" t="inlineStr">
        <is>
          <t>t_O2_ceiling_lag</t>
        </is>
      </c>
      <c r="C56" s="9" t="inlineStr">
        <is>
          <t>min</t>
        </is>
      </c>
      <c r="D56" s="22">
        <f>O2_ceil_C*(V_charge/1000000)/O2_net_gen*60</f>
        <v/>
      </c>
      <c r="E56" s="23" t="inlineStr">
        <is>
          <t>Lag/establishment: no biological O₂ uptake yet, so the full net O₂ accumulates. Worst case.</t>
        </is>
      </c>
    </row>
    <row r="57" ht="36" customHeight="1">
      <c r="A57" s="7" t="inlineStr">
        <is>
          <t>O₂ time-to-ceiling (with all removal)</t>
        </is>
      </c>
      <c r="B57" s="8" t="inlineStr">
        <is>
          <t>t_O2_ceiling_rem</t>
        </is>
      </c>
      <c r="C57" s="9" t="inlineStr">
        <is>
          <t>min</t>
        </is>
      </c>
      <c r="D57" s="22">
        <f>IF(O2_net_gen-strip_avg-surf_strip&gt;0,O2_ceil_C*(V_charge/1000000)/(O2_net_gen-strip_avg-surf_strip)*60,9999)</f>
        <v/>
      </c>
      <c r="E57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58" ht="24" customHeight="1">
      <c r="A58" s="7" t="inlineStr">
        <is>
          <t>Schedule mode</t>
        </is>
      </c>
      <c r="B58" s="8" t="inlineStr">
        <is>
          <t>sched_mode</t>
        </is>
      </c>
      <c r="C58" s="9" t="inlineStr">
        <is>
          <t>-</t>
        </is>
      </c>
      <c r="D58" s="52" t="inlineStr">
        <is>
          <t>Optimal</t>
        </is>
      </c>
      <c r="E58" s="25" t="inlineStr">
        <is>
          <t>Manual = use the values you type below; Optimal = the model computes &amp; applies the optimum. Dropdown.</t>
        </is>
      </c>
    </row>
    <row r="59">
      <c r="A59" s="7" t="inlineStr">
        <is>
          <t>Manual pulse duration</t>
        </is>
      </c>
      <c r="B59" s="8" t="inlineStr">
        <is>
          <t>spg_dur_man</t>
        </is>
      </c>
      <c r="C59" s="9" t="inlineStr">
        <is>
          <t>s</t>
        </is>
      </c>
      <c r="D59" s="52" t="n">
        <v>1</v>
      </c>
      <c r="E59" s="25" t="inlineStr">
        <is>
          <t>Your pulse length, used when sched_mode=Manual.</t>
        </is>
      </c>
    </row>
    <row r="60">
      <c r="A60" s="7" t="inlineStr">
        <is>
          <t>Manual sparge interval</t>
        </is>
      </c>
      <c r="B60" s="8" t="inlineStr">
        <is>
          <t>spg_int_man</t>
        </is>
      </c>
      <c r="C60" s="9" t="inlineStr">
        <is>
          <t>min</t>
        </is>
      </c>
      <c r="D60" s="52" t="n">
        <v>1</v>
      </c>
      <c r="E60" s="25" t="inlineStr">
        <is>
          <t>Your interval, used when sched_mode=Manual.</t>
        </is>
      </c>
    </row>
    <row r="61">
      <c r="A61" s="7" t="inlineStr">
        <is>
          <t>Target dissolved-O₂ ceiling fraction</t>
        </is>
      </c>
      <c r="B61" s="8" t="inlineStr">
        <is>
          <t>target_DO_frac</t>
        </is>
      </c>
      <c r="C61" s="9" t="inlineStr">
        <is>
          <t>-</t>
        </is>
      </c>
      <c r="D61" s="52" t="n">
        <v>0.5</v>
      </c>
      <c r="E61" s="25" t="inlineStr">
        <is>
          <t>Hold DO at ≤ this × the inhibition ceiling. Lower = safer O₂ margin → needs more flushing. Input.</t>
        </is>
      </c>
    </row>
    <row r="62">
      <c r="A62" s="7" t="inlineStr">
        <is>
          <t>Min carbon supply margin</t>
        </is>
      </c>
      <c r="B62" s="8" t="inlineStr">
        <is>
          <t>carbon_margin_min</t>
        </is>
      </c>
      <c r="C62" s="9" t="inlineStr">
        <is>
          <t>-</t>
        </is>
      </c>
      <c r="D62" s="52" t="n">
        <v>2</v>
      </c>
      <c r="E62" s="25" t="inlineStr">
        <is>
          <t>Required CO₂ supply : fixation demand. Input.</t>
        </is>
      </c>
    </row>
    <row r="63">
      <c r="A63" s="7" t="inlineStr">
        <is>
          <t>Duty floor — carbon</t>
        </is>
      </c>
      <c r="B63" s="8" t="inlineStr">
        <is>
          <t>duty_carbon</t>
        </is>
      </c>
      <c r="C63" s="9" t="inlineStr">
        <is>
          <t>-</t>
        </is>
      </c>
      <c r="D63" s="22">
        <f>carbon_margin_min*CO2_cons/(nCO2_rate*3600)</f>
        <v/>
      </c>
      <c r="E63" s="23" t="inlineStr">
        <is>
          <t>Duty needed so CO₂ supply ≥ margin × fixation demand.</t>
        </is>
      </c>
    </row>
    <row r="64" ht="24" customHeight="1">
      <c r="A64" s="7" t="inlineStr">
        <is>
          <t>Duty floor — O₂ venting (lag)</t>
        </is>
      </c>
      <c r="B64" s="8" t="inlineStr">
        <is>
          <t>duty_O2vent</t>
        </is>
      </c>
      <c r="C64" s="9" t="inlineStr">
        <is>
          <t>-</t>
        </is>
      </c>
      <c r="D64" s="22">
        <f>O2_net_gen/(target_DO_frac*(O2_ceil_Pa/P_atm))/(nCO2_rate*3600)</f>
        <v/>
      </c>
      <c r="E64" s="23" t="inlineStr">
        <is>
          <t>Duty so the vented CO₂ throughput carries the worst-case (lag, no uptake) net O₂ out at ≤ target DO. Usually the binding floor.</t>
        </is>
      </c>
    </row>
    <row r="65" ht="24" customHeight="1">
      <c r="A65" s="7" t="inlineStr">
        <is>
          <t>Optimal duty cycle</t>
        </is>
      </c>
      <c r="B65" s="8" t="inlineStr">
        <is>
          <t>duty_opt</t>
        </is>
      </c>
      <c r="C65" s="9" t="inlineStr">
        <is>
          <t>-</t>
        </is>
      </c>
      <c r="D65" s="22">
        <f>MAX(duty_carbon,duty_O2vent)</f>
        <v/>
      </c>
      <c r="E65" s="23" t="inlineStr">
        <is>
          <t>Least feasible CO₂ (binding of the two floors). O₂-venting binds, not pH (buffer holds pH; over-dose limited by pCO₂ lag).</t>
        </is>
      </c>
    </row>
    <row r="66">
      <c r="A66" s="7" t="inlineStr">
        <is>
          <t>Max interval — O₂ flush frequency</t>
        </is>
      </c>
      <c r="B66" s="8" t="inlineStr">
        <is>
          <t>spg_int_max</t>
        </is>
      </c>
      <c r="C66" s="9" t="inlineStr">
        <is>
          <t>min</t>
        </is>
      </c>
      <c r="D66" s="22">
        <f>target_DO_frac*t_O2_ceiling_lag</f>
        <v/>
      </c>
      <c r="E66" s="23" t="inlineStr">
        <is>
          <t>Pulses must be frequent enough that DO doesn't spike past target between flushes (lag worst-case).</t>
        </is>
      </c>
    </row>
    <row r="67">
      <c r="A67" s="7" t="inlineStr">
        <is>
          <t>► OPTIMAL pulse duration</t>
        </is>
      </c>
      <c r="B67" s="8" t="inlineStr">
        <is>
          <t>spg_dur_opt</t>
        </is>
      </c>
      <c r="C67" s="9" t="inlineStr">
        <is>
          <t>s</t>
        </is>
      </c>
      <c r="D67" s="55">
        <f>MAX(pulse_floor,flush_factor*headspace_V/(Q_CO2/60))</f>
        <v/>
      </c>
      <c r="E67" s="56" t="inlineStr">
        <is>
          <t>ANSWER. Shortest reliable pulse → most frequent, smoothest DO, best OD-read windows.</t>
        </is>
      </c>
    </row>
    <row r="68" ht="24" customHeight="1">
      <c r="A68" s="7" t="inlineStr">
        <is>
          <t>► OPTIMAL sparge interval</t>
        </is>
      </c>
      <c r="B68" s="8" t="inlineStr">
        <is>
          <t>spg_int_opt</t>
        </is>
      </c>
      <c r="C68" s="9" t="inlineStr">
        <is>
          <t>min</t>
        </is>
      </c>
      <c r="D68" s="55">
        <f>MIN(spg_dur_opt/(60*duty_opt),spg_int_max)</f>
        <v/>
      </c>
      <c r="E68" s="56" t="inlineStr">
        <is>
          <t>ANSWER. From optimal duty at the floor pulse, capped by the O₂-flush frequency limit. Set sched_mode=Optimal to apply.</t>
        </is>
      </c>
    </row>
    <row r="69">
      <c r="A69" s="7" t="inlineStr">
        <is>
          <t xml:space="preserve">  optimal interval (seconds)</t>
        </is>
      </c>
      <c r="B69" s="8" t="inlineStr">
        <is>
          <t>spg_int_opt_s</t>
        </is>
      </c>
      <c r="C69" s="9" t="inlineStr">
        <is>
          <t>s</t>
        </is>
      </c>
      <c r="D69" s="22">
        <f>spg_int_opt*60</f>
        <v/>
      </c>
      <c r="E69" s="56" t="inlineStr">
        <is>
          <t>Convenience: interval in seconds.</t>
        </is>
      </c>
    </row>
    <row r="70">
      <c r="A70" s="7" t="inlineStr">
        <is>
          <t xml:space="preserve">  resulting duty / binding constraint</t>
        </is>
      </c>
      <c r="B70" s="8" t="inlineStr">
        <is>
          <t>duty_actual</t>
        </is>
      </c>
      <c r="C70" s="9" t="inlineStr">
        <is>
          <t>-</t>
        </is>
      </c>
      <c r="D70" s="22">
        <f>spg_dur_opt/(spg_int_opt*60)</f>
        <v/>
      </c>
      <c r="E70" s="23" t="inlineStr">
        <is>
          <t>Achieved duty at the optimum (= duty_opt unless the flush-frequency cap binds, raising it).</t>
        </is>
      </c>
    </row>
    <row r="71">
      <c r="A71" s="7" t="inlineStr">
        <is>
          <t xml:space="preserve">  binding constraint</t>
        </is>
      </c>
      <c r="B71" s="8" t="inlineStr">
        <is>
          <t>opt_binding</t>
        </is>
      </c>
      <c r="C71" s="9" t="inlineStr">
        <is>
          <t>-</t>
        </is>
      </c>
      <c r="D71" s="22">
        <f>IF(spg_int_opt&lt;spg_dur_opt/(60*duty_opt)-0.0001,"O2-FREQ",IF(duty_O2vent&gt;=duty_carbon,"O2-VENT","CARBON"))</f>
        <v/>
      </c>
      <c r="E71" s="23" t="inlineStr">
        <is>
          <t>Which limit sets the schedule: O2-VENT (O₂ removal), O2-FREQ (flush frequency), or CARBON.</t>
        </is>
      </c>
    </row>
    <row r="72">
      <c r="A72" s="7" t="inlineStr">
        <is>
          <t xml:space="preserve">  OD-window check</t>
        </is>
      </c>
      <c r="B72" s="8" t="inlineStr">
        <is>
          <t>od_ok</t>
        </is>
      </c>
      <c r="C72" s="9" t="inlineStr">
        <is>
          <t>-</t>
        </is>
      </c>
      <c r="D72" s="22">
        <f>IF(spg_int_opt*60-spg_dur_opt&gt;=5,"OK","TIGHT")</f>
        <v/>
      </c>
      <c r="E72" s="23" t="inlineStr">
        <is>
          <t>≥5 s gap between pulses for an OD read. Can't measure OD while sparging.</t>
        </is>
      </c>
    </row>
    <row r="73" ht="36" customHeight="1">
      <c r="A73" s="7" t="inlineStr">
        <is>
          <t>ACCURACY LIMIT — no validated kinetics</t>
        </is>
      </c>
      <c r="B73" s="8" t="inlineStr">
        <is>
          <t>kinetic_caveat</t>
        </is>
      </c>
      <c r="C73" s="9" t="inlineStr">
        <is>
          <t>-</t>
        </is>
      </c>
      <c r="D73" s="22">
        <f>"see note →"</f>
        <v/>
      </c>
      <c r="E73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74" ht="24" customHeight="1">
      <c r="A74" s="7" t="inlineStr">
        <is>
          <t>Measured surface kLa</t>
        </is>
      </c>
      <c r="B74" s="8" t="inlineStr">
        <is>
          <t>kLa_meas</t>
        </is>
      </c>
      <c r="C74" s="9" t="inlineStr">
        <is>
          <t>1/h</t>
        </is>
      </c>
      <c r="D74" s="52" t="n">
        <v>0</v>
      </c>
      <c r="E74" s="53" t="inlineStr">
        <is>
          <t>Measured surface kLa (gassing-out). 0 = use the §11 estimate. kLa = slope of −LN(1−DO/DO_sat) vs time.</t>
        </is>
      </c>
    </row>
    <row r="75" ht="24" customHeight="1">
      <c r="A75" s="7" t="inlineStr">
        <is>
          <t>Surface kLa used downstream</t>
        </is>
      </c>
      <c r="B75" s="8" t="inlineStr">
        <is>
          <t>kLa_surf_used</t>
        </is>
      </c>
      <c r="C75" s="9" t="inlineStr">
        <is>
          <t>1/s</t>
        </is>
      </c>
      <c r="D75" s="22">
        <f>IF(kLa_meas&gt;0,kLa_meas/3600,kLa_surf)</f>
        <v/>
      </c>
      <c r="E75" s="23" t="inlineStr">
        <is>
          <t>What §11 actually uses: the measured value if entered, otherwise the theoretical estimate. Swap estimate→truth here once measured.</t>
        </is>
      </c>
    </row>
    <row r="77">
      <c r="A77" s="64" t="inlineStr">
        <is>
          <t>IMPORTS (from other tabs)</t>
        </is>
      </c>
    </row>
    <row r="78">
      <c r="A78" t="inlineStr">
        <is>
          <t>(import) Dissolved-O₂ ceiling</t>
        </is>
      </c>
      <c r="B78" t="inlineStr">
        <is>
          <t>O2_ceil_C</t>
        </is>
      </c>
      <c r="C78" t="inlineStr">
        <is>
          <t>mol/m³</t>
        </is>
      </c>
      <c r="D78" s="61">
        <f>Biology!$D$20</f>
        <v/>
      </c>
      <c r="E78" t="inlineStr">
        <is>
          <t>From Biology.</t>
        </is>
      </c>
    </row>
    <row r="79">
      <c r="A79" t="inlineStr">
        <is>
          <t>(import) O₂ ceiling (partial pressure)</t>
        </is>
      </c>
      <c r="B79" t="inlineStr">
        <is>
          <t>O2_ceil_Pa</t>
        </is>
      </c>
      <c r="C79" t="inlineStr">
        <is>
          <t>Pa</t>
        </is>
      </c>
      <c r="D79" s="61">
        <f>Biology!$D$19</f>
        <v/>
      </c>
      <c r="E79" t="inlineStr">
        <is>
          <t>From Biology.</t>
        </is>
      </c>
    </row>
    <row r="80">
      <c r="A80" t="inlineStr">
        <is>
          <t>(import) Temperature (absolute)</t>
        </is>
      </c>
      <c r="B80" t="inlineStr">
        <is>
          <t>T_K</t>
        </is>
      </c>
      <c r="C80" t="inlineStr">
        <is>
          <t>K</t>
        </is>
      </c>
      <c r="D80" s="61">
        <f>Biology!$D$11</f>
        <v/>
      </c>
      <c r="E80" t="inlineStr">
        <is>
          <t>From Biology.</t>
        </is>
      </c>
    </row>
    <row r="81">
      <c r="A81" t="inlineStr">
        <is>
          <t>(import) Surface pressure</t>
        </is>
      </c>
      <c r="B81" t="inlineStr">
        <is>
          <t>P_atm</t>
        </is>
      </c>
      <c r="C81" t="inlineStr">
        <is>
          <t>Pa</t>
        </is>
      </c>
      <c r="D81" s="61">
        <f>Biology!$D$12</f>
        <v/>
      </c>
      <c r="E81" t="inlineStr">
        <is>
          <t>From Biology.</t>
        </is>
      </c>
    </row>
    <row r="82">
      <c r="A82" t="inlineStr">
        <is>
          <t>(import) CO₂ consumed (carbon fixation)</t>
        </is>
      </c>
      <c r="B82" t="inlineStr">
        <is>
          <t>CO2_cons</t>
        </is>
      </c>
      <c r="C82" t="inlineStr">
        <is>
          <t>mol/h</t>
        </is>
      </c>
      <c r="D82" s="61">
        <f>Biology!$D$8</f>
        <v/>
      </c>
      <c r="E82" t="inlineStr">
        <is>
          <t>From Biology.</t>
        </is>
      </c>
    </row>
    <row r="83">
      <c r="A83" t="inlineStr">
        <is>
          <t>(import) EXCESS O₂ to remove</t>
        </is>
      </c>
      <c r="B83" t="inlineStr">
        <is>
          <t>O2_excess</t>
        </is>
      </c>
      <c r="C83" t="inlineStr">
        <is>
          <t>mol/h</t>
        </is>
      </c>
      <c r="D83" s="61">
        <f>Biology!$D$9</f>
        <v/>
      </c>
      <c r="E83" t="inlineStr">
        <is>
          <t>From Biology.</t>
        </is>
      </c>
    </row>
    <row r="84">
      <c r="A84" t="inlineStr">
        <is>
          <t>(import) Henry solubility O₂ at T</t>
        </is>
      </c>
      <c r="B84" t="inlineStr">
        <is>
          <t>H_O2_T</t>
        </is>
      </c>
      <c r="C84" t="inlineStr">
        <is>
          <t>mol/m³/Pa</t>
        </is>
      </c>
      <c r="D84" s="61">
        <f>Biology!$D$17</f>
        <v/>
      </c>
      <c r="E84" t="inlineStr">
        <is>
          <t>From Biology.</t>
        </is>
      </c>
    </row>
    <row r="85">
      <c r="A85" t="inlineStr">
        <is>
          <t>(import) Min reliable pulse (solenoid floor)</t>
        </is>
      </c>
      <c r="B85" t="inlineStr">
        <is>
          <t>pulse_floor</t>
        </is>
      </c>
      <c r="C85" t="inlineStr">
        <is>
          <t>s</t>
        </is>
      </c>
      <c r="D85" s="62">
        <f>Dosing!$D$6</f>
        <v/>
      </c>
      <c r="E85" t="inlineStr">
        <is>
          <t>From Dosing.</t>
        </is>
      </c>
    </row>
    <row r="86">
      <c r="A86" t="inlineStr">
        <is>
          <t>(import) Average CO₂ supply rate</t>
        </is>
      </c>
      <c r="B86" t="inlineStr">
        <is>
          <t>CO2_supply</t>
        </is>
      </c>
      <c r="C86" t="inlineStr">
        <is>
          <t>mol/h</t>
        </is>
      </c>
      <c r="D86" s="62">
        <f>Dosing!$D$13</f>
        <v/>
      </c>
      <c r="E86" t="inlineStr">
        <is>
          <t>From Dosing.</t>
        </is>
      </c>
    </row>
    <row r="87">
      <c r="A87" t="inlineStr">
        <is>
          <t>(import) Ideal gas constant</t>
        </is>
      </c>
      <c r="B87" t="inlineStr">
        <is>
          <t>R_gas</t>
        </is>
      </c>
      <c r="C87" t="inlineStr">
        <is>
          <t>J/mol/K</t>
        </is>
      </c>
      <c r="D87" s="62">
        <f>Dosing!$D$7</f>
        <v/>
      </c>
      <c r="E87" t="inlineStr">
        <is>
          <t>From Dosing.</t>
        </is>
      </c>
    </row>
    <row r="88">
      <c r="A88" t="inlineStr">
        <is>
          <t>(import) CO₂ volumetric flow rate</t>
        </is>
      </c>
      <c r="B88" t="inlineStr">
        <is>
          <t>Q_CO2</t>
        </is>
      </c>
      <c r="C88" t="inlineStr">
        <is>
          <t>mL/min</t>
        </is>
      </c>
      <c r="D88" s="62">
        <f>Dosing!$D$3</f>
        <v/>
      </c>
      <c r="E88" t="inlineStr">
        <is>
          <t>From Dosing.</t>
        </is>
      </c>
    </row>
    <row r="89">
      <c r="A89" t="inlineStr">
        <is>
          <t>(import) Molar mass CO₂</t>
        </is>
      </c>
      <c r="B89" t="inlineStr">
        <is>
          <t>M_CO2</t>
        </is>
      </c>
      <c r="C89" t="inlineStr">
        <is>
          <t>g/mol</t>
        </is>
      </c>
      <c r="D89" s="62">
        <f>Dosing!$D$8</f>
        <v/>
      </c>
      <c r="E89" t="inlineStr">
        <is>
          <t>From Dosing.</t>
        </is>
      </c>
    </row>
    <row r="90">
      <c r="A90" t="inlineStr">
        <is>
          <t>(import) CO₂ molar flow during sparge</t>
        </is>
      </c>
      <c r="B90" t="inlineStr">
        <is>
          <t>nCO2_rate</t>
        </is>
      </c>
      <c r="C90" t="inlineStr">
        <is>
          <t>mol/s</t>
        </is>
      </c>
      <c r="D90" s="62">
        <f>Dosing!$D$9</f>
        <v/>
      </c>
      <c r="E90" t="inlineStr">
        <is>
          <t>From Dosing.</t>
        </is>
      </c>
    </row>
    <row r="91">
      <c r="A91" t="inlineStr">
        <is>
          <t>(import) Sparge duty cycle</t>
        </is>
      </c>
      <c r="B91" t="inlineStr">
        <is>
          <t>duty</t>
        </is>
      </c>
      <c r="C91" t="inlineStr">
        <is>
          <t>-</t>
        </is>
      </c>
      <c r="D91" s="62">
        <f>Dosing!$D$15</f>
        <v/>
      </c>
      <c r="E91" t="inlineStr">
        <is>
          <t>From Dosing.</t>
        </is>
      </c>
    </row>
    <row r="92">
      <c r="A92" t="inlineStr">
        <is>
          <t>(import) Net O₂ to dissolved pool</t>
        </is>
      </c>
      <c r="B92" t="inlineStr">
        <is>
          <t>O2_net_gen</t>
        </is>
      </c>
      <c r="C92" t="inlineStr">
        <is>
          <t>mol/h</t>
        </is>
      </c>
      <c r="D92" s="63">
        <f>Electrochemistry!$D$22</f>
        <v/>
      </c>
      <c r="E92" t="inlineStr">
        <is>
          <t>From Electrochemistry.</t>
        </is>
      </c>
    </row>
    <row r="93">
      <c r="A93" t="inlineStr">
        <is>
          <t>(import) Gas-liquid interfacial area</t>
        </is>
      </c>
      <c r="B93" t="inlineStr">
        <is>
          <t>interface_A</t>
        </is>
      </c>
      <c r="C93" t="inlineStr">
        <is>
          <t>mm²</t>
        </is>
      </c>
      <c r="D93" s="65">
        <f>Geometry!$D$39</f>
        <v/>
      </c>
      <c r="E93" t="inlineStr">
        <is>
          <t>From Geometry.</t>
        </is>
      </c>
    </row>
    <row r="94">
      <c r="A94" t="inlineStr">
        <is>
          <t>(import) Vial internal diameter</t>
        </is>
      </c>
      <c r="B94" t="inlineStr">
        <is>
          <t>vial_ID</t>
        </is>
      </c>
      <c r="C94" t="inlineStr">
        <is>
          <t>mm</t>
        </is>
      </c>
      <c r="D94" s="65">
        <f>Geometry!$D$15</f>
        <v/>
      </c>
      <c r="E94" t="inlineStr">
        <is>
          <t>From Geometry.</t>
        </is>
      </c>
    </row>
    <row r="95">
      <c r="A95" t="inlineStr">
        <is>
          <t>(import) LIQUID VOLUME TO CHARGE</t>
        </is>
      </c>
      <c r="B95" t="inlineStr">
        <is>
          <t>V_charge</t>
        </is>
      </c>
      <c r="C95" t="inlineStr">
        <is>
          <t>mL</t>
        </is>
      </c>
      <c r="D95" s="65">
        <f>Geometry!$D$36</f>
        <v/>
      </c>
      <c r="E95" t="inlineStr">
        <is>
          <t>From Geometry.</t>
        </is>
      </c>
    </row>
    <row r="96">
      <c r="A96" t="inlineStr">
        <is>
          <t>(import) Internal cross-sectional area</t>
        </is>
      </c>
      <c r="B96" t="inlineStr">
        <is>
          <t>A_x</t>
        </is>
      </c>
      <c r="C96" t="inlineStr">
        <is>
          <t>mm²</t>
        </is>
      </c>
      <c r="D96" s="65">
        <f>Geometry!$D$16</f>
        <v/>
      </c>
      <c r="E96" t="inlineStr">
        <is>
          <t>From Geometry.</t>
        </is>
      </c>
    </row>
    <row r="97">
      <c r="A97" t="inlineStr">
        <is>
          <t>(import) Sparge tube ID</t>
        </is>
      </c>
      <c r="B97" t="inlineStr">
        <is>
          <t>spg_ID</t>
        </is>
      </c>
      <c r="C97" t="inlineStr">
        <is>
          <t>mm</t>
        </is>
      </c>
      <c r="D97" s="65">
        <f>Geometry!$D$26</f>
        <v/>
      </c>
      <c r="E97" t="inlineStr">
        <is>
          <t>From Geometry.</t>
        </is>
      </c>
    </row>
    <row r="98">
      <c r="A98" t="inlineStr">
        <is>
          <t>(import) Headspace gas volume</t>
        </is>
      </c>
      <c r="B98" t="inlineStr">
        <is>
          <t>headspace_V</t>
        </is>
      </c>
      <c r="C98" t="inlineStr">
        <is>
          <t>mL</t>
        </is>
      </c>
      <c r="D98" s="65">
        <f>Geometry!$D$44</f>
        <v/>
      </c>
      <c r="E98" t="inlineStr">
        <is>
          <t>From Geometry.</t>
        </is>
      </c>
    </row>
    <row r="99">
      <c r="A99" t="inlineStr">
        <is>
          <t>(import) Sinter porosity grade (if Sintered)</t>
        </is>
      </c>
      <c r="B99" t="inlineStr">
        <is>
          <t>por_grade</t>
        </is>
      </c>
      <c r="C99" t="inlineStr">
        <is>
          <t>0-5</t>
        </is>
      </c>
      <c r="D99">
        <f>Summary!$D$5</f>
        <v/>
      </c>
      <c r="E99" t="inlineStr">
        <is>
          <t>From Summary.</t>
        </is>
      </c>
    </row>
    <row r="100">
      <c r="A100" t="inlineStr">
        <is>
          <t>(import) Sparger type</t>
        </is>
      </c>
      <c r="B100" t="inlineStr">
        <is>
          <t>sparger</t>
        </is>
      </c>
      <c r="C100" t="inlineStr">
        <is>
          <t>-</t>
        </is>
      </c>
      <c r="D100">
        <f>Summary!$D$4</f>
        <v/>
      </c>
      <c r="E100" t="inlineStr">
        <is>
          <t>From Summary.</t>
        </is>
      </c>
    </row>
    <row r="102">
      <c r="A102" t="inlineStr">
        <is>
          <t>(import) CO2 per pulse (headspace vols)</t>
        </is>
      </c>
      <c r="B102" t="inlineStr">
        <is>
          <t>flush_factor</t>
        </is>
      </c>
      <c r="C102" t="inlineStr">
        <is>
          <t>-</t>
        </is>
      </c>
      <c r="D102">
        <f>Dosing!$D$35</f>
        <v/>
      </c>
      <c r="E102" t="inlineStr">
        <is>
          <t>From Dosing.</t>
        </is>
      </c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0">
    <cfRule type="cellIs" priority="3" operator="equal" dxfId="1">
      <formula>"Static"</formula>
    </cfRule>
    <cfRule type="cellIs" priority="4" operator="equal" dxfId="2">
      <formula>"Dynamic"</formula>
    </cfRule>
    <cfRule type="cellIs" priority="13" operator="equal" dxfId="0">
      <formula>"Sinter OOR – add fine-bubble model"</formula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E38"/>
  <sheetViews>
    <sheetView workbookViewId="0">
      <selection activeCell="A19" sqref="A3:A19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CO₂ DOSING &amp; SCHEDULE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CO₂ volumetric flow rate</t>
        </is>
      </c>
      <c r="B3" s="8" t="inlineStr">
        <is>
          <t>Q_CO2</t>
        </is>
      </c>
      <c r="C3" s="9" t="inlineStr">
        <is>
          <t>mL/min</t>
        </is>
      </c>
      <c r="D3" s="31">
        <f>flowrate_cal*60</f>
        <v/>
      </c>
      <c r="E3" s="10" t="inlineStr">
        <is>
          <t>Needle-valve setting at ~atmospheric surface. Input.</t>
        </is>
      </c>
    </row>
    <row r="4" ht="24" customHeight="1">
      <c r="A4" s="7" t="inlineStr">
        <is>
          <t>Sparge duration per pulse</t>
        </is>
      </c>
      <c r="B4" s="8" t="inlineStr">
        <is>
          <t>spg_dur</t>
        </is>
      </c>
      <c r="C4" s="9" t="inlineStr">
        <is>
          <t>s</t>
        </is>
      </c>
      <c r="D4" s="32">
        <f>IF(sched_mode="Optimal",spg_dur_opt,IF(sched_mode="Manual",spg_dur_man,NA()))</f>
        <v/>
      </c>
      <c r="E4" s="10" t="inlineStr">
        <is>
          <t>Pulse duration ACTUALLY USED. Driven by §14: Manual→spg_dur_man, Optimal→computed optimum.</t>
        </is>
      </c>
    </row>
    <row r="5" ht="24" customHeight="1">
      <c r="A5" s="7" t="inlineStr">
        <is>
          <t>Sparge interval</t>
        </is>
      </c>
      <c r="B5" s="8" t="inlineStr">
        <is>
          <t>spg_int</t>
        </is>
      </c>
      <c r="C5" s="9" t="inlineStr">
        <is>
          <t>min</t>
        </is>
      </c>
      <c r="D5" s="32">
        <f>IF(sched_mode="Optimal",spg_int_opt,IF(sched_mode="Manual",spg_int_man,NA()))</f>
        <v/>
      </c>
      <c r="E5" s="10" t="inlineStr">
        <is>
          <t>Sparge interval ACTUALLY USED. Driven by §14: Manual→spg_int_man, Optimal→computed optimum.</t>
        </is>
      </c>
    </row>
    <row r="6">
      <c r="A6" s="7" t="inlineStr">
        <is>
          <t>Min reliable pulse (solenoid floor)</t>
        </is>
      </c>
      <c r="B6" s="8" t="inlineStr">
        <is>
          <t>pulse_floor</t>
        </is>
      </c>
      <c r="C6" s="9" t="inlineStr">
        <is>
          <t>s</t>
        </is>
      </c>
      <c r="D6" s="24">
        <f>min_sparge_cal</f>
        <v/>
      </c>
      <c r="E6" s="15" t="inlineStr">
        <is>
          <t>Smallest dependable actuation. Provisional - characterise.</t>
        </is>
      </c>
    </row>
    <row r="7">
      <c r="A7" s="7" t="inlineStr">
        <is>
          <t>Ideal gas constant</t>
        </is>
      </c>
      <c r="B7" s="8" t="inlineStr">
        <is>
          <t>R_gas</t>
        </is>
      </c>
      <c r="C7" s="9" t="inlineStr">
        <is>
          <t>J/mol/K</t>
        </is>
      </c>
      <c r="D7" s="47" t="n">
        <v>8.314462618</v>
      </c>
      <c r="E7" s="17" t="inlineStr">
        <is>
          <t>NIST CODATA (exact, SI 2019).</t>
        </is>
      </c>
    </row>
    <row r="8">
      <c r="A8" s="7" t="inlineStr">
        <is>
          <t>Molar mass CO₂</t>
        </is>
      </c>
      <c r="B8" s="8" t="inlineStr">
        <is>
          <t>M_CO2</t>
        </is>
      </c>
      <c r="C8" s="9" t="inlineStr">
        <is>
          <t>g/mol</t>
        </is>
      </c>
      <c r="D8" s="48" t="n">
        <v>44.0095</v>
      </c>
      <c r="E8" s="17" t="inlineStr">
        <is>
          <t>NIST WebBook.</t>
        </is>
      </c>
    </row>
    <row r="9">
      <c r="A9" s="7" t="inlineStr">
        <is>
          <t>CO₂ molar flow during sparge</t>
        </is>
      </c>
      <c r="B9" s="8" t="inlineStr">
        <is>
          <t>nCO2_rate</t>
        </is>
      </c>
      <c r="C9" s="9" t="inlineStr">
        <is>
          <t>mol/s</t>
        </is>
      </c>
      <c r="D9" s="49">
        <f>P_atm*(Q_CO2/1000000/60)/(R_gas*T_K)</f>
        <v/>
      </c>
      <c r="E9" s="14" t="inlineStr">
        <is>
          <t>Ideal gas n=PV/RT at surface conditions.</t>
        </is>
      </c>
    </row>
    <row r="10">
      <c r="A10" s="7" t="inlineStr">
        <is>
          <t>CO₂ per pulse</t>
        </is>
      </c>
      <c r="B10" s="8" t="inlineStr">
        <is>
          <t>CO2_pulse</t>
        </is>
      </c>
      <c r="C10" s="9" t="inlineStr">
        <is>
          <t>mol</t>
        </is>
      </c>
      <c r="D10" s="46">
        <f>nCO2_rate*spg_dur</f>
        <v/>
      </c>
      <c r="E10" s="14" t="inlineStr">
        <is>
          <t>Molar flow x duration.</t>
        </is>
      </c>
    </row>
    <row r="11">
      <c r="A11" s="7" t="inlineStr">
        <is>
          <t>Pulses per hour</t>
        </is>
      </c>
      <c r="B11" s="8" t="inlineStr">
        <is>
          <t>pulses_h</t>
        </is>
      </c>
      <c r="C11" s="9" t="inlineStr">
        <is>
          <t>1/h</t>
        </is>
      </c>
      <c r="D11" s="32">
        <f>60/spg_int</f>
        <v/>
      </c>
      <c r="E11" s="14" t="inlineStr">
        <is>
          <t>60 / interval(min).</t>
        </is>
      </c>
    </row>
    <row r="12">
      <c r="A12" s="7" t="inlineStr">
        <is>
          <t>Pulses per day</t>
        </is>
      </c>
      <c r="B12" s="8" t="inlineStr">
        <is>
          <t>pulses_d</t>
        </is>
      </c>
      <c r="C12" s="9" t="inlineStr">
        <is>
          <t>1/d</t>
        </is>
      </c>
      <c r="D12" s="33">
        <f>pulses_h*24</f>
        <v/>
      </c>
      <c r="E12" s="14" t="n"/>
    </row>
    <row r="13">
      <c r="A13" s="16" t="inlineStr">
        <is>
          <t>Average CO₂ supply rate</t>
        </is>
      </c>
      <c r="B13" s="8" t="inlineStr">
        <is>
          <t>CO2_supply</t>
        </is>
      </c>
      <c r="C13" s="9" t="inlineStr">
        <is>
          <t>mol/h</t>
        </is>
      </c>
      <c r="D13" s="22">
        <f>CO2_pulse*pulses_h</f>
        <v/>
      </c>
      <c r="E13" s="14" t="inlineStr">
        <is>
          <t>Time-averaged.</t>
        </is>
      </c>
    </row>
    <row r="14" ht="24" customHeight="1">
      <c r="A14" s="16" t="inlineStr">
        <is>
          <t>CO₂ supply : carbon demand</t>
        </is>
      </c>
      <c r="B14" s="8" t="inlineStr">
        <is>
          <t>CO2_sd_ratio</t>
        </is>
      </c>
      <c r="C14" s="9" t="inlineStr">
        <is>
          <t>×</t>
        </is>
      </c>
      <c r="D14" s="32">
        <f>IF(CO2_cons&gt;0,CO2_supply/CO2_cons,NA())</f>
        <v/>
      </c>
      <c r="E14" s="14" t="inlineStr">
        <is>
          <t>Carbon supply : demand (~20× = over-dosed, non-limiting). CO₂ mostly bursts at the surface → §11 headspace sweep active from pulse 1. High pCO₂ extends lag (Amer &amp; Kim 2023).</t>
        </is>
      </c>
    </row>
    <row r="15">
      <c r="A15" s="16" t="inlineStr">
        <is>
          <t>Sparge duty cycle</t>
        </is>
      </c>
      <c r="B15" s="8" t="inlineStr">
        <is>
          <t>duty</t>
        </is>
      </c>
      <c r="C15" s="9" t="inlineStr">
        <is>
          <t>-</t>
        </is>
      </c>
      <c r="D15" s="37">
        <f>spg_dur/(spg_int*60)</f>
        <v/>
      </c>
      <c r="E15" s="14" t="inlineStr">
        <is>
          <t>Fraction of time sparging.</t>
        </is>
      </c>
    </row>
    <row r="16">
      <c r="A16" s="7" t="inlineStr">
        <is>
          <t>O₂ accumulated per interval</t>
        </is>
      </c>
      <c r="B16" s="8" t="inlineStr">
        <is>
          <t>O2_accum</t>
        </is>
      </c>
      <c r="C16" s="9" t="inlineStr">
        <is>
          <t>mol</t>
        </is>
      </c>
      <c r="D16" s="46">
        <f>O2_excess/60*spg_int</f>
        <v/>
      </c>
      <c r="E16" s="14" t="inlineStr">
        <is>
          <t>Excess O₂ generated between pulses.</t>
        </is>
      </c>
    </row>
    <row r="17">
      <c r="A17" s="7" t="inlineStr">
        <is>
          <t>O₂ removable per pulse</t>
        </is>
      </c>
      <c r="B17" s="8" t="inlineStr">
        <is>
          <t>O2_strip_pulse</t>
        </is>
      </c>
      <c r="C17" s="9" t="inlineStr">
        <is>
          <t>mol</t>
        </is>
      </c>
      <c r="D17" s="46">
        <f>strip_sparge/3600*spg_dur</f>
        <v/>
      </c>
      <c r="E17" s="20" t="inlineStr">
        <is>
          <t>O₂ a pulse strips (at ceiling).</t>
        </is>
      </c>
    </row>
    <row r="18" ht="24" customHeight="1">
      <c r="A18" s="16" t="inlineStr">
        <is>
          <t>Per-pulse balance</t>
        </is>
      </c>
      <c r="B18" s="8" t="inlineStr">
        <is>
          <t>sched_bal</t>
        </is>
      </c>
      <c r="C18" s="9" t="inlineStr">
        <is>
          <t>×</t>
        </is>
      </c>
      <c r="D18" s="36">
        <f>IF(O2_accum&gt;0,O2_strip_pulse/O2_accum,NA())</f>
        <v/>
      </c>
      <c r="E18" s="20" t="inlineStr">
        <is>
          <t>&gt;=1 = each pulse clears the interval's O₂ by stripping alone. Bubble path only — the dominant O₂ route is the §11 surface/headspace path; see §14 optimiser.</t>
        </is>
      </c>
    </row>
    <row r="19">
      <c r="A19" s="16" t="inlineStr">
        <is>
          <t>Duration floor check</t>
        </is>
      </c>
      <c r="B19" s="8" t="inlineStr">
        <is>
          <t>dur_ok</t>
        </is>
      </c>
      <c r="C19" s="9" t="inlineStr">
        <is>
          <t>-</t>
        </is>
      </c>
      <c r="D19" s="45">
        <f>IF(spg_dur&gt;=pulse_floor,"OK","LOW")</f>
        <v/>
      </c>
      <c r="E19" s="10" t="inlineStr">
        <is>
          <t>Pulse must exceed reliable actuation time.</t>
        </is>
      </c>
    </row>
    <row r="21">
      <c r="A21" s="64" t="inlineStr">
        <is>
          <t>IMPORTS (from other tabs)</t>
        </is>
      </c>
    </row>
    <row r="22">
      <c r="A22" t="inlineStr">
        <is>
          <t>(import) EXCESS O₂ to remove</t>
        </is>
      </c>
      <c r="B22" t="inlineStr">
        <is>
          <t>O2_excess</t>
        </is>
      </c>
      <c r="C22" t="inlineStr">
        <is>
          <t>mol/h</t>
        </is>
      </c>
      <c r="D22" s="61">
        <f>Biology!$D$9</f>
        <v/>
      </c>
      <c r="E22" t="inlineStr">
        <is>
          <t>From Biology.</t>
        </is>
      </c>
    </row>
    <row r="23">
      <c r="A23" t="inlineStr">
        <is>
          <t>(import) Temperature (absolute)</t>
        </is>
      </c>
      <c r="B23" t="inlineStr">
        <is>
          <t>T_K</t>
        </is>
      </c>
      <c r="C23" t="inlineStr">
        <is>
          <t>K</t>
        </is>
      </c>
      <c r="D23" s="61">
        <f>Biology!$D$11</f>
        <v/>
      </c>
      <c r="E23" t="inlineStr">
        <is>
          <t>From Biology.</t>
        </is>
      </c>
    </row>
    <row r="24">
      <c r="A24" t="inlineStr">
        <is>
          <t>(import) Surface pressure</t>
        </is>
      </c>
      <c r="B24" t="inlineStr">
        <is>
          <t>P_atm</t>
        </is>
      </c>
      <c r="C24" t="inlineStr">
        <is>
          <t>Pa</t>
        </is>
      </c>
      <c r="D24" s="61">
        <f>Biology!$D$12</f>
        <v/>
      </c>
      <c r="E24" t="inlineStr">
        <is>
          <t>From Biology.</t>
        </is>
      </c>
    </row>
    <row r="25">
      <c r="A25" t="inlineStr">
        <is>
          <t>(import) CO₂ consumed (carbon fixation)</t>
        </is>
      </c>
      <c r="B25" t="inlineStr">
        <is>
          <t>CO2_cons</t>
        </is>
      </c>
      <c r="C25" t="inlineStr">
        <is>
          <t>mol/h</t>
        </is>
      </c>
      <c r="D25" s="61">
        <f>Biology!$D$8</f>
        <v/>
      </c>
      <c r="E25" t="inlineStr">
        <is>
          <t>From Biology.</t>
        </is>
      </c>
    </row>
    <row r="26">
      <c r="A26" t="inlineStr">
        <is>
          <t>(import) Manual sparge interval</t>
        </is>
      </c>
      <c r="B26" t="inlineStr">
        <is>
          <t>spg_int_man</t>
        </is>
      </c>
      <c r="C26" t="inlineStr">
        <is>
          <t>min</t>
        </is>
      </c>
      <c r="D26" s="60">
        <f>'Mass Transfer'!$D$60</f>
        <v/>
      </c>
      <c r="E26" t="inlineStr">
        <is>
          <t>From Mass Transfer.</t>
        </is>
      </c>
    </row>
    <row r="27">
      <c r="A27" t="inlineStr">
        <is>
          <t>(import) Schedule mode</t>
        </is>
      </c>
      <c r="B27" t="inlineStr">
        <is>
          <t>sched_mode</t>
        </is>
      </c>
      <c r="C27" t="inlineStr">
        <is>
          <t>-</t>
        </is>
      </c>
      <c r="D27" s="60">
        <f>'Mass Transfer'!$D$58</f>
        <v/>
      </c>
      <c r="E27" t="inlineStr">
        <is>
          <t>From Mass Transfer.</t>
        </is>
      </c>
    </row>
    <row r="28">
      <c r="A28" t="inlineStr">
        <is>
          <t>(import) ► OPTIMAL pulse duration</t>
        </is>
      </c>
      <c r="B28" t="inlineStr">
        <is>
          <t>spg_dur_opt</t>
        </is>
      </c>
      <c r="C28" t="inlineStr">
        <is>
          <t>s</t>
        </is>
      </c>
      <c r="D28" s="60">
        <f>'Mass Transfer'!$D$67</f>
        <v/>
      </c>
      <c r="E28" t="inlineStr">
        <is>
          <t>From Mass Transfer.</t>
        </is>
      </c>
    </row>
    <row r="29">
      <c r="A29" t="inlineStr">
        <is>
          <t>(import) O₂ strip rate at ceiling (sparge on)</t>
        </is>
      </c>
      <c r="B29" t="inlineStr">
        <is>
          <t>strip_sparge</t>
        </is>
      </c>
      <c r="C29" t="inlineStr">
        <is>
          <t>mol/h</t>
        </is>
      </c>
      <c r="D29" s="60">
        <f>'Mass Transfer'!$D$30</f>
        <v/>
      </c>
      <c r="E29" t="inlineStr">
        <is>
          <t>From Mass Transfer.</t>
        </is>
      </c>
    </row>
    <row r="30">
      <c r="A30" t="inlineStr">
        <is>
          <t>(import) Manual pulse duration</t>
        </is>
      </c>
      <c r="B30" t="inlineStr">
        <is>
          <t>spg_dur_man</t>
        </is>
      </c>
      <c r="C30" t="inlineStr">
        <is>
          <t>s</t>
        </is>
      </c>
      <c r="D30" s="60">
        <f>'Mass Transfer'!$D$59</f>
        <v/>
      </c>
      <c r="E30" t="inlineStr">
        <is>
          <t>From Mass Transfer.</t>
        </is>
      </c>
    </row>
    <row r="31">
      <c r="A31" t="inlineStr">
        <is>
          <t>(import) ► OPTIMAL sparge interval</t>
        </is>
      </c>
      <c r="B31" t="inlineStr">
        <is>
          <t>spg_int_opt</t>
        </is>
      </c>
      <c r="C31" t="inlineStr">
        <is>
          <t>min</t>
        </is>
      </c>
      <c r="D31" s="60">
        <f>'Mass Transfer'!$D$68</f>
        <v/>
      </c>
      <c r="E31" t="inlineStr">
        <is>
          <t>From Mass Transfer.</t>
        </is>
      </c>
    </row>
    <row r="33">
      <c r="A33" s="69" t="inlineStr">
        <is>
          <t>REACTOR CALIBRATION (latest date, from CO2 flows)</t>
        </is>
      </c>
    </row>
    <row r="34">
      <c r="A34" t="inlineStr">
        <is>
          <t>Reactor (calibration key)</t>
        </is>
      </c>
      <c r="B34" t="inlineStr">
        <is>
          <t>Reactor</t>
        </is>
      </c>
      <c r="C34" t="inlineStr">
        <is>
          <t>-</t>
        </is>
      </c>
      <c r="D34" t="inlineStr">
        <is>
          <t>ed04</t>
        </is>
      </c>
      <c r="E34" t="inlineStr">
        <is>
          <t>Selects which CO2 flows calibration to use.</t>
        </is>
      </c>
    </row>
    <row r="35">
      <c r="A35" t="inlineStr">
        <is>
          <t>CO2 per pulse (headspace volumes)</t>
        </is>
      </c>
      <c r="B35" t="inlineStr">
        <is>
          <t>flush_factor</t>
        </is>
      </c>
      <c r="C35" t="inlineStr">
        <is>
          <t>-</t>
        </is>
      </c>
      <c r="D35" t="n">
        <v>1</v>
      </c>
      <c r="E35" t="inlineStr">
        <is>
          <t>Headspace volumes of CO₂ per pulse. 1.0 = exactly one headspace flush (the minimum that fully sweeps it). Raise for margin.</t>
        </is>
      </c>
    </row>
    <row r="36">
      <c r="A36" t="inlineStr">
        <is>
          <t>latest calibration date</t>
        </is>
      </c>
      <c r="B36" t="inlineStr">
        <is>
          <t>latest_date</t>
        </is>
      </c>
      <c r="C36" t="inlineStr">
        <is>
          <t>-</t>
        </is>
      </c>
      <c r="D36">
        <f>SUMPRODUCT(MAX(('CO2 flows'!$N$4:$N$50=Reactor)*'CO2 flows'!$O$4:$O$50))</f>
        <v/>
      </c>
      <c r="E36" t="inlineStr">
        <is>
          <t>Latest date for this reactor.</t>
        </is>
      </c>
    </row>
    <row r="37">
      <c r="A37" t="inlineStr">
        <is>
          <t>flowrate (calibrated)</t>
        </is>
      </c>
      <c r="B37" t="inlineStr">
        <is>
          <t>flowrate_cal</t>
        </is>
      </c>
      <c r="C37" t="inlineStr">
        <is>
          <t>ml/s</t>
        </is>
      </c>
      <c r="D37">
        <f>SUMPRODUCT(('CO2 flows'!$N$4:$N$50=Reactor)*('CO2 flows'!$O$4:$O$50=latest_date)*'CO2 flows'!$P$4:$P$50)</f>
        <v/>
      </c>
      <c r="E37" t="inlineStr">
        <is>
          <t>Pulled from CO2 flows (latest date for reactor).</t>
        </is>
      </c>
    </row>
    <row r="38">
      <c r="A38" t="inlineStr">
        <is>
          <t>min sparge (calibrated)</t>
        </is>
      </c>
      <c r="B38" t="inlineStr">
        <is>
          <t>min_sparge_cal</t>
        </is>
      </c>
      <c r="C38" t="inlineStr">
        <is>
          <t>s</t>
        </is>
      </c>
      <c r="D38">
        <f>SUMPRODUCT(('CO2 flows'!$N$4:$N$50=Reactor)*('CO2 flows'!$O$4:$O$50=latest_date)*'CO2 flows'!$Q$4:$Q$50)</f>
        <v/>
      </c>
      <c r="E38" t="inlineStr">
        <is>
          <t>Pulled from CO2 flows (latest date for reactor).</t>
        </is>
      </c>
    </row>
  </sheetData>
  <conditionalFormatting sqref="D14">
    <cfRule type="colorScale" priority="3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9">
    <cfRule type="cellIs" priority="1" operator="equal" dxfId="1">
      <formula>"OK"</formula>
    </cfRule>
    <cfRule type="cellIs" priority="2" operator="equal" dxfId="0">
      <formula>"LOW"</formula>
    </cfRule>
  </conditionalFormatting>
  <dataValidations count="1">
    <dataValidation sqref="D58" showDropDown="0" showInputMessage="0" showErrorMessage="1" allowBlank="0" type="list">
      <formula1>"Manual,Optimal"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Q47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L2" s="59" t="inlineStr">
        <is>
          <t>KEY</t>
        </is>
      </c>
      <c r="N2" s="69" t="inlineStr">
        <is>
          <t>CALIBRATION SUMMARY (model lookup source)</t>
        </is>
      </c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L3" s="68" t="inlineStr">
        <is>
          <t>Flowrate set by inspection, as maximum to not give bubbles rising into vial neck</t>
        </is>
      </c>
      <c r="N3" s="69" t="inlineStr">
        <is>
          <t>Reactor</t>
        </is>
      </c>
      <c r="O3" s="69" t="inlineStr">
        <is>
          <t>Date</t>
        </is>
      </c>
      <c r="P3" s="69" t="inlineStr">
        <is>
          <t>Flowrate</t>
        </is>
      </c>
      <c r="Q3" s="69" t="inlineStr">
        <is>
          <t>Min sparge</t>
        </is>
      </c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L4" s="67" t="inlineStr">
        <is>
          <t>First or last data point removed as suspect outlier</t>
        </is>
      </c>
      <c r="N4" t="inlineStr">
        <is>
          <t>ed04</t>
        </is>
      </c>
      <c r="O4" s="70" t="n">
        <v>46190</v>
      </c>
      <c r="P4" s="71" t="n">
        <v>3.33</v>
      </c>
      <c r="Q4" t="n">
        <v>0.25</v>
      </c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inlineStr">
        <is>
          <t>(add a row per reactor/date as calibrations are collected)</t>
        </is>
      </c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inlineStr">
        <is>
          <t>Min sparge justification:</t>
        </is>
      </c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  <c r="N8" t="inlineStr">
        <is>
          <t>0.25 s. Deliveries are exactly repeatable at 0.25 s (1 ml every shot) and at 0.5 s (2 ml). At 0.2 s and below the per-pulse flowrate is erratic (2-6 ml/s): the ~0.4 ml fixed open/close bolus and millisecond timing jitter dominate, so dosing stops being linear or repeatable. Flowrate 3.33 ml/s = inspection-set max (no bubbles into the vial neck), confirmed by the long-pulse calibration slope.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  <c r="E35">
        <f>D35-D34</f>
        <v/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2026-06-19T01:19:50Z</dcterms:modified>
  <cp:lastModifiedBy>Martin Currie</cp:lastModifiedBy>
  <cp:revision>0</cp:revision>
</cp:coreProperties>
</file>