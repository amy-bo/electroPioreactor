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reactor_sel" localSheetId="1">Geometry!$D$48</definedName>
    <definedName name="rx_ver" localSheetId="1">Geometry!$D$49</definedName>
    <definedName name="stir_bar_L" localSheetId="1">Geometry!$D$50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  <definedName name="cal_exact_n" localSheetId="5">Dosing!$D$39</definedName>
    <definedName name="cal_type" localSheetId="5">Dosing!$D$40</definedName>
    <definedName name="cal_warning" localSheetId="5">Dosing!$D$41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4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</cellXfs>
  <cellStyles count="1">
    <cellStyle name="Normal" xfId="0" builtinId="0"/>
  </cellStyles>
  <dxfs count="11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36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 (resolved from reactor)</t>
        </is>
      </c>
      <c r="B3" s="8" t="inlineStr">
        <is>
          <t>rx_ver</t>
        </is>
      </c>
      <c r="C3" s="9" t="inlineStr">
        <is>
          <t>-</t>
        </is>
      </c>
      <c r="D3" s="75">
        <f>Geometry!$D$49</f>
        <v/>
      </c>
      <c r="E3" s="10" t="inlineStr">
        <is>
          <t>Active build. Choose from the values below. Dropdown.</t>
        </is>
      </c>
    </row>
    <row r="4">
      <c r="A4" s="7" t="inlineStr">
        <is>
          <t>Sparger type</t>
        </is>
      </c>
      <c r="B4" s="8" t="inlineStr">
        <is>
          <t>sparger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D9" s="60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D10" s="60">
        <f>'Mass Transfer'!$D$55</f>
        <v/>
      </c>
      <c r="E10" t="inlineStr">
        <is>
          <t>From Mass Transfer.</t>
        </is>
      </c>
    </row>
    <row r="11">
      <c r="A11" t="inlineStr">
        <is>
          <t>O₂ time-to-ceiling lag (min)</t>
        </is>
      </c>
      <c r="D11" s="60">
        <f>'Mass Transfer'!$D$56</f>
        <v/>
      </c>
      <c r="E11" t="inlineStr">
        <is>
          <t>From Mass Transfer.</t>
        </is>
      </c>
    </row>
    <row r="12">
      <c r="A12" t="inlineStr">
        <is>
          <t>Carbon margin</t>
        </is>
      </c>
      <c r="D12" s="61">
        <f>Biology!$D$28</f>
        <v/>
      </c>
      <c r="E12" t="inlineStr">
        <is>
          <t>From Biology.</t>
        </is>
      </c>
    </row>
    <row r="13">
      <c r="A13" t="inlineStr">
        <is>
          <t>CO₂ supply:demand</t>
        </is>
      </c>
      <c r="D13" s="62">
        <f>Dosing!$D$14</f>
        <v/>
      </c>
      <c r="E13" t="inlineStr">
        <is>
          <t>From Dosing.</t>
        </is>
      </c>
    </row>
    <row r="14">
      <c r="A14" t="inlineStr">
        <is>
          <t>Current-law</t>
        </is>
      </c>
      <c r="D14" s="63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D15" s="60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D16" s="60">
        <f>'Mass Transfer'!$D$40</f>
        <v/>
      </c>
      <c r="E16" t="inlineStr">
        <is>
          <t>From Mass Transfer.</t>
        </is>
      </c>
    </row>
    <row r="17">
      <c r="A17" t="inlineStr">
        <is>
          <t>Pulse≥floor</t>
        </is>
      </c>
      <c r="D17" s="62">
        <f>Dosing!$D$19</f>
        <v/>
      </c>
      <c r="E17" t="inlineStr">
        <is>
          <t>From Dosing.</t>
        </is>
      </c>
    </row>
    <row r="18">
      <c r="A18" t="inlineStr">
        <is>
          <t>OD window</t>
        </is>
      </c>
      <c r="D18" s="60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D19" s="61">
        <f>Biology!$D$37</f>
        <v/>
      </c>
      <c r="E19" t="inlineStr">
        <is>
          <t>From Biology.</t>
        </is>
      </c>
    </row>
    <row r="20">
      <c r="A20" t="inlineStr">
        <is>
          <t>Calibration source</t>
        </is>
      </c>
      <c r="D20" s="76">
        <f>Dosing!$D$41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</sheetData>
  <dataValidations count="6">
    <dataValidation sqref="D4" showDropDown="0" showInputMessage="0" showErrorMessage="1" allowBlank="0" type="list">
      <formula1>"Tube,Sintered"</formula1>
    </dataValidation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=Geometry!$A$53:$A$82</formula1>
    </dataValidation>
    <dataValidation sqref="D34" showDropDown="0" showInputMessage="0" showErrorMessage="0" allowBlank="1" type="list">
      <formula1>=Electrochemistry!$A$32:$A$40</formula1>
    </dataValidation>
    <dataValidation sqref="D35" showDropDown="0" showInputMessage="0" showErrorMessage="0" allowBlank="1" type="list">
      <formula1>=Biology!$A$47:$A$60</formula1>
    </dataValidation>
    <dataValidation sqref="D36" showDropDown="0" showInputMessage="0" showErrorMessage="0" allowBlank="1" type="list">
      <formula1>=Biology!$A$56:$A$64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3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77">
        <f>VLOOKUP(rx_ver,$A$78:$I$81,7,FALSE)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78">
        <f>VLOOKUP(rx_ver,$A$78:$I$81,4,FALSE)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78">
        <f>VLOOKUP(rx_ver,$A$78:$I$81,5,FALSE)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78">
        <f>VLOOKUP(rx_ver,$A$78:$I$81,6,FALSE)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38">
        <f>ROUND(V_max-disp_tot,0)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&amp; REACTOR-DERIVED</t>
        </is>
      </c>
    </row>
    <row r="48">
      <c r="A48" t="inlineStr">
        <is>
          <t>(import) Reactor selection</t>
        </is>
      </c>
      <c r="B48" t="inlineStr">
        <is>
          <t>reactor_sel</t>
        </is>
      </c>
      <c r="C48" t="inlineStr">
        <is>
          <t>-</t>
        </is>
      </c>
      <c r="D48" s="79">
        <f>Summary!$D$33</f>
        <v/>
      </c>
      <c r="E48" t="inlineStr">
        <is>
          <t>From Summary.</t>
        </is>
      </c>
    </row>
    <row r="49">
      <c r="A49" t="inlineStr">
        <is>
          <t>Reactor type (resolved from reactor)</t>
        </is>
      </c>
      <c r="B49" t="inlineStr">
        <is>
          <t>rx_ver</t>
        </is>
      </c>
      <c r="D49" s="80">
        <f>VLOOKUP(reactor_sel,$A$53:$B$74,2,FALSE)</f>
        <v/>
      </c>
    </row>
    <row r="50">
      <c r="A50" t="inlineStr">
        <is>
          <t>Stir-bar length (from reactor type)</t>
        </is>
      </c>
      <c r="B50" t="inlineStr">
        <is>
          <t>stir_bar_L</t>
        </is>
      </c>
      <c r="D50" s="80">
        <f>VLOOKUP(rx_ver,$A$78:$I$81,8,FALSE)</f>
        <v/>
      </c>
    </row>
    <row r="51">
      <c r="A51" s="73" t="inlineStr">
        <is>
          <t>REACTOR LOOKUP  (reactor ID → type)</t>
        </is>
      </c>
    </row>
    <row r="52">
      <c r="A52" s="69" t="inlineStr">
        <is>
          <t>Reactor</t>
        </is>
      </c>
      <c r="B52" s="69" t="inlineStr">
        <is>
          <t>Type</t>
        </is>
      </c>
    </row>
    <row r="53">
      <c r="A53" t="inlineStr">
        <is>
          <t>imp01</t>
        </is>
      </c>
      <c r="B53" t="inlineStr">
        <is>
          <t>AEP0.1.1</t>
        </is>
      </c>
    </row>
    <row r="54">
      <c r="A54" t="inlineStr">
        <is>
          <t>imp02</t>
        </is>
      </c>
      <c r="B54" t="inlineStr">
        <is>
          <t>AEP0.1.1</t>
        </is>
      </c>
    </row>
    <row r="55">
      <c r="A55" t="inlineStr">
        <is>
          <t>imp03</t>
        </is>
      </c>
      <c r="B55" t="inlineStr">
        <is>
          <t>AEP0.1.1</t>
        </is>
      </c>
    </row>
    <row r="56">
      <c r="A56" t="inlineStr">
        <is>
          <t>imp04</t>
        </is>
      </c>
      <c r="B56" t="inlineStr">
        <is>
          <t>AEP0.1.1</t>
        </is>
      </c>
    </row>
    <row r="57">
      <c r="A57" t="inlineStr">
        <is>
          <t>imp05</t>
        </is>
      </c>
      <c r="B57" t="inlineStr">
        <is>
          <t>AEP0.1.1</t>
        </is>
      </c>
    </row>
    <row r="58">
      <c r="A58" t="inlineStr">
        <is>
          <t>imp06</t>
        </is>
      </c>
      <c r="B58" t="inlineStr">
        <is>
          <t>AEP0.1.1</t>
        </is>
      </c>
    </row>
    <row r="59">
      <c r="A59" t="inlineStr">
        <is>
          <t>ed01</t>
        </is>
      </c>
      <c r="B59" t="inlineStr">
        <is>
          <t>AEP0.1.1</t>
        </is>
      </c>
    </row>
    <row r="60">
      <c r="A60" t="inlineStr">
        <is>
          <t>ed02</t>
        </is>
      </c>
      <c r="B60" t="inlineStr">
        <is>
          <t>AEP0.1.1</t>
        </is>
      </c>
    </row>
    <row r="61">
      <c r="A61" t="inlineStr">
        <is>
          <t>ed03</t>
        </is>
      </c>
      <c r="B61" t="inlineStr">
        <is>
          <t>AEP0.1.1</t>
        </is>
      </c>
    </row>
    <row r="62">
      <c r="A62" t="inlineStr">
        <is>
          <t>ed04</t>
        </is>
      </c>
      <c r="B62" t="inlineStr">
        <is>
          <t>MEP0.3</t>
        </is>
      </c>
    </row>
    <row r="63">
      <c r="A63" t="inlineStr">
        <is>
          <t>ed05</t>
        </is>
      </c>
      <c r="B63" t="inlineStr">
        <is>
          <t>MEP0.3</t>
        </is>
      </c>
    </row>
    <row r="64">
      <c r="A64" t="inlineStr">
        <is>
          <t>ed06</t>
        </is>
      </c>
      <c r="B64" t="inlineStr">
        <is>
          <t>AEP0.2</t>
        </is>
      </c>
    </row>
    <row r="65">
      <c r="A65" t="inlineStr">
        <is>
          <t>ed07</t>
        </is>
      </c>
      <c r="B65" t="inlineStr">
        <is>
          <t>AEP0.2</t>
        </is>
      </c>
    </row>
    <row r="66">
      <c r="A66" t="inlineStr">
        <is>
          <t>ed08</t>
        </is>
      </c>
      <c r="B66" t="inlineStr">
        <is>
          <t>AEP0.2</t>
        </is>
      </c>
    </row>
    <row r="67">
      <c r="A67" t="inlineStr">
        <is>
          <t>imp07</t>
        </is>
      </c>
      <c r="B67" t="inlineStr">
        <is>
          <t>AEP0.2</t>
        </is>
      </c>
    </row>
    <row r="68">
      <c r="A68" t="inlineStr">
        <is>
          <t>imp08</t>
        </is>
      </c>
      <c r="B68" t="inlineStr">
        <is>
          <t>AEP0.2</t>
        </is>
      </c>
    </row>
    <row r="69">
      <c r="A69" t="inlineStr">
        <is>
          <t>imp09</t>
        </is>
      </c>
      <c r="B69" t="inlineStr">
        <is>
          <t>AEP0.2</t>
        </is>
      </c>
    </row>
    <row r="70">
      <c r="A70" t="inlineStr">
        <is>
          <t>imp10</t>
        </is>
      </c>
      <c r="B70" t="inlineStr">
        <is>
          <t>AEP0.2</t>
        </is>
      </c>
    </row>
    <row r="71">
      <c r="A71" t="inlineStr">
        <is>
          <t>imp11</t>
        </is>
      </c>
      <c r="B71" t="inlineStr">
        <is>
          <t>AEP0.2</t>
        </is>
      </c>
    </row>
    <row r="72">
      <c r="A72" t="inlineStr">
        <is>
          <t>imp12</t>
        </is>
      </c>
      <c r="B72" t="inlineStr">
        <is>
          <t>AEP0.2</t>
        </is>
      </c>
    </row>
    <row r="73">
      <c r="A73" t="inlineStr">
        <is>
          <t>nm01</t>
        </is>
      </c>
      <c r="B73" t="inlineStr">
        <is>
          <t>AEP0.2a</t>
        </is>
      </c>
    </row>
    <row r="74">
      <c r="A74" t="inlineStr">
        <is>
          <t>nm02</t>
        </is>
      </c>
      <c r="B74" t="inlineStr">
        <is>
          <t>AEP0.2</t>
        </is>
      </c>
    </row>
    <row r="76">
      <c r="A76" s="73" t="inlineStr">
        <is>
          <t>REACTOR-TYPE LOOKUP  (geometry &amp; stir bar; pulled by type)</t>
        </is>
      </c>
    </row>
    <row r="77">
      <c r="A77" s="69" t="inlineStr">
        <is>
          <t>Type</t>
        </is>
      </c>
      <c r="B77" s="69" t="inlineStr">
        <is>
          <t>Pioreactor</t>
        </is>
      </c>
      <c r="C77" s="69" t="inlineStr">
        <is>
          <t>vial (mL)</t>
        </is>
      </c>
      <c r="D77" s="69" t="inlineStr">
        <is>
          <t>usable depth (mm)</t>
        </is>
      </c>
      <c r="E77" s="69" t="inlineStr">
        <is>
          <t>max working (mL)</t>
        </is>
      </c>
      <c r="F77" s="69" t="inlineStr">
        <is>
          <t>total vial (mL)</t>
        </is>
      </c>
      <c r="G77" s="69" t="inlineStr">
        <is>
          <t>vial OD (mm)</t>
        </is>
      </c>
      <c r="H77" s="69" t="inlineStr">
        <is>
          <t>stir bar L (mm)</t>
        </is>
      </c>
      <c r="I77" s="69" t="inlineStr">
        <is>
          <t>stir bar dia (mm)</t>
        </is>
      </c>
    </row>
    <row r="78">
      <c r="A78" t="inlineStr">
        <is>
          <t>AEP0.1.1</t>
        </is>
      </c>
      <c r="B78" t="inlineStr">
        <is>
          <t>1.1</t>
        </is>
      </c>
      <c r="C78" t="n">
        <v>20</v>
      </c>
      <c r="D78" t="n">
        <v>55</v>
      </c>
      <c r="E78" t="n">
        <v>16</v>
      </c>
      <c r="F78" t="n">
        <v>20</v>
      </c>
      <c r="G78" t="n">
        <v>27.48</v>
      </c>
      <c r="H78" t="n">
        <v>12</v>
      </c>
      <c r="I78" t="n">
        <v>3</v>
      </c>
    </row>
    <row r="79">
      <c r="A79" t="inlineStr">
        <is>
          <t>MEP0.3</t>
        </is>
      </c>
      <c r="B79" t="inlineStr">
        <is>
          <t>1.1</t>
        </is>
      </c>
      <c r="C79" t="n">
        <v>20</v>
      </c>
      <c r="D79" t="n">
        <v>55</v>
      </c>
      <c r="E79" t="n">
        <v>16</v>
      </c>
      <c r="F79" t="n">
        <v>20</v>
      </c>
      <c r="G79" t="n">
        <v>27.48</v>
      </c>
      <c r="H79" t="n">
        <v>12</v>
      </c>
      <c r="I79" t="n">
        <v>3</v>
      </c>
    </row>
    <row r="80">
      <c r="A80" t="inlineStr">
        <is>
          <t>AEP0.2</t>
        </is>
      </c>
      <c r="B80" t="inlineStr">
        <is>
          <t>1.5</t>
        </is>
      </c>
      <c r="C80" t="n">
        <v>40</v>
      </c>
      <c r="D80" t="n">
        <v>95</v>
      </c>
      <c r="E80" t="n">
        <v>30</v>
      </c>
      <c r="F80" t="n">
        <v>42</v>
      </c>
      <c r="G80" t="n">
        <v>27.48</v>
      </c>
      <c r="H80" t="n">
        <v>15</v>
      </c>
      <c r="I80" t="n">
        <v>6</v>
      </c>
    </row>
    <row r="81">
      <c r="A81" t="inlineStr">
        <is>
          <t>AEP0.2a</t>
        </is>
      </c>
      <c r="B81" t="inlineStr">
        <is>
          <t>1.5</t>
        </is>
      </c>
      <c r="C81" t="n">
        <v>40</v>
      </c>
      <c r="D81" t="n">
        <v>95</v>
      </c>
      <c r="E81" t="n">
        <v>30</v>
      </c>
      <c r="F81" t="n">
        <v>42</v>
      </c>
      <c r="G81" t="n">
        <v>27.48</v>
      </c>
      <c r="H81" t="n">
        <v>15</v>
      </c>
      <c r="I81" t="n">
        <v>6</v>
      </c>
    </row>
    <row r="83">
      <c r="A83" s="72" t="inlineStr">
        <is>
          <t>40 mL OD = 20 mL diameter (Pioreactor source); depths/volumes confirm by measurement.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6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39" t="n">
        <v>3</v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24" t="n">
        <v>4</v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  <row r="30">
      <c r="A30" s="73" t="inlineStr">
        <is>
          <t>ELECTRODE LOOKUP  (selecting the electrode sets sparger, porosity, cathode)</t>
        </is>
      </c>
    </row>
    <row r="31">
      <c r="A31" s="69" t="inlineStr">
        <is>
          <t>Electrode</t>
        </is>
      </c>
      <c r="B31" s="69" t="inlineStr">
        <is>
          <t>anode material</t>
        </is>
      </c>
      <c r="C31" s="69" t="inlineStr">
        <is>
          <t>anode dia (mm)</t>
        </is>
      </c>
      <c r="D31" s="69" t="inlineStr">
        <is>
          <t>sparger</t>
        </is>
      </c>
      <c r="E31" s="69" t="inlineStr">
        <is>
          <t>sinter porosity</t>
        </is>
      </c>
      <c r="F31" s="69" t="inlineStr">
        <is>
          <t>cathode</t>
        </is>
      </c>
      <c r="G31" s="69" t="inlineStr">
        <is>
          <t>cathode dia (mm)</t>
        </is>
      </c>
      <c r="H31" s="69" t="inlineStr">
        <is>
          <t>etaF</t>
        </is>
      </c>
      <c r="I31" s="69" t="inlineStr">
        <is>
          <t>z_e_ORR</t>
        </is>
      </c>
    </row>
    <row r="32">
      <c r="A32" t="inlineStr">
        <is>
          <t>Pt/Ti rod</t>
        </is>
      </c>
      <c r="B32" t="inlineStr">
        <is>
          <t>Pt/Ti</t>
        </is>
      </c>
      <c r="C32" t="n">
        <v>6</v>
      </c>
      <c r="D32" t="inlineStr">
        <is>
          <t>Tube</t>
        </is>
      </c>
      <c r="E32" t="inlineStr">
        <is>
          <t>n/a</t>
        </is>
      </c>
      <c r="F32" t="inlineStr">
        <is>
          <t>SS rod</t>
        </is>
      </c>
      <c r="G32" t="n">
        <v>6</v>
      </c>
      <c r="H32" s="74" t="inlineStr">
        <is>
          <t>TBD</t>
        </is>
      </c>
      <c r="I32" t="n">
        <v>2</v>
      </c>
    </row>
    <row r="33">
      <c r="A33" t="inlineStr">
        <is>
          <t>MMO rod</t>
        </is>
      </c>
      <c r="B33" t="inlineStr">
        <is>
          <t>MMO</t>
        </is>
      </c>
      <c r="C33" t="n">
        <v>6</v>
      </c>
      <c r="D33" t="inlineStr">
        <is>
          <t>Tube</t>
        </is>
      </c>
      <c r="E33" t="inlineStr">
        <is>
          <t>n/a</t>
        </is>
      </c>
      <c r="F33" t="inlineStr">
        <is>
          <t>SS rod</t>
        </is>
      </c>
      <c r="G33" t="n">
        <v>6</v>
      </c>
      <c r="H33" s="74" t="inlineStr">
        <is>
          <t>TBD</t>
        </is>
      </c>
      <c r="I33" t="n">
        <v>2</v>
      </c>
    </row>
    <row r="34">
      <c r="A34" t="inlineStr">
        <is>
          <t>MMO tube</t>
        </is>
      </c>
      <c r="B34" t="inlineStr">
        <is>
          <t>MMO</t>
        </is>
      </c>
      <c r="C34" t="n">
        <v>6</v>
      </c>
      <c r="D34" t="inlineStr">
        <is>
          <t>Sintered</t>
        </is>
      </c>
      <c r="E34" s="74" t="inlineStr">
        <is>
          <t>TBD</t>
        </is>
      </c>
      <c r="F34" t="inlineStr">
        <is>
          <t>SS rod</t>
        </is>
      </c>
      <c r="G34" t="n">
        <v>6</v>
      </c>
      <c r="H34" s="74" t="inlineStr">
        <is>
          <t>TBD</t>
        </is>
      </c>
      <c r="I34" t="n">
        <v>2</v>
      </c>
    </row>
    <row r="36">
      <c r="A36" s="72" t="inlineStr">
        <is>
          <t>z_e_ORR=2 assumed (peroxide, non-Pt SS cathode, neutral pH); etaF unmeasured - both live here per electrode.</t>
        </is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56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31" t="n">
        <v>30</v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30" t="n">
        <v>101325</v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  <row r="45">
      <c r="A45" s="73" t="inlineStr">
        <is>
          <t>HOB LOOKUP  (dissolved O₂ thresholds, mg/L)</t>
        </is>
      </c>
    </row>
    <row r="46">
      <c r="A46" s="69" t="inlineStr">
        <is>
          <t>Organism</t>
        </is>
      </c>
      <c r="B46" s="69" t="inlineStr">
        <is>
          <t>minimum DO</t>
        </is>
      </c>
      <c r="C46" s="69" t="inlineStr">
        <is>
          <t>optimum DO</t>
        </is>
      </c>
      <c r="D46" s="69" t="inlineStr">
        <is>
          <t>impairment DO</t>
        </is>
      </c>
      <c r="E46" s="69" t="inlineStr">
        <is>
          <t>toxic DO</t>
        </is>
      </c>
      <c r="F46" s="69" t="inlineStr">
        <is>
          <t>source</t>
        </is>
      </c>
    </row>
    <row r="47">
      <c r="A47" t="inlineStr">
        <is>
          <t>Cupriavidus necator</t>
        </is>
      </c>
      <c r="B47" s="74" t="inlineStr">
        <is>
          <t>?</t>
        </is>
      </c>
      <c r="C47" t="n">
        <v>2.6</v>
      </c>
      <c r="D47" t="n">
        <v>3</v>
      </c>
      <c r="E47" t="n">
        <v>11.5</v>
      </c>
      <c r="F47" t="inlineStr">
        <is>
          <t>Amer &amp; Kim 2023; Wilde &amp; Schlegel 1982</t>
        </is>
      </c>
    </row>
    <row r="48">
      <c r="A48" t="inlineStr">
        <is>
          <t>Xanthobacter autotrophicus</t>
        </is>
      </c>
      <c r="B48" s="74" t="inlineStr">
        <is>
          <t>?</t>
        </is>
      </c>
      <c r="C48" s="74" t="inlineStr">
        <is>
          <t>?</t>
        </is>
      </c>
      <c r="D48" s="74" t="inlineStr">
        <is>
          <t>?</t>
        </is>
      </c>
      <c r="E48" t="n">
        <v>11.5</v>
      </c>
      <c r="F48" t="inlineStr">
        <is>
          <t>Wilde &amp; Schlegel 1982 (~0.30 atm)</t>
        </is>
      </c>
    </row>
    <row r="49">
      <c r="A49" t="inlineStr">
        <is>
          <t>Xanthobacter flavus</t>
        </is>
      </c>
      <c r="B49" s="74" t="inlineStr">
        <is>
          <t>?</t>
        </is>
      </c>
      <c r="C49" s="74" t="inlineStr">
        <is>
          <t>?</t>
        </is>
      </c>
      <c r="D49" s="74" t="inlineStr">
        <is>
          <t>?</t>
        </is>
      </c>
      <c r="E49" s="74" t="inlineStr">
        <is>
          <t>?</t>
        </is>
      </c>
      <c r="F49" t="inlineStr">
        <is>
          <t>no species data — assume genus ~11.5</t>
        </is>
      </c>
    </row>
    <row r="50">
      <c r="A50" t="inlineStr">
        <is>
          <t>Xanthobacter tagetidis</t>
        </is>
      </c>
      <c r="B50" s="74" t="inlineStr">
        <is>
          <t>?</t>
        </is>
      </c>
      <c r="C50" s="74" t="inlineStr">
        <is>
          <t>?</t>
        </is>
      </c>
      <c r="D50" s="74" t="inlineStr">
        <is>
          <t>?</t>
        </is>
      </c>
      <c r="E50" s="74" t="inlineStr">
        <is>
          <t>?</t>
        </is>
      </c>
      <c r="F50" t="inlineStr">
        <is>
          <t>no species data — assume genus ~11.5</t>
        </is>
      </c>
    </row>
    <row r="51">
      <c r="A51" t="inlineStr">
        <is>
          <t>Cupriavidus metallidurans</t>
        </is>
      </c>
      <c r="B51" s="74" t="inlineStr">
        <is>
          <t>?</t>
        </is>
      </c>
      <c r="C51" s="74" t="inlineStr">
        <is>
          <t>?</t>
        </is>
      </c>
      <c r="D51" s="74" t="inlineStr">
        <is>
          <t>?</t>
        </is>
      </c>
      <c r="E51" s="74" t="inlineStr">
        <is>
          <t>?</t>
        </is>
      </c>
      <c r="F51" t="inlineStr">
        <is>
          <t>no species data — assume genus ~11.5</t>
        </is>
      </c>
    </row>
    <row r="52">
      <c r="A52" t="inlineStr">
        <is>
          <t>UdG (mixed)</t>
        </is>
      </c>
      <c r="B52" s="74" t="inlineStr">
        <is>
          <t>?</t>
        </is>
      </c>
      <c r="C52" s="74" t="inlineStr">
        <is>
          <t>?</t>
        </is>
      </c>
      <c r="D52" s="74" t="inlineStr">
        <is>
          <t>?</t>
        </is>
      </c>
      <c r="E52" s="74" t="inlineStr">
        <is>
          <t>?</t>
        </is>
      </c>
      <c r="F52" t="inlineStr">
        <is>
          <t>Rovira-Alsina 2025; Pous 2022/23</t>
        </is>
      </c>
    </row>
    <row r="54">
      <c r="A54" s="73" t="inlineStr">
        <is>
          <t>MEDIA LOOKUP</t>
        </is>
      </c>
    </row>
    <row r="55">
      <c r="A55" s="69" t="inlineStr">
        <is>
          <t>Media</t>
        </is>
      </c>
      <c r="B55" s="69" t="inlineStr">
        <is>
          <t>buffer</t>
        </is>
      </c>
      <c r="C55" s="69" t="inlineStr">
        <is>
          <t>buffer conc (mM)</t>
        </is>
      </c>
      <c r="D55" s="69" t="inlineStr">
        <is>
          <t>notes</t>
        </is>
      </c>
      <c r="E55" s="69" t="inlineStr">
        <is>
          <t>source</t>
        </is>
      </c>
    </row>
    <row r="56">
      <c r="A56" t="inlineStr">
        <is>
          <t>Sydow 2017 minimal</t>
        </is>
      </c>
      <c r="B56" t="inlineStr">
        <is>
          <t>phosphate</t>
        </is>
      </c>
      <c r="C56" s="74" t="inlineStr">
        <is>
          <t>?</t>
        </is>
      </c>
      <c r="D56" t="inlineStr">
        <is>
          <t>low-chloride, organic-free</t>
        </is>
      </c>
      <c r="E56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0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52" t="n">
        <v>500</v>
      </c>
      <c r="E43" s="25" t="inlineStr">
        <is>
          <t>Pioreactor stir setpoint. RPM floor ~125 (stalls below). Input/confirm.</t>
        </is>
      </c>
    </row>
    <row r="44">
      <c r="A44" s="7" t="inlineStr">
        <is>
          <t>(import) Stir-bar length (from reactor type)</t>
        </is>
      </c>
      <c r="B44" s="8" t="inlineStr">
        <is>
          <t>stir_len</t>
        </is>
      </c>
      <c r="C44" s="9" t="inlineStr">
        <is>
          <t>mm</t>
        </is>
      </c>
      <c r="D44" s="81">
        <f>Geometry!$D$50</f>
        <v/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dissolved-O₂ ceiling fraction</t>
        </is>
      </c>
      <c r="B61" s="8" t="inlineStr">
        <is>
          <t>target_DO_frac</t>
        </is>
      </c>
      <c r="C61" s="9" t="inlineStr">
        <is>
          <t>-</t>
        </is>
      </c>
      <c r="D61" s="52" t="n">
        <v>0.5</v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</t>
        </is>
      </c>
      <c r="B100" t="inlineStr">
        <is>
          <t>sparger</t>
        </is>
      </c>
      <c r="C100" t="inlineStr">
        <is>
          <t>-</t>
        </is>
      </c>
      <c r="D100">
        <f>Summary!$D$4</f>
        <v/>
      </c>
      <c r="E100" t="inlineStr">
        <is>
          <t>From Summary.</t>
        </is>
      </c>
    </row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41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s="79">
        <f>Summary!$D$33</f>
        <v/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</v>
      </c>
      <c r="E35" t="inlineStr">
        <is>
          <t>Headspace volumes of CO₂ per pulse. 1.0 = exactly one headspace flush (the minimum that fully sweeps it). Raise for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 s="80">
        <f>IF(cal_exact_n&gt;0,SUMPRODUCT(MAX(('CO2 flows'!$A$51:$A$70=Reactor)*'CO2 flows'!$B$51:$B$70)),SUMPRODUCT(MAX(('CO2 flows'!$E$51:$E$70=cal_type)*'CO2 flows'!$B$51:$B$70)))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 s="80">
        <f>IF(cal_exact_n&gt;0,SUMPRODUCT(('CO2 flows'!$A$51:$A$70=Reactor)*('CO2 flows'!$B$51:$B$70=latest_date)*'CO2 flows'!$C$51:$C$70)/MAX(1,SUMPRODUCT(('CO2 flows'!$A$51:$A$70=Reactor)*('CO2 flows'!$B$51:$B$70=latest_date)*1)),SUMPRODUCT(('CO2 flows'!$E$51:$E$70=cal_type)*('CO2 flows'!$B$51:$B$70=latest_date)*'CO2 flows'!$C$51:$C$70)/MAX(1,SUMPRODUCT(('CO2 flows'!$E$51:$E$70=cal_type)*('CO2 flows'!$B$51:$B$70=latest_date)*1)))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 s="80">
        <f>IF(cal_exact_n&gt;0,SUMPRODUCT(('CO2 flows'!$A$51:$A$70=Reactor)*('CO2 flows'!$B$51:$B$70=latest_date)*'CO2 flows'!$D$51:$D$70)/MAX(1,SUMPRODUCT(('CO2 flows'!$A$51:$A$70=Reactor)*('CO2 flows'!$B$51:$B$70=latest_date)*1)),SUMPRODUCT(('CO2 flows'!$E$51:$E$70=cal_type)*('CO2 flows'!$B$51:$B$70=latest_date)*'CO2 flows'!$D$51:$D$70)/MAX(1,SUMPRODUCT(('CO2 flows'!$E$51:$E$70=cal_type)*('CO2 flows'!$B$51:$B$70=latest_date)*1)))</f>
        <v/>
      </c>
      <c r="E38" t="inlineStr">
        <is>
          <t>Pulled from CO2 flows (latest date for reactor).</t>
        </is>
      </c>
    </row>
    <row r="39">
      <c r="A39" t="inlineStr">
        <is>
          <t>calibration rows for this reactor</t>
        </is>
      </c>
      <c r="B39" t="inlineStr">
        <is>
          <t>cal_exact_n</t>
        </is>
      </c>
      <c r="D39" s="80">
        <f>SUMPRODUCT(('CO2 flows'!$A$51:$A$70=Reactor)*1)</f>
        <v/>
      </c>
    </row>
    <row r="40">
      <c r="A40" t="inlineStr">
        <is>
          <t>reactor type (for nearest-match)</t>
        </is>
      </c>
      <c r="B40" t="inlineStr">
        <is>
          <t>cal_type</t>
        </is>
      </c>
      <c r="D40" s="80">
        <f>IFERROR(VLOOKUP(Reactor,Geometry!$A$53:$B$74,2,FALSE),"?")</f>
        <v/>
      </c>
    </row>
    <row r="41">
      <c r="A41" t="inlineStr">
        <is>
          <t>calibration source</t>
        </is>
      </c>
      <c r="B41" t="inlineStr">
        <is>
          <t>cal_warning</t>
        </is>
      </c>
      <c r="D41" s="80">
        <f>IF(cal_exact_n&gt;0,"exact: "&amp;Reactor,"NEAREST TYPE ("&amp;cal_type&amp;") - no calibration for "&amp;Reactor)</f>
        <v/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inlineStr">
        <is>
          <t>CALIBRATION SUMMARY (model lookup source — latest date per reactor is used)</t>
        </is>
      </c>
    </row>
    <row r="50">
      <c r="A50" s="69" t="inlineStr">
        <is>
          <t>Reactor</t>
        </is>
      </c>
      <c r="B50" s="69" t="inlineStr">
        <is>
          <t>Date</t>
        </is>
      </c>
      <c r="C50" s="69" t="inlineStr">
        <is>
          <t>Flowrate (ml/s)</t>
        </is>
      </c>
      <c r="D50" s="69" t="inlineStr">
        <is>
          <t>Min sparge (s)</t>
        </is>
      </c>
      <c r="E50" s="69" t="inlineStr">
        <is>
          <t>Type</t>
        </is>
      </c>
    </row>
    <row r="51">
      <c r="A51" t="inlineStr">
        <is>
          <t>ed04</t>
        </is>
      </c>
      <c r="B51" s="70" t="n">
        <v>46190</v>
      </c>
      <c r="C51" t="n">
        <v>3.33</v>
      </c>
      <c r="D51" t="n">
        <v>0.25</v>
      </c>
      <c r="E51">
        <f>IFERROR(VLOOKUP(A51,Geometry!$A$53:$B$74,2,FALSE),"")</f>
        <v/>
      </c>
    </row>
    <row r="52">
      <c r="A52" s="72" t="n"/>
      <c r="E52">
        <f>IFERROR(VLOOKUP(A52,Geometry!$A$53:$B$74,2,FALSE),"")</f>
        <v/>
      </c>
    </row>
    <row r="53">
      <c r="E53">
        <f>IFERROR(VLOOKUP(A53,Geometry!$A$53:$B$74,2,FALSE),"")</f>
        <v/>
      </c>
    </row>
    <row r="54">
      <c r="A54" s="73" t="n"/>
      <c r="E54">
        <f>IFERROR(VLOOKUP(A54,Geometry!$A$53:$B$74,2,FALSE),"")</f>
        <v/>
      </c>
    </row>
    <row r="55">
      <c r="E55">
        <f>IFERROR(VLOOKUP(A55,Geometry!$A$53:$B$74,2,FALSE),"")</f>
        <v/>
      </c>
    </row>
    <row r="56">
      <c r="E56">
        <f>IFERROR(VLOOKUP(A56,Geometry!$A$53:$B$74,2,FALSE),"")</f>
        <v/>
      </c>
    </row>
    <row r="57">
      <c r="E57">
        <f>IFERROR(VLOOKUP(A57,Geometry!$A$53:$B$74,2,FALSE),"")</f>
        <v/>
      </c>
    </row>
    <row r="58">
      <c r="E58">
        <f>IFERROR(VLOOKUP(A58,Geometry!$A$53:$B$74,2,FALSE),"")</f>
        <v/>
      </c>
    </row>
    <row r="59">
      <c r="E59">
        <f>IFERROR(VLOOKUP(A59,Geometry!$A$53:$B$74,2,FALSE),"")</f>
        <v/>
      </c>
    </row>
    <row r="60">
      <c r="E60">
        <f>IFERROR(VLOOKUP(A60,Geometry!$A$53:$B$74,2,FALSE),"")</f>
        <v/>
      </c>
    </row>
    <row r="61">
      <c r="E61">
        <f>IFERROR(VLOOKUP(A61,Geometry!$A$53:$B$74,2,FALSE),"")</f>
        <v/>
      </c>
    </row>
    <row r="62">
      <c r="E62">
        <f>IFERROR(VLOOKUP(A62,Geometry!$A$53:$B$74,2,FALSE),"")</f>
        <v/>
      </c>
    </row>
    <row r="63">
      <c r="E63">
        <f>IFERROR(VLOOKUP(A63,Geometry!$A$53:$B$74,2,FALSE),"")</f>
        <v/>
      </c>
    </row>
    <row r="64">
      <c r="E64">
        <f>IFERROR(VLOOKUP(A64,Geometry!$A$53:$B$74,2,FALSE),"")</f>
        <v/>
      </c>
    </row>
    <row r="65">
      <c r="E65">
        <f>IFERROR(VLOOKUP(A65,Geometry!$A$53:$B$74,2,FALSE),"")</f>
        <v/>
      </c>
    </row>
    <row r="66">
      <c r="E66">
        <f>IFERROR(VLOOKUP(A66,Geometry!$A$53:$B$74,2,FALSE),"")</f>
        <v/>
      </c>
    </row>
    <row r="67">
      <c r="E67">
        <f>IFERROR(VLOOKUP(A67,Geometry!$A$53:$B$74,2,FALSE),"")</f>
        <v/>
      </c>
    </row>
    <row r="68">
      <c r="E68">
        <f>IFERROR(VLOOKUP(A68,Geometry!$A$53:$B$74,2,FALSE),"")</f>
        <v/>
      </c>
    </row>
    <row r="69">
      <c r="E69">
        <f>IFERROR(VLOOKUP(A69,Geometry!$A$53:$B$74,2,FALSE),"")</f>
        <v/>
      </c>
    </row>
    <row r="70">
      <c r="E70">
        <f>IFERROR(VLOOKUP(A70,Geometry!$A$53:$B$74,2,FALSE),"")</f>
        <v/>
      </c>
    </row>
    <row r="72">
      <c r="A72" s="72" t="inlineStr">
        <is>
          <t>Add one row per reactor + calibration date below the header (row 50); rows 51-70 are the lookup range.</t>
        </is>
      </c>
    </row>
    <row r="73">
      <c r="A73" s="72" t="inlineStr">
        <is>
          <t>The latest date for a reactor is used; if a reactor has no row, the latest row of the same reactor type is used (flagged).</t>
        </is>
      </c>
    </row>
    <row r="75">
      <c r="A75" s="73" t="inlineStr">
        <is>
          <t>Min sparge justification</t>
        </is>
      </c>
    </row>
    <row r="76">
      <c r="A76" t="inlineStr">
        <is>
          <t>0.25 s. Repeatable at 0.25 s (1 ml/shot) and 0.5 s (2 ml); at &lt;=0.2 s the per-pulse flowrate is erratic (2-6 ml/s) - the ~0.4 ml fixed open/close bolus and timing jitter dominate. Flowrate 3.33 ml/s = inspection-set max (no bubbles into the neck), confirmed by the long-pulse slope.</t>
        </is>
      </c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2026-06-19T02:55:56Z</dcterms:modified>
  <cp:lastModifiedBy>Martin Currie</cp:lastModifiedBy>
  <cp:revision>0</cp:revision>
</cp:coreProperties>
</file>