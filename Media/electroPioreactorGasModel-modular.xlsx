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5700ECEE-F27A-C64B-B59E-FBBEE63A14B3}" xr6:coauthVersionLast="47" xr6:coauthVersionMax="47" xr10:uidLastSave="{00000000-0000-0000-0000-000000000000}"/>
  <bookViews>
    <workbookView xWindow="0" yWindow="580" windowWidth="20400" windowHeight="18060" tabRatio="500" activeTab="6" xr2:uid="{00000000-000D-0000-FFFF-FFFF00000000}"/>
  </bookViews>
  <sheets>
    <sheet name="Summary" sheetId="1" r:id="rId1"/>
    <sheet name="Geometry" sheetId="2" r:id="rId2"/>
    <sheet name="Electrochemistry" sheetId="3" r:id="rId3"/>
    <sheet name="Biology" sheetId="4" r:id="rId4"/>
    <sheet name="Mass Transfer" sheetId="5" r:id="rId5"/>
    <sheet name="Dosing" sheetId="6" r:id="rId6"/>
    <sheet name="Angella Flow" sheetId="7" r:id="rId7"/>
  </sheets>
  <definedNames>
    <definedName name="a_int" localSheetId="4">'Mass Transfer'!$D$25</definedName>
    <definedName name="a_surf" localSheetId="4">'Mass Transfer'!$D$48</definedName>
    <definedName name="A_x" localSheetId="1">Geometry!$D$16</definedName>
    <definedName name="A_x" localSheetId="4">'Mass Transfer'!$D$96</definedName>
    <definedName name="bio_CO2" localSheetId="3">Biology!$D$5</definedName>
    <definedName name="bio_H2" localSheetId="3">Biology!$D$3</definedName>
    <definedName name="bio_O2" localSheetId="3">Biology!$D$4</definedName>
    <definedName name="bubble_regime" localSheetId="4">'Mass Transfer'!$D$40</definedName>
    <definedName name="C_H2_sat" localSheetId="3">Biology!$D$34</definedName>
    <definedName name="carbon_margin_min" localSheetId="4">'Mass Transfer'!$D$62</definedName>
    <definedName name="carry_flag" localSheetId="4">'Mass Transfer'!$D$35</definedName>
    <definedName name="CO2_carbon_margin" localSheetId="3">Biology!$D$28</definedName>
    <definedName name="CO2_cons" localSheetId="3">Biology!$D$8</definedName>
    <definedName name="CO2_cons" localSheetId="5">Dosing!$D$25</definedName>
    <definedName name="CO2_cons" localSheetId="4">'Mass Transfer'!$D$82</definedName>
    <definedName name="CO2_diss" localSheetId="3">Biology!$D$26</definedName>
    <definedName name="CO2_pulse" localSheetId="5">Dosing!$D$10</definedName>
    <definedName name="CO2_sd_ratio" localSheetId="5">Dosing!$D$14</definedName>
    <definedName name="CO2_supply" localSheetId="5">Dosing!$D$13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int" localSheetId="1">Geometry!$D$17</definedName>
    <definedName name="D_int_1" localSheetId="1">Geometry!$D$7</definedName>
    <definedName name="D_int_2" localSheetId="1">Geometry!$D$8</definedName>
    <definedName name="D_O2" localSheetId="4">'Mass Transfer'!$D$8</definedName>
    <definedName name="d_orifice" localSheetId="4">'Mass Transfer'!$D$17</definedName>
    <definedName name="disp_tot" localSheetId="1">Geometry!$D$35</definedName>
    <definedName name="DO_vent_eq" localSheetId="4">'Mass Transfer'!$D$53</definedName>
    <definedName name="dur_ok" localSheetId="5">Dosing!$D$19</definedName>
    <definedName name="duty" localSheetId="5">Dosing!$D$15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_const" localSheetId="4">'Mass Transfer'!$D$7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h_actual" localSheetId="1">Geometry!$D$37</definedName>
    <definedName name="H_CO2_T" localSheetId="3">Biology!$D$24</definedName>
    <definedName name="H_CO2ref" localSheetId="3">Biology!$D$22</definedName>
    <definedName name="H_CO2T" localSheetId="3">Biology!$D$23</definedName>
    <definedName name="h_datum" localSheetId="1">Geometry!$D$20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_T" localSheetId="4">'Mass Transfer'!$D$84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headspace_V" localSheetId="1">Geometry!$D$44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interface_A" localSheetId="1">Geometry!$D$39</definedName>
    <definedName name="interface_A" localSheetId="4">'Mass Transfer'!$D$93</definedName>
    <definedName name="Ka1_carb" localSheetId="3">Biology!$D$29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Km_CO2" localSheetId="3">Biology!$D$27</definedName>
    <definedName name="M_CO2" localSheetId="5">Dosing!$D$8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5">Dosing!$D$9</definedName>
    <definedName name="nCO2_rate" localSheetId="4">'Mass Transfer'!$D$90</definedName>
    <definedName name="O2_accum" localSheetId="5">Dosing!$D$16</definedName>
    <definedName name="O2_cathode_ORR" localSheetId="2">Electrochemistry!$D$21</definedName>
    <definedName name="O2_ceil_atm" localSheetId="3">Biology!$D$18</definedName>
    <definedName name="O2_ceil_C" localSheetId="3">Biology!$D$20</definedName>
    <definedName name="O2_ceil_C" localSheetId="4">'Mass Transfer'!$D$78</definedName>
    <definedName name="O2_ceil_Pa" localSheetId="3">Biology!$D$19</definedName>
    <definedName name="O2_ceil_Pa" localSheetId="4">'Mass Transfer'!$D$79</definedName>
    <definedName name="O2_ceil_uM" localSheetId="3">Biology!$D$21</definedName>
    <definedName name="O2_cons" localSheetId="3">Biology!$D$7</definedName>
    <definedName name="O2_excess" localSheetId="3">Biology!$D$9</definedName>
    <definedName name="O2_excess" localSheetId="5">Dosing!$D$22</definedName>
    <definedName name="O2_excess" localSheetId="4">'Mass Transfer'!$D$83</definedName>
    <definedName name="O2_net_gen" localSheetId="3">Biology!$D$41</definedName>
    <definedName name="O2_net_gen" localSheetId="2">Electrochemistry!$D$22</definedName>
    <definedName name="O2_net_gen" localSheetId="4">'Mass Transfer'!$D$92</definedName>
    <definedName name="O2_removal_ratio" localSheetId="4">'Mass Transfer'!$D$55</definedName>
    <definedName name="O2_strip_pulse" localSheetId="5">Dosing!$D$17</definedName>
    <definedName name="od_ok" localSheetId="4">'Mass Transfer'!$D$72</definedName>
    <definedName name="opt_binding" localSheetId="4">'Mass Transfer'!$D$71</definedName>
    <definedName name="P_atm" localSheetId="3">Biology!$D$12</definedName>
    <definedName name="P_atm" localSheetId="5">Dosing!$D$24</definedName>
    <definedName name="P_atm" localSheetId="2">Electrochemistry!$D$26</definedName>
    <definedName name="P_atm" localSheetId="4">'Mass Transfer'!$D$81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por_grade" localSheetId="4">'Mass Transfer'!$D$99</definedName>
    <definedName name="por_grade" localSheetId="0">Summary!$D$5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5">Dosing!$D$6</definedName>
    <definedName name="pulse_floor" localSheetId="4">'Mass Transfer'!$D$85</definedName>
    <definedName name="pulses_d" localSheetId="5">Dosing!$D$12</definedName>
    <definedName name="pulses_h" localSheetId="5">Dosing!$D$11</definedName>
    <definedName name="Q_CO2" localSheetId="5">Dosing!$D$3</definedName>
    <definedName name="Q_CO2" localSheetId="4">'Mass Transfer'!$D$88</definedName>
    <definedName name="R_gas" localSheetId="5">Dosing!$D$7</definedName>
    <definedName name="R_gas" localSheetId="2">Electrochemistry!$D$27</definedName>
    <definedName name="R_gas" localSheetId="4">'Mass Transfer'!$D$87</definedName>
    <definedName name="rH2_gen" localSheetId="3">Biology!$D$40</definedName>
    <definedName name="rH2_gen" localSheetId="2">Electrochemistry!$D$14</definedName>
    <definedName name="rho_CO2" localSheetId="4">'Mass Transfer'!$D$36</definedName>
    <definedName name="rho_L" localSheetId="4">'Mass Transfer'!$D$6</definedName>
    <definedName name="rO2_gen" localSheetId="2">Electrochemistry!$D$15</definedName>
    <definedName name="rod_d" localSheetId="1">Geometry!$D$21</definedName>
    <definedName name="rod_n" localSheetId="1">Geometry!$D$22</definedName>
    <definedName name="rx_ver" localSheetId="1">Geometry!$D$48</definedName>
    <definedName name="rx_ver" localSheetId="0">Summary!$D$3</definedName>
    <definedName name="s_renew" localSheetId="4">'Mass Transfer'!$D$46</definedName>
    <definedName name="sched_bal" localSheetId="5">Dosing!$D$18</definedName>
    <definedName name="sched_mode" localSheetId="5">Dosing!$D$27</definedName>
    <definedName name="sched_mode" localSheetId="4">'Mass Transfer'!$D$58</definedName>
    <definedName name="sigma" localSheetId="4">'Mass Transfer'!$D$5</definedName>
    <definedName name="sparge_depth" localSheetId="1">Geometry!$D$38</definedName>
    <definedName name="sparger" localSheetId="4">'Mass Transfer'!$D$100</definedName>
    <definedName name="sparger" localSheetId="0">Summary!$D$4</definedName>
    <definedName name="spg_disp" localSheetId="1">Geometry!$D$32</definedName>
    <definedName name="spg_dur" localSheetId="5">Dosing!$D$4</definedName>
    <definedName name="spg_dur_man" localSheetId="5">Dosing!$D$30</definedName>
    <definedName name="spg_dur_man" localSheetId="4">'Mass Transfer'!$D$59</definedName>
    <definedName name="spg_dur_opt" localSheetId="5">Dosing!$D$28</definedName>
    <definedName name="spg_dur_opt" localSheetId="4">'Mass Transfer'!$D$67</definedName>
    <definedName name="spg_ID" localSheetId="1">Geometry!$D$26</definedName>
    <definedName name="spg_ID" localSheetId="4">'Mass Transfer'!$D$97</definedName>
    <definedName name="spg_int" localSheetId="5">Dosing!$D$5</definedName>
    <definedName name="spg_int_man" localSheetId="5">Dosing!$D$26</definedName>
    <definedName name="spg_int_man" localSheetId="4">'Mass Transfer'!$D$60</definedName>
    <definedName name="spg_int_max" localSheetId="4">'Mass Transfer'!$D$66</definedName>
    <definedName name="spg_int_opt" localSheetId="5">Dosing!$D$31</definedName>
    <definedName name="spg_int_opt" localSheetId="4">'Mass Transfer'!$D$68</definedName>
    <definedName name="spg_int_opt_s" localSheetId="4">'Mass Transfer'!$D$69</definedName>
    <definedName name="spg_len" localSheetId="1">Geometry!$D$45</definedName>
    <definedName name="spg_name_1" localSheetId="4">'Mass Transfer'!$D$3</definedName>
    <definedName name="spg_name_2" localSheetId="4">'Mass Transfer'!$D$4</definedName>
    <definedName name="spg_OD" localSheetId="1">Geometry!$D$25</definedName>
    <definedName name="spg_tip_h" localSheetId="1">Geometry!$D$27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5">Dosing!$D$29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" localSheetId="3">Biology!$D$10</definedName>
    <definedName name="t_contact" localSheetId="4">'Mass Transfer'!$D$26</definedName>
    <definedName name="t_H2_sat" localSheetId="3">Biology!$D$35</definedName>
    <definedName name="T_K" localSheetId="3">Biology!$D$11</definedName>
    <definedName name="T_K" localSheetId="5">Dosing!$D$23</definedName>
    <definedName name="T_K" localSheetId="2">Electrochemistry!$D$25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_ref" localSheetId="3">Biology!$D$16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3">Biology!$D$42</definedName>
    <definedName name="V_charge" localSheetId="1">Geometry!$D$36</definedName>
    <definedName name="V_charge" localSheetId="4">'Mass Transfer'!$D$95</definedName>
    <definedName name="V_gas_total" localSheetId="2">Electrochemistry!$D$18</definedName>
    <definedName name="V_H2_gen" localSheetId="2">Electrochemistry!$D$16</definedName>
    <definedName name="V_inserts" localSheetId="1">Geometry!$D$43</definedName>
    <definedName name="V_max" localSheetId="1">Geometry!$D$18</definedName>
    <definedName name="V_O2_gen" localSheetId="2">Electrochemistry!$D$17</definedName>
    <definedName name="v_orifice" localSheetId="4">'Mass Transfer'!$D$38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ID" localSheetId="4">'Mass Transfer'!$D$94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We_orifice" localSheetId="4">'Mass Transfer'!$D$39</definedName>
    <definedName name="xtube_n" localSheetId="1">Geometry!$D$41</definedName>
    <definedName name="xtube_OD" localSheetId="1">Geometry!$D$40</definedName>
    <definedName name="xtube_pro" localSheetId="1">Geometry!$D$42</definedName>
    <definedName name="y_O2_vent" localSheetId="4">'Mass Transfer'!$D$52</definedName>
    <definedName name="z_e_H2" localSheetId="2">Electrochemistry!$D$9</definedName>
    <definedName name="z_e_O2" localSheetId="2">Electrochemistry!$D$10</definedName>
    <definedName name="z_e_ORR" localSheetId="2">Electrochemistry!$D$20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" i="7" l="1"/>
  <c r="C44" i="7"/>
  <c r="C45" i="7"/>
  <c r="C46" i="7"/>
  <c r="C38" i="7"/>
  <c r="C39" i="7"/>
  <c r="C41" i="7"/>
  <c r="C42" i="7"/>
  <c r="C8" i="7"/>
  <c r="C9" i="7"/>
  <c r="C11" i="7"/>
  <c r="C12" i="7"/>
  <c r="C13" i="7"/>
  <c r="C14" i="7"/>
  <c r="C15" i="7"/>
  <c r="C16" i="7"/>
  <c r="C18" i="7"/>
  <c r="C19" i="7"/>
  <c r="C20" i="7"/>
  <c r="C21" i="7"/>
  <c r="C22" i="7"/>
  <c r="C23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7" i="7"/>
  <c r="C5" i="7"/>
  <c r="D30" i="6"/>
  <c r="D27" i="6"/>
  <c r="D26" i="6"/>
  <c r="D24" i="6"/>
  <c r="D100" i="5"/>
  <c r="D17" i="5" s="1"/>
  <c r="D99" i="5"/>
  <c r="D97" i="5"/>
  <c r="D89" i="5"/>
  <c r="D88" i="5"/>
  <c r="D87" i="5"/>
  <c r="D85" i="5"/>
  <c r="D67" i="5" s="1"/>
  <c r="D81" i="5"/>
  <c r="D80" i="5"/>
  <c r="D73" i="5"/>
  <c r="D45" i="5"/>
  <c r="D36" i="5"/>
  <c r="D16" i="5"/>
  <c r="D15" i="5"/>
  <c r="D33" i="4"/>
  <c r="D34" i="4" s="1"/>
  <c r="D25" i="4"/>
  <c r="D24" i="4"/>
  <c r="D26" i="4" s="1"/>
  <c r="D19" i="4"/>
  <c r="D79" i="5" s="1"/>
  <c r="D17" i="4"/>
  <c r="D20" i="4" s="1"/>
  <c r="D11" i="4"/>
  <c r="D23" i="6" s="1"/>
  <c r="D27" i="3"/>
  <c r="D26" i="3"/>
  <c r="D25" i="3"/>
  <c r="D15" i="3"/>
  <c r="D14" i="3"/>
  <c r="D40" i="4" s="1"/>
  <c r="D13" i="3"/>
  <c r="D14" i="1" s="1"/>
  <c r="D12" i="3"/>
  <c r="D21" i="3" s="1"/>
  <c r="D48" i="2"/>
  <c r="D40" i="2"/>
  <c r="D33" i="2"/>
  <c r="D34" i="2" s="1"/>
  <c r="D27" i="2"/>
  <c r="D19" i="2"/>
  <c r="D18" i="2"/>
  <c r="D17" i="2"/>
  <c r="D24" i="2" s="1"/>
  <c r="D15" i="2"/>
  <c r="D94" i="5" s="1"/>
  <c r="D13" i="2"/>
  <c r="D6" i="4" l="1"/>
  <c r="D28" i="4"/>
  <c r="D12" i="1" s="1"/>
  <c r="D30" i="4"/>
  <c r="D22" i="3"/>
  <c r="D78" i="5"/>
  <c r="D21" i="4"/>
  <c r="D46" i="5"/>
  <c r="D47" i="5" s="1"/>
  <c r="D38" i="5"/>
  <c r="D39" i="5" s="1"/>
  <c r="D18" i="5"/>
  <c r="D9" i="6"/>
  <c r="D28" i="6"/>
  <c r="D4" i="6" s="1"/>
  <c r="D8" i="1"/>
  <c r="D16" i="3"/>
  <c r="D17" i="3"/>
  <c r="D20" i="2"/>
  <c r="D45" i="2"/>
  <c r="D84" i="5"/>
  <c r="D16" i="2"/>
  <c r="D32" i="2" l="1"/>
  <c r="D30" i="2"/>
  <c r="D31" i="2" s="1"/>
  <c r="D19" i="5"/>
  <c r="D40" i="5"/>
  <c r="D16" i="1" s="1"/>
  <c r="D22" i="5"/>
  <c r="D26" i="5" s="1"/>
  <c r="D27" i="5" s="1"/>
  <c r="D96" i="5"/>
  <c r="D23" i="5" s="1"/>
  <c r="D39" i="2"/>
  <c r="D93" i="5" s="1"/>
  <c r="D10" i="6"/>
  <c r="D90" i="5"/>
  <c r="D18" i="3"/>
  <c r="D8" i="4"/>
  <c r="D7" i="4"/>
  <c r="D19" i="6"/>
  <c r="D17" i="1" s="1"/>
  <c r="D41" i="4"/>
  <c r="D92" i="5"/>
  <c r="D82" i="5" l="1"/>
  <c r="D63" i="5" s="1"/>
  <c r="D25" i="6"/>
  <c r="D64" i="5"/>
  <c r="D35" i="2"/>
  <c r="D36" i="2" s="1"/>
  <c r="D35" i="5"/>
  <c r="D15" i="1" s="1"/>
  <c r="D24" i="5"/>
  <c r="D25" i="5" s="1"/>
  <c r="D28" i="5" s="1"/>
  <c r="D9" i="4"/>
  <c r="D37" i="2" l="1"/>
  <c r="D42" i="4"/>
  <c r="D95" i="5"/>
  <c r="D65" i="5"/>
  <c r="D83" i="5"/>
  <c r="D22" i="6"/>
  <c r="D38" i="2" l="1"/>
  <c r="D43" i="2"/>
  <c r="D44" i="2" s="1"/>
  <c r="D98" i="5" s="1"/>
  <c r="D41" i="5"/>
  <c r="D56" i="5"/>
  <c r="D48" i="5"/>
  <c r="D49" i="5" s="1"/>
  <c r="D75" i="5" s="1"/>
  <c r="D50" i="5" s="1"/>
  <c r="D51" i="5" s="1"/>
  <c r="D36" i="4"/>
  <c r="D37" i="4" s="1"/>
  <c r="D19" i="1" s="1"/>
  <c r="D35" i="4"/>
  <c r="D30" i="5"/>
  <c r="D33" i="5"/>
  <c r="D11" i="1" l="1"/>
  <c r="D66" i="5"/>
  <c r="D68" i="5" s="1"/>
  <c r="D29" i="6"/>
  <c r="D17" i="6" s="1"/>
  <c r="D31" i="6" l="1"/>
  <c r="D5" i="6" s="1"/>
  <c r="D72" i="5"/>
  <c r="D18" i="1" s="1"/>
  <c r="D71" i="5"/>
  <c r="D69" i="5"/>
  <c r="D9" i="1"/>
  <c r="D70" i="5"/>
  <c r="D11" i="6" l="1"/>
  <c r="D15" i="6"/>
  <c r="D91" i="5" s="1"/>
  <c r="D16" i="6"/>
  <c r="D18" i="6" s="1"/>
  <c r="D29" i="5" l="1"/>
  <c r="D31" i="5"/>
  <c r="D54" i="5"/>
  <c r="D12" i="6"/>
  <c r="D13" i="6"/>
  <c r="D86" i="5" l="1"/>
  <c r="D52" i="5" s="1"/>
  <c r="D53" i="5" s="1"/>
  <c r="D14" i="6"/>
  <c r="D13" i="1" s="1"/>
  <c r="D57" i="5"/>
  <c r="D42" i="5"/>
  <c r="D32" i="5"/>
  <c r="D55" i="5"/>
  <c r="D10" i="1" s="1"/>
</calcChain>
</file>

<file path=xl/sharedStrings.xml><?xml version="1.0" encoding="utf-8"?>
<sst xmlns="http://schemas.openxmlformats.org/spreadsheetml/2006/main" count="1010" uniqueCount="684">
  <si>
    <t>SUMMARY / CONTROL</t>
  </si>
  <si>
    <t>Parameter</t>
  </si>
  <si>
    <t>Name</t>
  </si>
  <si>
    <t>Unit</t>
  </si>
  <si>
    <t>Value</t>
  </si>
  <si>
    <t>Source / assumption</t>
  </si>
  <si>
    <t>Reactor version</t>
  </si>
  <si>
    <t>rx_ver</t>
  </si>
  <si>
    <t>-</t>
  </si>
  <si>
    <t>AEP0.1.1</t>
  </si>
  <si>
    <t>Active build. Choose from the values below. Dropdown.</t>
  </si>
  <si>
    <t>Sparger type</t>
  </si>
  <si>
    <t>sparger</t>
  </si>
  <si>
    <t>Tube</t>
  </si>
  <si>
    <t>CO₂ delivery route. Choose from the values below. Dropdown.</t>
  </si>
  <si>
    <t>Sinter porosity grade (if Sintered)</t>
  </si>
  <si>
    <t>por_grade</t>
  </si>
  <si>
    <t>0-5</t>
  </si>
  <si>
    <t>ISO 4793 / DURAN class; 0 = coarsest. Dropdown.</t>
  </si>
  <si>
    <t>RESULTS (imported — border = source tab)</t>
  </si>
  <si>
    <t>► Optimal pulse (s)</t>
  </si>
  <si>
    <t>From Mass Transfer.</t>
  </si>
  <si>
    <t>► Optimal interval (min)</t>
  </si>
  <si>
    <t>O₂ removal : surplus</t>
  </si>
  <si>
    <t>O₂ time-to-ceiling lag (min)</t>
  </si>
  <si>
    <t>Carbon margin</t>
  </si>
  <si>
    <t>From Biology.</t>
  </si>
  <si>
    <t>CO₂ supply:demand</t>
  </si>
  <si>
    <t>From Dosing.</t>
  </si>
  <si>
    <t>Current-law</t>
  </si>
  <si>
    <t>From Electrochemistry.</t>
  </si>
  <si>
    <t>Carryover</t>
  </si>
  <si>
    <t>Bubble regime</t>
  </si>
  <si>
    <t>Pulse≥floor</t>
  </si>
  <si>
    <t>OD window</t>
  </si>
  <si>
    <t>H₂ headspace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</si>
  <si>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</si>
  <si>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</si>
  <si>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</si>
  <si>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</si>
  <si>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</si>
  <si>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</si>
  <si>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need to measure</t>
  </si>
  <si>
    <t>variable (set/measure)</t>
  </si>
  <si>
    <t>fixed data / constant</t>
  </si>
  <si>
    <t>formula</t>
  </si>
  <si>
    <t>GEOMETRY</t>
  </si>
  <si>
    <t xml:space="preserve">  valid version 1</t>
  </si>
  <si>
    <t>ver_name_1</t>
  </si>
  <si>
    <t>Current build (20 mL Pioreactor vial, assumed).</t>
  </si>
  <si>
    <t xml:space="preserve">  valid version 2</t>
  </si>
  <si>
    <t>ver_name_2</t>
  </si>
  <si>
    <t>AEP0.2</t>
  </si>
  <si>
    <t>Planned build (40 mL Pioreactor vial).</t>
  </si>
  <si>
    <t>Vial outer diameter - AEP0.1.1</t>
  </si>
  <si>
    <t>vial_OD_1</t>
  </si>
  <si>
    <t>mm</t>
  </si>
  <si>
    <t>Pioreactor 20 mL vial, measured OD.</t>
  </si>
  <si>
    <t>Vial outer diameter - AEP0.2</t>
  </si>
  <si>
    <t>vial_OD_2</t>
  </si>
  <si>
    <t>40 mL vial — same diameter as 20 mL (Pioreactor source). Using 27.48 mm until measured.</t>
  </si>
  <si>
    <t>Internal usable depth - AEP0.1.1</t>
  </si>
  <si>
    <t>D_int_1</t>
  </si>
  <si>
    <t>20 mL vial total height 57.4 mm; usable depth est. Measure.</t>
  </si>
  <si>
    <t>Internal usable depth - AEP0.2</t>
  </si>
  <si>
    <t>D_int_2</t>
  </si>
  <si>
    <t>40 mL internal depth — measure. ~double the 20 mL (same diameter, double volume).</t>
  </si>
  <si>
    <t>Recommended max working volume - AEP0.1.1</t>
  </si>
  <si>
    <t>Vmax_1</t>
  </si>
  <si>
    <t>mL</t>
  </si>
  <si>
    <t>Pioreactor docs: 8-16 mL for 20 mL vial; using max as level datum.</t>
  </si>
  <si>
    <t>Recommended max working volume - AEP0.2</t>
  </si>
  <si>
    <t>Vmax_2</t>
  </si>
  <si>
    <t>Pioreactor docs recommend 10–30 mL working volume for the 40 mL vial; using the top of that range as level datum.</t>
  </si>
  <si>
    <t>Total internal vial volume - AEP0.1.1</t>
  </si>
  <si>
    <t>Vtot_1</t>
  </si>
  <si>
    <t>To cap underside (&gt; nominal). Placeholder - measure (water to fill).</t>
  </si>
  <si>
    <t>Total internal vial volume - AEP0.2</t>
  </si>
  <si>
    <t>Vtot_2</t>
  </si>
  <si>
    <t>Placeholder - measure.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</si>
  <si>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</si>
  <si>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</si>
  <si>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</si>
  <si>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</si>
  <si>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</si>
  <si>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</si>
  <si>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</si>
  <si>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</si>
  <si>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</si>
  <si>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</si>
  <si>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</si>
  <si>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</si>
  <si>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</si>
  <si>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</si>
  <si>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</si>
  <si>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</si>
  <si>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</si>
  <si>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</si>
  <si>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</si>
  <si>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</si>
  <si>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</si>
  <si>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</si>
  <si>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</si>
  <si>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</si>
  <si>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</si>
  <si>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</si>
  <si>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</si>
  <si>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</si>
  <si>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</si>
  <si>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</si>
  <si>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</si>
  <si>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</si>
  <si>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</si>
  <si>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</si>
  <si>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</si>
  <si>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</si>
  <si>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</si>
  <si>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</si>
  <si>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</si>
  <si>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</si>
  <si>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</si>
  <si>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</si>
  <si>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</si>
  <si>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</si>
  <si>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</si>
  <si>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</si>
  <si>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</si>
  <si>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</si>
  <si>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</si>
  <si>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</si>
  <si>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</si>
  <si>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</si>
  <si>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</si>
  <si>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</si>
  <si>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</si>
  <si>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</si>
  <si>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</si>
  <si>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</si>
  <si>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</si>
  <si>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</si>
  <si>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</si>
  <si>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</si>
  <si>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</si>
  <si>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</si>
  <si>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</si>
  <si>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</si>
  <si>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</si>
  <si>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</si>
  <si>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</si>
  <si>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</si>
  <si>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</si>
  <si>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</si>
  <si>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</si>
  <si>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</si>
  <si>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</si>
  <si>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</si>
  <si>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</si>
  <si>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</si>
  <si>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</si>
  <si>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</si>
  <si>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</si>
  <si>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</si>
  <si>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</si>
  <si>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</si>
  <si>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</si>
  <si>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</si>
  <si>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</si>
  <si>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</si>
  <si>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</si>
  <si>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</si>
  <si>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</si>
  <si>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</si>
  <si>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</si>
  <si>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</si>
  <si>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</si>
  <si>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</si>
  <si>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IMPORTS (from other tabs)</t>
  </si>
  <si>
    <t>(import) Reactor version</t>
  </si>
  <si>
    <t>From Summary.</t>
  </si>
  <si>
    <t>ELECTROCHEMISTRY</t>
  </si>
  <si>
    <t>LED intensity setpoint (Pioreactor LED_D)</t>
  </si>
  <si>
    <t>intensity</t>
  </si>
  <si>
    <t>%</t>
  </si>
  <si>
    <t>Electrode drive via LED_D channel. Input.</t>
  </si>
  <si>
    <t>Gerrit's Law - slope</t>
  </si>
  <si>
    <t>gerrit_slope</t>
  </si>
  <si>
    <t>mA/%</t>
  </si>
  <si>
    <t>Empirical current-vs-intensity fit (constant-current; electrolyte/volume-independent).</t>
  </si>
  <si>
    <t>Gerrit's Law - intercept</t>
  </si>
  <si>
    <t>gerrit_int</t>
  </si>
  <si>
    <t>mA</t>
  </si>
  <si>
    <t>Intercept of the same fit.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</si>
  <si>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</si>
  <si>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</si>
  <si>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</si>
  <si>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</si>
  <si>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</si>
  <si>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</si>
  <si>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</si>
  <si>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</si>
  <si>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</si>
  <si>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</si>
  <si>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</si>
  <si>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</si>
  <si>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</si>
  <si>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</si>
  <si>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</si>
  <si>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</si>
  <si>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</si>
  <si>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</si>
  <si>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</si>
  <si>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</si>
  <si>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</si>
  <si>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</si>
  <si>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</si>
  <si>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</si>
  <si>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</si>
  <si>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</si>
  <si>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</si>
  <si>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</si>
  <si>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</si>
  <si>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</si>
  <si>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</si>
  <si>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</si>
  <si>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</si>
  <si>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</si>
  <si>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</si>
  <si>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</si>
  <si>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</si>
  <si>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</si>
  <si>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</si>
  <si>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</si>
  <si>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</si>
  <si>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</si>
  <si>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</si>
  <si>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</si>
  <si>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</si>
  <si>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OER at the anode assumed ~100% faradaic; the cell's inefficiency is cathodic (O₂ reduction competing with H₂), not anodic. Design assumption.</t>
  </si>
  <si>
    <t>Electrons per O₂ reduced (cathode)</t>
  </si>
  <si>
    <t>z_e_ORR</t>
  </si>
  <si>
    <t>Electrons per cathodic O₂. 4 = to water; 2 = peroxide (favoured on non-Pt, neutral pH) — consumes 2× the O₂/amp, and H₂O₂ is biocidal. Inert while etaF=1.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</si>
  <si>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</si>
  <si>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</si>
  <si>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</si>
  <si>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</si>
  <si>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</si>
  <si>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</si>
  <si>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(import) Temperature (absolute)</t>
  </si>
  <si>
    <t>T_K</t>
  </si>
  <si>
    <t>K</t>
  </si>
  <si>
    <t>(import) Surface pressure</t>
  </si>
  <si>
    <t>P_atm</t>
  </si>
  <si>
    <t>Pa</t>
  </si>
  <si>
    <t>(import) Ideal gas constant</t>
  </si>
  <si>
    <t>R_gas</t>
  </si>
  <si>
    <t>J/mol/K</t>
  </si>
  <si>
    <t>BIOLOGY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</si>
  <si>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</si>
  <si>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</si>
  <si>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</si>
  <si>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</si>
  <si>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</si>
  <si>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</si>
  <si>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</si>
  <si>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</si>
  <si>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</si>
  <si>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</si>
  <si>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</si>
  <si>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</si>
  <si>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</si>
  <si>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</si>
  <si>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H₂ consumed × O₂:H₂. Steady growth only; ~0 during lag.</t>
  </si>
  <si>
    <t>CO₂ consumed (carbon fixation)</t>
  </si>
  <si>
    <t>CO2_cons</t>
  </si>
  <si>
    <t>H₂ consumed x (CO₂/H₂ ratio).</t>
  </si>
  <si>
    <t>EXCESS O₂ to remove</t>
  </si>
  <si>
    <t>O2_excess</t>
  </si>
  <si>
    <t>Net O₂ (after cathode) minus biological uptake — the surplus to strip.</t>
  </si>
  <si>
    <t>Temperature</t>
  </si>
  <si>
    <t>T_C</t>
  </si>
  <si>
    <t>°C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</si>
  <si>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</si>
  <si>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</si>
  <si>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</si>
  <si>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</si>
  <si>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</si>
  <si>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</si>
  <si>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</si>
  <si>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</si>
  <si>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</si>
  <si>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</si>
  <si>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</si>
  <si>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</si>
  <si>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compilation (supersedes 2015), value from Burkholder et al. 2019.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</si>
  <si>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</si>
  <si>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</si>
  <si>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</si>
  <si>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</si>
  <si>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</si>
  <si>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</si>
  <si>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</si>
  <si>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</si>
  <si>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</si>
  <si>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</si>
  <si>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</si>
  <si>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</si>
  <si>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</si>
  <si>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</si>
  <si>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</si>
  <si>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</si>
  <si>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</si>
  <si>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</si>
  <si>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</si>
  <si>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</si>
  <si>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</si>
  <si>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</si>
  <si>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</si>
  <si>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</si>
  <si>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</si>
  <si>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</si>
  <si>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</si>
  <si>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</si>
  <si>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</si>
  <si>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</si>
  <si>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</si>
  <si>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</si>
  <si>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</si>
  <si>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</si>
  <si>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</si>
  <si>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</si>
  <si>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</si>
  <si>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</si>
  <si>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</si>
  <si>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</si>
  <si>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</si>
  <si>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</si>
  <si>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</si>
  <si>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×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</si>
  <si>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</si>
  <si>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</si>
  <si>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</si>
  <si>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</si>
  <si>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</si>
  <si>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</si>
  <si>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</si>
  <si>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</si>
  <si>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</si>
  <si>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</si>
  <si>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</si>
  <si>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</si>
  <si>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</si>
  <si>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</si>
  <si>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</si>
  <si>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</si>
  <si>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</si>
  <si>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</si>
  <si>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</si>
  <si>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</si>
  <si>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</si>
  <si>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min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</si>
  <si>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</si>
  <si>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</si>
  <si>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</si>
  <si>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</si>
  <si>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</si>
  <si>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</si>
  <si>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</si>
  <si>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</si>
  <si>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(import) H₂ generation rate</t>
  </si>
  <si>
    <t>(import) Net O₂ to dissolved pool</t>
  </si>
  <si>
    <t>(import) LIQUID VOLUME TO CHARGE</t>
  </si>
  <si>
    <t>From Geometry.</t>
  </si>
  <si>
    <t>MASS TRANSFER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</si>
  <si>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</si>
  <si>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</si>
  <si>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</si>
  <si>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</si>
  <si>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</si>
  <si>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Sintered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</si>
  <si>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</si>
  <si>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</si>
  <si>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</si>
  <si>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</si>
  <si>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</si>
  <si>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</si>
  <si>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</si>
  <si>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</si>
  <si>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</si>
  <si>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</si>
  <si>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</si>
  <si>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</si>
  <si>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</si>
  <si>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</si>
  <si>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</si>
  <si>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</si>
  <si>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</si>
  <si>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</si>
  <si>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</si>
  <si>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</si>
  <si>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</si>
  <si>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</si>
  <si>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</si>
  <si>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</si>
  <si>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</si>
  <si>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</si>
  <si>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</si>
  <si>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</si>
  <si>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</si>
  <si>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</si>
  <si>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</si>
  <si>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</si>
  <si>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</si>
  <si>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</si>
  <si>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</si>
  <si>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</si>
  <si>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</si>
  <si>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</si>
  <si>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</si>
  <si>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</si>
  <si>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</si>
  <si>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</si>
  <si>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</si>
  <si>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</si>
  <si>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</si>
  <si>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</si>
  <si>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</si>
  <si>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</si>
  <si>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</si>
  <si>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</si>
  <si>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</si>
  <si>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</si>
  <si>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</si>
  <si>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</si>
  <si>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</si>
  <si>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</si>
  <si>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</si>
  <si>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</si>
  <si>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</si>
  <si>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m/s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</si>
  <si>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</si>
  <si>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</si>
  <si>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</si>
  <si>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</si>
  <si>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</si>
  <si>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</si>
  <si>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</si>
  <si>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</si>
  <si>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</si>
  <si>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</si>
  <si>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</si>
  <si>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</si>
  <si>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</si>
  <si>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s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</si>
  <si>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</si>
  <si>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</si>
  <si>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</si>
  <si>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</si>
  <si>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</si>
  <si>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</si>
  <si>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</si>
  <si>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</si>
  <si>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</si>
  <si>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</si>
  <si>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x duty cycle.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</si>
  <si>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</si>
  <si>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</si>
  <si>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</si>
  <si>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</si>
  <si>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</si>
  <si>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</si>
  <si>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</si>
  <si>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</si>
  <si>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</si>
  <si>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</si>
  <si>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</si>
  <si>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</si>
  <si>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</si>
  <si>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</si>
  <si>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</si>
  <si>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</si>
  <si>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</si>
  <si>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</si>
  <si>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</si>
  <si>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</si>
  <si>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</si>
  <si>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</si>
  <si>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</si>
  <si>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</si>
  <si>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</si>
  <si>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Per-orifice superficial gas velocity during a sparge pulse.</t>
  </si>
  <si>
    <t>Orifice Weber number</t>
  </si>
  <si>
    <t>We_orifice</t>
  </si>
  <si>
    <t>Gas inertia vs surface tension at the orifice. Sets whether bubble detachment is quasi-static.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</si>
  <si>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</si>
  <si>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</si>
  <si>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</si>
  <si>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</si>
  <si>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</si>
  <si>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</si>
  <si>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</si>
  <si>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</si>
  <si>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</si>
  <si>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</si>
  <si>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</si>
  <si>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</si>
  <si>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</si>
  <si>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Stir-bar length</t>
  </si>
  <si>
    <t>stir_len</t>
  </si>
  <si>
    <t>Magnetic stir bar. Pioreactor max 20 mm; confirm the supplied bar's length. Input.</t>
  </si>
  <si>
    <t>Stir-bar tip speed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</si>
  <si>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</si>
  <si>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</si>
  <si>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</si>
  <si>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</si>
  <si>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</si>
  <si>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</si>
  <si>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</si>
  <si>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</si>
  <si>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</si>
  <si>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</si>
  <si>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</si>
  <si>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</si>
  <si>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</si>
  <si>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</si>
  <si>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</si>
  <si>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</si>
  <si>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</si>
  <si>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</si>
  <si>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</si>
  <si>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</si>
  <si>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</si>
  <si>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</si>
  <si>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</si>
  <si>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</si>
  <si>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</si>
  <si>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</si>
  <si>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</si>
  <si>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</si>
  <si>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</si>
  <si>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</si>
  <si>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</si>
  <si>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Gas removal (bubble + surface) vs the steady-growth surplus O2_excess (which already nets the cathodic sink and biological uptake). &gt;=1 = ceiling held at steady growth.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</si>
  <si>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</si>
  <si>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</si>
  <si>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</si>
  <si>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</si>
  <si>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</si>
  <si>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</si>
  <si>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</si>
  <si>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</si>
  <si>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</si>
  <si>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</si>
  <si>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</si>
  <si>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</si>
  <si>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</si>
  <si>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</si>
  <si>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</si>
  <si>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</si>
  <si>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dissolved-O₂ ceiling fraction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</si>
  <si>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</si>
  <si>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</si>
  <si>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</si>
  <si>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</si>
  <si>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</si>
  <si>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</si>
  <si>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</si>
  <si>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</si>
  <si>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</si>
  <si>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</si>
  <si>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Duty so the vented CO₂ throughput carries the worst-case (lag, no uptake) net O₂ out at ≤ target DO. Usually the binding floor.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</si>
  <si>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</si>
  <si>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</si>
  <si>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</si>
  <si>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</si>
  <si>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</si>
  <si>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Pulses must be frequent enough that DO doesn't spike past target between flushes (lag worst-case).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</si>
  <si>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</si>
  <si>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</si>
  <si>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</si>
  <si>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</si>
  <si>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</si>
  <si>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</si>
  <si>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</si>
  <si>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</si>
  <si>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</si>
  <si>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</si>
  <si>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</si>
  <si>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</si>
  <si>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</si>
  <si>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</si>
  <si>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</si>
  <si>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</si>
  <si>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</si>
  <si>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</si>
  <si>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</si>
  <si>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</si>
  <si>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</si>
  <si>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</si>
  <si>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</si>
  <si>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</si>
  <si>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</si>
  <si>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</si>
  <si>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</si>
  <si>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</si>
  <si>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</si>
  <si>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</si>
  <si>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</si>
  <si>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</si>
  <si>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Min reliable pulse (solenoid floor)</t>
  </si>
  <si>
    <t>pulse_floor</t>
  </si>
  <si>
    <t>(import) Average CO₂ supply rate</t>
  </si>
  <si>
    <t>CO2_supply</t>
  </si>
  <si>
    <t>(import) CO₂ volumetric flow rate</t>
  </si>
  <si>
    <t>Q_CO2</t>
  </si>
  <si>
    <t>(import) Molar mass CO₂</t>
  </si>
  <si>
    <t>M_CO2</t>
  </si>
  <si>
    <t>g/mol</t>
  </si>
  <si>
    <t>(import) CO₂ molar flow during sparge</t>
  </si>
  <si>
    <t>nCO2_rate</t>
  </si>
  <si>
    <t>mol/s</t>
  </si>
  <si>
    <t>(import) Sparge duty cycle</t>
  </si>
  <si>
    <t>duty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</si>
  <si>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</si>
  <si>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</si>
  <si>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</si>
  <si>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</si>
  <si>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</si>
  <si>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(if Sintered)</t>
  </si>
  <si>
    <t>(import) Sparger type</t>
  </si>
  <si>
    <t>CO₂ DOSING &amp; SCHEDULE</t>
  </si>
  <si>
    <t>CO₂ volumetric flow rate</t>
  </si>
  <si>
    <t>Needle-valve setting at ~atmospheric surface. Input.</t>
  </si>
  <si>
    <t>Sparge duration per pulse</t>
  </si>
  <si>
    <t>spg_dur</t>
  </si>
  <si>
    <t>Pulse duration ACTUALLY USED. Driven by §14: Manual→spg_dur_man, Optimal→computed optimum.</t>
  </si>
  <si>
    <t>Sparge interval</t>
  </si>
  <si>
    <t>spg_int</t>
  </si>
  <si>
    <t>Sparge interval ACTUALLY USED. Driven by §14: Manual→spg_int_man, Optimal→computed optimum.</t>
  </si>
  <si>
    <t>Min reliable pulse (solenoid floor)</t>
  </si>
  <si>
    <t>Smallest dependable actuation. Provisional - characterise.</t>
  </si>
  <si>
    <t>Ideal gas constant</t>
  </si>
  <si>
    <t>Molar mass CO₂</t>
  </si>
  <si>
    <t>NIST WebBook.</t>
  </si>
  <si>
    <t>CO₂ molar flow during sparge</t>
  </si>
  <si>
    <t>Ideal gas n=PV/RT at surface conditions.</t>
  </si>
  <si>
    <t>CO₂ per pulse</t>
  </si>
  <si>
    <t>CO2_pulse</t>
  </si>
  <si>
    <t>mol</t>
  </si>
  <si>
    <t>Molar flow x duration.</t>
  </si>
  <si>
    <t>Pulses per hour</t>
  </si>
  <si>
    <t>pulses_h</t>
  </si>
  <si>
    <t>60 / interval(min).</t>
  </si>
  <si>
    <t>Pulses per day</t>
  </si>
  <si>
    <t>pulses_d</t>
  </si>
  <si>
    <t>1/d</t>
  </si>
  <si>
    <t>Average CO₂ supply rate</t>
  </si>
  <si>
    <t>Time-averaged.</t>
  </si>
  <si>
    <t>CO₂ supply : carbon demand</t>
  </si>
  <si>
    <t>CO2_sd_ratio</t>
  </si>
  <si>
    <t>Carbon supply : demand (~20× = over-dosed, non-limiting). CO₂ mostly bursts at the surface → §11 headspace sweep active from pulse 1. High pCO₂ extends lag (Amer &amp; Kim 2023).</t>
  </si>
  <si>
    <t>Sparge duty cycle</t>
  </si>
  <si>
    <t>Fraction of time sparging.</t>
  </si>
  <si>
    <t>O₂ accumulated per interval</t>
  </si>
  <si>
    <t>O2_accum</t>
  </si>
  <si>
    <t>Excess O₂ generated between pulses.</t>
  </si>
  <si>
    <t>O₂ removable per pulse</t>
  </si>
  <si>
    <t>O2_strip_pulse</t>
  </si>
  <si>
    <t>O₂ a pulse strips (at ceiling).</t>
  </si>
  <si>
    <t>Per-pulse balance</t>
  </si>
  <si>
    <t>sched_bal</t>
  </si>
  <si>
    <t>&gt;=1 = each pulse clears the interval's O₂ by stripping alone. Bubble path only — the dominant O₂ route is the §11 surface/headspace path; see §14 optimiser.</t>
  </si>
  <si>
    <t>Duration floor check</t>
  </si>
  <si>
    <t>dur_ok</t>
  </si>
  <si>
    <t>Pulse must exceed reliable actuation time.</t>
  </si>
  <si>
    <t>(import) Manual sparge interval</t>
  </si>
  <si>
    <t>(import) Schedule mode</t>
  </si>
  <si>
    <t>(import) ► OPTIMAL pulse duration</t>
  </si>
  <si>
    <t>(import) O₂ strip rate at ceiling (sparge on)</t>
  </si>
  <si>
    <t>(import) Manual pulse duration</t>
  </si>
  <si>
    <t>(import) ► OPTIMAL sparge interval</t>
  </si>
  <si>
    <t>Angella's CO2 sparge calibrations</t>
  </si>
  <si>
    <t>Flow rate</t>
  </si>
  <si>
    <t>ml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</si>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</sst>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1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sz val="10"/>
      <color rgb="FF7030A0"/>
      <name val="Arial"/>
      <family val="2"/>
    </font>
    <font>
      <b/>
      <sz val="11"/>
      <color rgb="FF0000FF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4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6" fillId="0" borderId="0" xfId="0" applyFont="1"/>
    <xf numFmtId="0" fontId="5" fillId="2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5" fillId="8" borderId="0" xfId="0" applyFont="1" applyFill="1" applyAlignment="1">
      <alignment vertical="top" wrapText="1"/>
    </xf>
    <xf numFmtId="164" fontId="7" fillId="0" borderId="1" xfId="0" applyNumberFormat="1" applyFont="1" applyBorder="1"/>
    <xf numFmtId="0" fontId="4" fillId="9" borderId="0" xfId="0" applyFont="1" applyFill="1" applyAlignment="1">
      <alignment vertical="top" wrapText="1"/>
    </xf>
    <xf numFmtId="2" fontId="8" fillId="0" borderId="1" xfId="0" applyNumberFormat="1" applyFont="1" applyBorder="1"/>
    <xf numFmtId="0" fontId="4" fillId="10" borderId="0" xfId="0" applyFont="1" applyFill="1" applyAlignment="1">
      <alignment vertical="top" wrapText="1"/>
    </xf>
    <xf numFmtId="0" fontId="4" fillId="11" borderId="0" xfId="0" applyFont="1" applyFill="1" applyAlignment="1">
      <alignment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8" fillId="0" borderId="1" xfId="0" applyFont="1" applyBorder="1"/>
    <xf numFmtId="165" fontId="8" fillId="0" borderId="1" xfId="0" applyNumberFormat="1" applyFont="1" applyBorder="1"/>
    <xf numFmtId="2" fontId="7" fillId="0" borderId="1" xfId="0" applyNumberFormat="1" applyFont="1" applyBorder="1"/>
    <xf numFmtId="165" fontId="7" fillId="0" borderId="1" xfId="0" applyNumberFormat="1" applyFont="1" applyBorder="1"/>
    <xf numFmtId="166" fontId="8" fillId="0" borderId="1" xfId="0" applyNumberFormat="1" applyFont="1" applyBorder="1"/>
    <xf numFmtId="167" fontId="8" fillId="0" borderId="1" xfId="0" applyNumberFormat="1" applyFont="1" applyBorder="1"/>
    <xf numFmtId="166" fontId="7" fillId="0" borderId="1" xfId="0" applyNumberFormat="1" applyFont="1" applyBorder="1"/>
    <xf numFmtId="167" fontId="7" fillId="0" borderId="1" xfId="0" applyNumberFormat="1" applyFont="1" applyBorder="1"/>
    <xf numFmtId="1" fontId="7" fillId="0" borderId="1" xfId="0" applyNumberFormat="1" applyFont="1" applyBorder="1"/>
    <xf numFmtId="1" fontId="8" fillId="0" borderId="1" xfId="0" applyNumberFormat="1" applyFont="1" applyBorder="1"/>
    <xf numFmtId="2" fontId="9" fillId="0" borderId="1" xfId="0" applyNumberFormat="1" applyFont="1" applyBorder="1"/>
    <xf numFmtId="165" fontId="9" fillId="0" borderId="1" xfId="0" applyNumberFormat="1" applyFont="1" applyBorder="1"/>
    <xf numFmtId="1" fontId="9" fillId="0" borderId="1" xfId="0" applyNumberFormat="1" applyFont="1" applyBorder="1"/>
    <xf numFmtId="168" fontId="9" fillId="0" borderId="1" xfId="0" applyNumberFormat="1" applyFont="1" applyBorder="1"/>
    <xf numFmtId="0" fontId="9" fillId="0" borderId="1" xfId="0" applyFont="1" applyBorder="1"/>
    <xf numFmtId="0" fontId="7" fillId="0" borderId="1" xfId="0" applyFont="1" applyBorder="1"/>
    <xf numFmtId="169" fontId="7" fillId="0" borderId="1" xfId="0" applyNumberFormat="1" applyFont="1" applyBorder="1"/>
    <xf numFmtId="164" fontId="9" fillId="0" borderId="1" xfId="0" applyNumberFormat="1" applyFont="1" applyBorder="1"/>
    <xf numFmtId="167" fontId="9" fillId="0" borderId="1" xfId="0" applyNumberFormat="1" applyFont="1" applyBorder="1"/>
    <xf numFmtId="170" fontId="7" fillId="0" borderId="1" xfId="0" applyNumberFormat="1" applyFont="1" applyBorder="1"/>
    <xf numFmtId="171" fontId="7" fillId="0" borderId="1" xfId="0" applyNumberFormat="1" applyFont="1" applyBorder="1"/>
    <xf numFmtId="166" fontId="9" fillId="0" borderId="1" xfId="0" applyNumberFormat="1" applyFont="1" applyBorder="1"/>
    <xf numFmtId="164" fontId="8" fillId="0" borderId="1" xfId="0" applyNumberFormat="1" applyFont="1" applyBorder="1"/>
    <xf numFmtId="0" fontId="4" fillId="12" borderId="0" xfId="0" applyFont="1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164" fontId="13" fillId="0" borderId="1" xfId="0" applyNumberFormat="1" applyFont="1" applyBorder="1"/>
    <xf numFmtId="0" fontId="4" fillId="13" borderId="0" xfId="0" applyFont="1" applyFill="1" applyAlignment="1">
      <alignment vertical="top" wrapText="1"/>
    </xf>
    <xf numFmtId="0" fontId="14" fillId="0" borderId="0" xfId="0" applyFont="1"/>
    <xf numFmtId="0" fontId="15" fillId="14" borderId="0" xfId="0" applyFont="1" applyFill="1"/>
    <xf numFmtId="0" fontId="17" fillId="0" borderId="0" xfId="0" applyFont="1"/>
    <xf numFmtId="0" fontId="0" fillId="0" borderId="6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6" fillId="0" borderId="0" xfId="0" applyFont="1"/>
    <xf numFmtId="0" fontId="0" fillId="0" borderId="5" xfId="0" applyBorder="1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0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x14ac:dyDescent="0.2">
      <c r="A3" s="7" t="s">
        <v>6</v>
      </c>
      <c r="B3" s="8" t="s">
        <v>7</v>
      </c>
      <c r="C3" s="9" t="s">
        <v>8</v>
      </c>
      <c r="D3" s="30" t="s">
        <v>9</v>
      </c>
      <c r="E3" s="10" t="s">
        <v>10</v>
      </c>
    </row>
    <row r="4" spans="1:5" x14ac:dyDescent="0.2">
      <c r="A4" s="7" t="s">
        <v>11</v>
      </c>
      <c r="B4" s="8" t="s">
        <v>12</v>
      </c>
      <c r="C4" s="9" t="s">
        <v>8</v>
      </c>
      <c r="D4" s="30" t="s">
        <v>13</v>
      </c>
      <c r="E4" s="10" t="s">
        <v>14</v>
      </c>
    </row>
    <row r="5" spans="1:5" x14ac:dyDescent="0.2">
      <c r="A5" s="7" t="s">
        <v>15</v>
      </c>
      <c r="B5" s="8" t="s">
        <v>16</v>
      </c>
      <c r="C5" s="9" t="s">
        <v>17</v>
      </c>
      <c r="D5" s="30">
        <v>0</v>
      </c>
      <c r="E5" s="11" t="s">
        <v>18</v>
      </c>
    </row>
    <row r="7" spans="1:5" x14ac:dyDescent="0.2">
      <c r="A7" s="59" t="s">
        <v>19</v>
      </c>
    </row>
    <row r="8" spans="1:5" x14ac:dyDescent="0.2">
      <c r="A8" t="s">
        <v>20</v>
      </c>
      <c r="D8" s="60">
        <f>'Mass Transfer'!$D$67</f>
        <v>0.5</v>
      </c>
      <c r="E8" t="s">
        <v>21</v>
      </c>
    </row>
    <row r="9" spans="1:5" x14ac:dyDescent="0.2">
      <c r="A9" t="s">
        <v>22</v>
      </c>
      <c r="D9" s="60">
        <f>'Mass Transfer'!$D$68</f>
        <v>0.56805794510471297</v>
      </c>
      <c r="E9" t="s">
        <v>21</v>
      </c>
    </row>
    <row r="10" spans="1:5" x14ac:dyDescent="0.2">
      <c r="A10" t="s">
        <v>23</v>
      </c>
      <c r="D10" s="60">
        <f>'Mass Transfer'!$D$55</f>
        <v>6.0102779178217762</v>
      </c>
      <c r="E10" t="s">
        <v>21</v>
      </c>
    </row>
    <row r="11" spans="1:5" x14ac:dyDescent="0.2">
      <c r="A11" t="s">
        <v>24</v>
      </c>
      <c r="D11" s="60">
        <f>'Mass Transfer'!$D$56</f>
        <v>6.1672687054586337</v>
      </c>
      <c r="E11" t="s">
        <v>21</v>
      </c>
    </row>
    <row r="12" spans="1:5" x14ac:dyDescent="0.2">
      <c r="A12" t="s">
        <v>25</v>
      </c>
      <c r="D12" s="61">
        <f>Biology!$D$28</f>
        <v>585.59956132513264</v>
      </c>
      <c r="E12" t="s">
        <v>26</v>
      </c>
    </row>
    <row r="13" spans="1:5" x14ac:dyDescent="0.2">
      <c r="A13" t="s">
        <v>27</v>
      </c>
      <c r="D13" s="62">
        <f>Dosing!$D$14</f>
        <v>20.000000000000004</v>
      </c>
      <c r="E13" t="s">
        <v>28</v>
      </c>
    </row>
    <row r="14" spans="1:5" x14ac:dyDescent="0.2">
      <c r="A14" t="s">
        <v>29</v>
      </c>
      <c r="D14" s="63" t="str">
        <f>Electrochemistry!$D$13</f>
        <v>OK</v>
      </c>
      <c r="E14" t="s">
        <v>30</v>
      </c>
    </row>
    <row r="15" spans="1:5" x14ac:dyDescent="0.2">
      <c r="A15" t="s">
        <v>31</v>
      </c>
      <c r="D15" s="60" t="str">
        <f>'Mass Transfer'!$D$35</f>
        <v>OK</v>
      </c>
      <c r="E15" t="s">
        <v>21</v>
      </c>
    </row>
    <row r="16" spans="1:5" x14ac:dyDescent="0.2">
      <c r="A16" t="s">
        <v>32</v>
      </c>
      <c r="D16" s="60" t="str">
        <f>'Mass Transfer'!$D$40</f>
        <v>Static</v>
      </c>
      <c r="E16" t="s">
        <v>21</v>
      </c>
    </row>
    <row r="17" spans="1:5" x14ac:dyDescent="0.2">
      <c r="A17" t="s">
        <v>33</v>
      </c>
      <c r="D17" s="62" t="str">
        <f>Dosing!$D$19</f>
        <v>OK</v>
      </c>
      <c r="E17" t="s">
        <v>28</v>
      </c>
    </row>
    <row r="18" spans="1:5" x14ac:dyDescent="0.2">
      <c r="A18" t="s">
        <v>34</v>
      </c>
      <c r="D18" s="60" t="str">
        <f>'Mass Transfer'!$D$72</f>
        <v>OK</v>
      </c>
      <c r="E18" t="s">
        <v>21</v>
      </c>
    </row>
    <row r="19" spans="1:5" x14ac:dyDescent="0.2">
      <c r="A19" t="s">
        <v>35</v>
      </c>
      <c r="D19" s="61" t="str">
        <f>Biology!$D$37</f>
        <v>EXPLOSIVE</v>
      </c>
      <c r="E19" t="s">
        <v>26</v>
      </c>
    </row>
    <row r="21" spans="1:5" x14ac:dyDescent="0.2">
      <c r="A21" s="59" t="s">
        <v>36</v>
      </c>
    </row>
    <row r="22" spans="1:5" x14ac:dyDescent="0.2">
      <c r="A22" s="1" t="s">
        <v>37</v>
      </c>
    </row>
    <row r="23" spans="1:5" x14ac:dyDescent="0.2">
      <c r="A23" s="2" t="s">
        <v>38</v>
      </c>
    </row>
    <row r="24" spans="1:5" x14ac:dyDescent="0.2">
      <c r="A24" s="3" t="s">
        <v>39</v>
      </c>
    </row>
    <row r="25" spans="1:5" x14ac:dyDescent="0.2">
      <c r="A25" s="4" t="s">
        <v>40</v>
      </c>
    </row>
    <row r="26" spans="1:5" x14ac:dyDescent="0.2">
      <c r="A26" s="5" t="s">
        <v>41</v>
      </c>
    </row>
    <row r="27" spans="1:5" x14ac:dyDescent="0.2">
      <c r="A27" s="6" t="s">
        <v>42</v>
      </c>
    </row>
    <row r="28" spans="1:5" x14ac:dyDescent="0.2">
      <c r="A28" s="27" t="s">
        <v>43</v>
      </c>
    </row>
    <row r="29" spans="1:5" x14ac:dyDescent="0.2">
      <c r="A29" s="28" t="s">
        <v>44</v>
      </c>
      <c r="B29" s="27"/>
      <c r="C29" s="28"/>
      <c r="D29" s="29"/>
    </row>
    <row r="30" spans="1:5" x14ac:dyDescent="0.2">
      <c r="A30" s="29" t="s">
        <v>45</v>
      </c>
      <c r="B30" s="27"/>
      <c r="C30" s="28"/>
      <c r="D30" s="29"/>
    </row>
  </sheetData>
  <dataValidations count="3">
    <dataValidation type="list" showErrorMessage="1" sqref="D3" xr:uid="{00000000-0002-0000-0000-000000000000}">
      <formula1>"AEP0.1.1,AEP0.2"</formula1>
    </dataValidation>
    <dataValidation type="list" showErrorMessage="1" sqref="D4" xr:uid="{00000000-0002-0000-0000-000001000000}">
      <formula1>"Tube,Sintered"</formula1>
    </dataValidation>
    <dataValidation type="list" showErrorMessage="1" sqref="D5" xr:uid="{00000000-0002-0000-0000-000002000000}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E48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46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x14ac:dyDescent="0.2">
      <c r="A3" s="7" t="s">
        <v>47</v>
      </c>
      <c r="B3" s="8" t="s">
        <v>48</v>
      </c>
      <c r="C3" s="9" t="s">
        <v>8</v>
      </c>
      <c r="D3" s="30" t="s">
        <v>9</v>
      </c>
      <c r="E3" s="10" t="s">
        <v>49</v>
      </c>
    </row>
    <row r="4" spans="1:5" x14ac:dyDescent="0.2">
      <c r="A4" s="7" t="s">
        <v>50</v>
      </c>
      <c r="B4" s="8" t="s">
        <v>51</v>
      </c>
      <c r="C4" s="9" t="s">
        <v>8</v>
      </c>
      <c r="D4" s="30" t="s">
        <v>52</v>
      </c>
      <c r="E4" s="10" t="s">
        <v>53</v>
      </c>
    </row>
    <row r="5" spans="1:5" x14ac:dyDescent="0.2">
      <c r="A5" s="7" t="s">
        <v>54</v>
      </c>
      <c r="B5" s="8" t="s">
        <v>55</v>
      </c>
      <c r="C5" s="9" t="s">
        <v>56</v>
      </c>
      <c r="D5" s="24">
        <v>27.48</v>
      </c>
      <c r="E5" s="11" t="s">
        <v>57</v>
      </c>
    </row>
    <row r="6" spans="1:5" x14ac:dyDescent="0.2">
      <c r="A6" s="7" t="s">
        <v>58</v>
      </c>
      <c r="B6" s="8" t="s">
        <v>59</v>
      </c>
      <c r="C6" s="9" t="s">
        <v>56</v>
      </c>
      <c r="D6" s="24">
        <v>27.48</v>
      </c>
      <c r="E6" s="21" t="s">
        <v>60</v>
      </c>
    </row>
    <row r="7" spans="1:5" x14ac:dyDescent="0.2">
      <c r="A7" s="7" t="s">
        <v>61</v>
      </c>
      <c r="B7" s="8" t="s">
        <v>62</v>
      </c>
      <c r="C7" s="9" t="s">
        <v>56</v>
      </c>
      <c r="D7" s="31">
        <v>55</v>
      </c>
      <c r="E7" s="12" t="s">
        <v>63</v>
      </c>
    </row>
    <row r="8" spans="1:5" x14ac:dyDescent="0.2">
      <c r="A8" s="7" t="s">
        <v>64</v>
      </c>
      <c r="B8" s="8" t="s">
        <v>65</v>
      </c>
      <c r="C8" s="9" t="s">
        <v>56</v>
      </c>
      <c r="D8" s="31">
        <v>95</v>
      </c>
      <c r="E8" s="12" t="s">
        <v>66</v>
      </c>
    </row>
    <row r="9" spans="1:5" x14ac:dyDescent="0.2">
      <c r="A9" s="7" t="s">
        <v>67</v>
      </c>
      <c r="B9" s="8" t="s">
        <v>68</v>
      </c>
      <c r="C9" s="9" t="s">
        <v>69</v>
      </c>
      <c r="D9" s="31">
        <v>16</v>
      </c>
      <c r="E9" s="11" t="s">
        <v>70</v>
      </c>
    </row>
    <row r="10" spans="1:5" ht="24" x14ac:dyDescent="0.2">
      <c r="A10" s="7" t="s">
        <v>71</v>
      </c>
      <c r="B10" s="8" t="s">
        <v>72</v>
      </c>
      <c r="C10" s="9" t="s">
        <v>69</v>
      </c>
      <c r="D10" s="31">
        <v>30</v>
      </c>
      <c r="E10" s="11" t="s">
        <v>73</v>
      </c>
    </row>
    <row r="11" spans="1:5" x14ac:dyDescent="0.2">
      <c r="A11" s="7" t="s">
        <v>74</v>
      </c>
      <c r="B11" s="8" t="s">
        <v>75</v>
      </c>
      <c r="C11" s="9" t="s">
        <v>69</v>
      </c>
      <c r="D11" s="31">
        <v>20</v>
      </c>
      <c r="E11" s="13" t="s">
        <v>76</v>
      </c>
    </row>
    <row r="12" spans="1:5" x14ac:dyDescent="0.2">
      <c r="A12" s="7" t="s">
        <v>77</v>
      </c>
      <c r="B12" s="8" t="s">
        <v>78</v>
      </c>
      <c r="C12" s="9" t="s">
        <v>69</v>
      </c>
      <c r="D12" s="31">
        <v>40</v>
      </c>
      <c r="E12" s="13" t="s">
        <v>79</v>
      </c>
    </row>
    <row r="13" spans="1:5" x14ac:dyDescent="0.2">
      <c r="A13" s="7" t="s">
        <v>80</v>
      </c>
      <c r="B13" s="8" t="s">
        <v>81</v>
      </c>
      <c r="C13" s="9" t="s">
        <v>56</v>
      </c>
      <c r="D13" s="32">
        <f>IF(rx_ver=ver_name_1,vial_OD_1,IF(rx_ver=ver_name_2,vial_OD_2,NA()))</f>
        <v>27.48</v>
      </c>
      <c r="E13" s="14" t="s">
        <v>82</v>
      </c>
    </row>
    <row r="14" spans="1:5" ht="24" x14ac:dyDescent="0.2">
      <c r="A14" s="7" t="s">
        <v>83</v>
      </c>
      <c r="B14" s="8" t="s">
        <v>84</v>
      </c>
      <c r="C14" s="9" t="s">
        <v>56</v>
      </c>
      <c r="D14" s="24">
        <v>1.1000000000000001</v>
      </c>
      <c r="E14" s="15" t="s">
        <v>85</v>
      </c>
    </row>
    <row r="15" spans="1:5" x14ac:dyDescent="0.2">
      <c r="A15" s="7" t="s">
        <v>86</v>
      </c>
      <c r="B15" s="8" t="s">
        <v>87</v>
      </c>
      <c r="C15" s="9" t="s">
        <v>56</v>
      </c>
      <c r="D15" s="32">
        <f>vial_OD-2*vial_wall</f>
        <v>25.28</v>
      </c>
      <c r="E15" s="14" t="s">
        <v>88</v>
      </c>
    </row>
    <row r="16" spans="1:5" x14ac:dyDescent="0.2">
      <c r="A16" s="7" t="s">
        <v>89</v>
      </c>
      <c r="B16" s="8" t="s">
        <v>90</v>
      </c>
      <c r="C16" s="9" t="s">
        <v>91</v>
      </c>
      <c r="D16" s="33">
        <f>PI()/4*vial_ID^2</f>
        <v>501.93100162697988</v>
      </c>
      <c r="E16" s="14" t="s">
        <v>92</v>
      </c>
    </row>
    <row r="17" spans="1:5" x14ac:dyDescent="0.2">
      <c r="A17" s="7" t="s">
        <v>93</v>
      </c>
      <c r="B17" s="8" t="s">
        <v>94</v>
      </c>
      <c r="C17" s="9" t="s">
        <v>56</v>
      </c>
      <c r="D17" s="33">
        <f>IF(rx_ver=ver_name_1,D_int_1,IF(rx_ver=ver_name_2,D_int_2,NA()))</f>
        <v>55</v>
      </c>
      <c r="E17" s="14" t="s">
        <v>95</v>
      </c>
    </row>
    <row r="18" spans="1:5" x14ac:dyDescent="0.2">
      <c r="A18" s="7" t="s">
        <v>96</v>
      </c>
      <c r="B18" s="8" t="s">
        <v>97</v>
      </c>
      <c r="C18" s="9" t="s">
        <v>69</v>
      </c>
      <c r="D18" s="33">
        <f>IF(rx_ver=ver_name_1,Vmax_1,IF(rx_ver=ver_name_2,Vmax_2,NA()))</f>
        <v>16</v>
      </c>
      <c r="E18" s="14" t="s">
        <v>95</v>
      </c>
    </row>
    <row r="19" spans="1:5" x14ac:dyDescent="0.2">
      <c r="A19" s="7" t="s">
        <v>98</v>
      </c>
      <c r="B19" s="8" t="s">
        <v>99</v>
      </c>
      <c r="C19" s="9" t="s">
        <v>69</v>
      </c>
      <c r="D19" s="33">
        <f>IF(rx_ver=ver_name_1,Vtot_1,IF(rx_ver=ver_name_2,Vtot_2,NA()))</f>
        <v>20</v>
      </c>
      <c r="E19" s="14" t="s">
        <v>95</v>
      </c>
    </row>
    <row r="20" spans="1:5" x14ac:dyDescent="0.2">
      <c r="A20" s="7" t="s">
        <v>100</v>
      </c>
      <c r="B20" s="8" t="s">
        <v>101</v>
      </c>
      <c r="C20" s="9" t="s">
        <v>56</v>
      </c>
      <c r="D20" s="32">
        <f>V_max*1000/A_x</f>
        <v>31.876891341911417</v>
      </c>
      <c r="E20" s="14" t="s">
        <v>102</v>
      </c>
    </row>
    <row r="21" spans="1:5" x14ac:dyDescent="0.2">
      <c r="A21" s="7" t="s">
        <v>103</v>
      </c>
      <c r="B21" s="8" t="s">
        <v>104</v>
      </c>
      <c r="C21" s="9" t="s">
        <v>56</v>
      </c>
      <c r="D21" s="31">
        <v>6</v>
      </c>
      <c r="E21" s="10" t="s">
        <v>105</v>
      </c>
    </row>
    <row r="22" spans="1:5" x14ac:dyDescent="0.2">
      <c r="A22" s="7" t="s">
        <v>106</v>
      </c>
      <c r="B22" s="8" t="s">
        <v>107</v>
      </c>
      <c r="C22" s="9" t="s">
        <v>8</v>
      </c>
      <c r="D22" s="30">
        <v>2</v>
      </c>
      <c r="E22" s="14" t="s">
        <v>108</v>
      </c>
    </row>
    <row r="23" spans="1:5" x14ac:dyDescent="0.2">
      <c r="A23" s="7" t="s">
        <v>109</v>
      </c>
      <c r="B23" s="8" t="s">
        <v>110</v>
      </c>
      <c r="C23" s="9" t="s">
        <v>56</v>
      </c>
      <c r="D23" s="31">
        <v>22</v>
      </c>
      <c r="E23" s="10" t="s">
        <v>111</v>
      </c>
    </row>
    <row r="24" spans="1:5" x14ac:dyDescent="0.2">
      <c r="A24" s="16" t="s">
        <v>112</v>
      </c>
      <c r="B24" s="8" t="s">
        <v>113</v>
      </c>
      <c r="C24" s="9" t="s">
        <v>56</v>
      </c>
      <c r="D24" s="33">
        <f>D_int-elec_clear</f>
        <v>33</v>
      </c>
      <c r="E24" s="14" t="s">
        <v>114</v>
      </c>
    </row>
    <row r="25" spans="1:5" x14ac:dyDescent="0.2">
      <c r="A25" s="7" t="s">
        <v>115</v>
      </c>
      <c r="B25" s="8" t="s">
        <v>116</v>
      </c>
      <c r="C25" s="9" t="s">
        <v>56</v>
      </c>
      <c r="D25" s="34">
        <v>3.1749999999999998</v>
      </c>
      <c r="E25" s="14" t="s">
        <v>117</v>
      </c>
    </row>
    <row r="26" spans="1:5" x14ac:dyDescent="0.2">
      <c r="A26" s="7" t="s">
        <v>118</v>
      </c>
      <c r="B26" s="8" t="s">
        <v>119</v>
      </c>
      <c r="C26" s="9" t="s">
        <v>56</v>
      </c>
      <c r="D26" s="35">
        <v>1.5874999999999999</v>
      </c>
      <c r="E26" s="14" t="s">
        <v>120</v>
      </c>
    </row>
    <row r="27" spans="1:5" x14ac:dyDescent="0.2">
      <c r="A27" s="7" t="s">
        <v>121</v>
      </c>
      <c r="B27" s="8" t="s">
        <v>122</v>
      </c>
      <c r="C27" s="9" t="s">
        <v>56</v>
      </c>
      <c r="D27" s="33">
        <f>elec_clear</f>
        <v>22</v>
      </c>
      <c r="E27" s="10" t="s">
        <v>123</v>
      </c>
    </row>
    <row r="28" spans="1:5" x14ac:dyDescent="0.2">
      <c r="A28" s="7" t="s">
        <v>124</v>
      </c>
      <c r="B28" s="8" t="s">
        <v>125</v>
      </c>
      <c r="C28" s="9" t="s">
        <v>56</v>
      </c>
      <c r="D28" s="34">
        <v>3.1749999999999998</v>
      </c>
      <c r="E28" s="14" t="s">
        <v>117</v>
      </c>
    </row>
    <row r="29" spans="1:5" x14ac:dyDescent="0.2">
      <c r="A29" s="7" t="s">
        <v>126</v>
      </c>
      <c r="B29" s="8" t="s">
        <v>127</v>
      </c>
      <c r="C29" s="9" t="s">
        <v>56</v>
      </c>
      <c r="D29" s="35">
        <v>1.5874999999999999</v>
      </c>
      <c r="E29" s="14" t="s">
        <v>120</v>
      </c>
    </row>
    <row r="30" spans="1:5" x14ac:dyDescent="0.2">
      <c r="A30" s="7" t="s">
        <v>128</v>
      </c>
      <c r="B30" s="8" t="s">
        <v>129</v>
      </c>
      <c r="C30" s="9" t="s">
        <v>56</v>
      </c>
      <c r="D30" s="32">
        <f>MAX(0,h_datum-elec_clear)</f>
        <v>9.876891341911417</v>
      </c>
      <c r="E30" s="14" t="s">
        <v>130</v>
      </c>
    </row>
    <row r="31" spans="1:5" x14ac:dyDescent="0.2">
      <c r="A31" s="7" t="s">
        <v>131</v>
      </c>
      <c r="B31" s="8" t="s">
        <v>132</v>
      </c>
      <c r="C31" s="9" t="s">
        <v>69</v>
      </c>
      <c r="D31" s="36">
        <f>rod_n*(PI()/4*rod_d^2)*elec_sub_L/1000</f>
        <v>0.55852504704096373</v>
      </c>
      <c r="E31" s="14" t="s">
        <v>133</v>
      </c>
    </row>
    <row r="32" spans="1:5" x14ac:dyDescent="0.2">
      <c r="A32" s="7" t="s">
        <v>134</v>
      </c>
      <c r="B32" s="8" t="s">
        <v>135</v>
      </c>
      <c r="C32" s="9" t="s">
        <v>69</v>
      </c>
      <c r="D32" s="36">
        <f>(PI()/4*spg_OD^2)*MAX(0,h_datum-spg_tip_h)/1000</f>
        <v>7.8198354893434921E-2</v>
      </c>
      <c r="E32" s="14" t="s">
        <v>136</v>
      </c>
    </row>
    <row r="33" spans="1:5" x14ac:dyDescent="0.2">
      <c r="A33" s="7" t="s">
        <v>137</v>
      </c>
      <c r="B33" s="8" t="s">
        <v>138</v>
      </c>
      <c r="C33" s="9" t="s">
        <v>56</v>
      </c>
      <c r="D33" s="36">
        <f>(eff_OD+eff_ID)/2</f>
        <v>2.3812499999999996</v>
      </c>
      <c r="E33" s="10" t="s">
        <v>139</v>
      </c>
    </row>
    <row r="34" spans="1:5" x14ac:dyDescent="0.2">
      <c r="A34" s="7" t="s">
        <v>140</v>
      </c>
      <c r="B34" s="8" t="s">
        <v>141</v>
      </c>
      <c r="C34" s="9" t="s">
        <v>69</v>
      </c>
      <c r="D34" s="37">
        <f>(PI()/4*(eff_OD^2-eff_ID^2))*eff_sub_L/1000</f>
        <v>1.4139810757041989E-2</v>
      </c>
      <c r="E34" s="10" t="s">
        <v>142</v>
      </c>
    </row>
    <row r="35" spans="1:5" x14ac:dyDescent="0.2">
      <c r="A35" s="7" t="s">
        <v>143</v>
      </c>
      <c r="B35" s="8" t="s">
        <v>144</v>
      </c>
      <c r="C35" s="9" t="s">
        <v>69</v>
      </c>
      <c r="D35" s="36">
        <f>elec_disp+spg_disp+eff_disp</f>
        <v>0.65086321269144065</v>
      </c>
      <c r="E35" s="14" t="s">
        <v>145</v>
      </c>
    </row>
    <row r="36" spans="1:5" x14ac:dyDescent="0.2">
      <c r="A36" s="16" t="s">
        <v>146</v>
      </c>
      <c r="B36" s="8" t="s">
        <v>147</v>
      </c>
      <c r="C36" s="9" t="s">
        <v>69</v>
      </c>
      <c r="D36" s="38">
        <f>ROUND(V_max-disp_tot,0)</f>
        <v>15</v>
      </c>
      <c r="E36" s="14" t="s">
        <v>148</v>
      </c>
    </row>
    <row r="37" spans="1:5" x14ac:dyDescent="0.2">
      <c r="A37" s="16" t="s">
        <v>149</v>
      </c>
      <c r="B37" s="8" t="s">
        <v>150</v>
      </c>
      <c r="C37" s="9" t="s">
        <v>56</v>
      </c>
      <c r="D37" s="32">
        <f>(V_charge+disp_tot)*1000/A_x</f>
        <v>31.18130412738023</v>
      </c>
      <c r="E37" s="14" t="s">
        <v>151</v>
      </c>
    </row>
    <row r="38" spans="1:5" x14ac:dyDescent="0.2">
      <c r="A38" s="16" t="s">
        <v>152</v>
      </c>
      <c r="B38" s="8" t="s">
        <v>153</v>
      </c>
      <c r="C38" s="9" t="s">
        <v>56</v>
      </c>
      <c r="D38" s="32">
        <f>MAX(0,h_actual-spg_tip_h)</f>
        <v>9.1813041273802298</v>
      </c>
      <c r="E38" s="14" t="s">
        <v>154</v>
      </c>
    </row>
    <row r="39" spans="1:5" x14ac:dyDescent="0.2">
      <c r="A39" s="16" t="s">
        <v>155</v>
      </c>
      <c r="B39" s="8" t="s">
        <v>156</v>
      </c>
      <c r="C39" s="9" t="s">
        <v>91</v>
      </c>
      <c r="D39" s="33">
        <f>A_x-(rod_n*(PI()/4*rod_d^2)+(PI()/4*spg_OD^2)+(PI()/4*eff_OD^2))</f>
        <v>429.5477251405668</v>
      </c>
      <c r="E39" s="10" t="s">
        <v>157</v>
      </c>
    </row>
    <row r="40" spans="1:5" x14ac:dyDescent="0.2">
      <c r="A40" s="7" t="s">
        <v>158</v>
      </c>
      <c r="B40" s="8" t="s">
        <v>159</v>
      </c>
      <c r="C40" s="9" t="s">
        <v>56</v>
      </c>
      <c r="D40" s="36">
        <f>eff_OD</f>
        <v>3.1749999999999998</v>
      </c>
      <c r="E40" s="10" t="s">
        <v>160</v>
      </c>
    </row>
    <row r="41" spans="1:5" x14ac:dyDescent="0.2">
      <c r="A41" s="7" t="s">
        <v>161</v>
      </c>
      <c r="B41" s="8" t="s">
        <v>162</v>
      </c>
      <c r="C41" s="9" t="s">
        <v>8</v>
      </c>
      <c r="D41" s="30">
        <v>3</v>
      </c>
      <c r="E41" s="10" t="s">
        <v>163</v>
      </c>
    </row>
    <row r="42" spans="1:5" x14ac:dyDescent="0.2">
      <c r="A42" s="7" t="s">
        <v>164</v>
      </c>
      <c r="B42" s="8" t="s">
        <v>165</v>
      </c>
      <c r="C42" s="9" t="s">
        <v>56</v>
      </c>
      <c r="D42" s="31">
        <v>5</v>
      </c>
      <c r="E42" s="15" t="s">
        <v>166</v>
      </c>
    </row>
    <row r="43" spans="1:5" x14ac:dyDescent="0.2">
      <c r="A43" s="7" t="s">
        <v>167</v>
      </c>
      <c r="B43" s="8" t="s">
        <v>168</v>
      </c>
      <c r="C43" s="9" t="s">
        <v>69</v>
      </c>
      <c r="D43" s="36">
        <f>(rod_n*(PI()/4*rod_d^2)*elec_ins+(PI()/4*spg_OD^2)*spg_len+(PI()/4*(eff_OD^2-eff_ID^2))*(D_int-h_actual)+xtube_n*(PI()/4*xtube_OD^2)*xtube_pro)/1000</f>
        <v>2.3875715440828644</v>
      </c>
      <c r="E43" s="10" t="s">
        <v>169</v>
      </c>
    </row>
    <row r="44" spans="1:5" x14ac:dyDescent="0.2">
      <c r="A44" s="16" t="s">
        <v>170</v>
      </c>
      <c r="B44" s="8" t="s">
        <v>171</v>
      </c>
      <c r="C44" s="9" t="s">
        <v>69</v>
      </c>
      <c r="D44" s="32">
        <f>V_vial_total-V_charge-V_inserts</f>
        <v>2.6124284559171356</v>
      </c>
      <c r="E44" s="10" t="s">
        <v>172</v>
      </c>
    </row>
    <row r="45" spans="1:5" x14ac:dyDescent="0.2">
      <c r="A45" s="7" t="s">
        <v>173</v>
      </c>
      <c r="B45" s="8" t="s">
        <v>174</v>
      </c>
      <c r="C45" s="9" t="s">
        <v>56</v>
      </c>
      <c r="D45" s="22">
        <f>D_int-spg_tip_h</f>
        <v>33</v>
      </c>
      <c r="E45" s="23" t="s">
        <v>175</v>
      </c>
    </row>
    <row r="47" spans="1:5" x14ac:dyDescent="0.2">
      <c r="A47" s="64" t="s">
        <v>176</v>
      </c>
    </row>
    <row r="48" spans="1:5" x14ac:dyDescent="0.2">
      <c r="A48" t="s">
        <v>177</v>
      </c>
      <c r="B48" t="s">
        <v>7</v>
      </c>
      <c r="C48" t="s">
        <v>8</v>
      </c>
      <c r="D48" t="str">
        <f>Summary!$D$3</f>
        <v>AEP0.1.1</v>
      </c>
      <c r="E48" t="s">
        <v>178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E27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179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x14ac:dyDescent="0.2">
      <c r="A3" s="7" t="s">
        <v>180</v>
      </c>
      <c r="B3" s="8" t="s">
        <v>181</v>
      </c>
      <c r="C3" s="9" t="s">
        <v>182</v>
      </c>
      <c r="D3" s="39">
        <v>3</v>
      </c>
      <c r="E3" s="10" t="s">
        <v>183</v>
      </c>
    </row>
    <row r="4" spans="1:5" x14ac:dyDescent="0.2">
      <c r="A4" s="7" t="s">
        <v>184</v>
      </c>
      <c r="B4" s="8" t="s">
        <v>185</v>
      </c>
      <c r="C4" s="9" t="s">
        <v>186</v>
      </c>
      <c r="D4" s="40">
        <v>1.03</v>
      </c>
      <c r="E4" s="11" t="s">
        <v>187</v>
      </c>
    </row>
    <row r="5" spans="1:5" x14ac:dyDescent="0.2">
      <c r="A5" s="7" t="s">
        <v>188</v>
      </c>
      <c r="B5" s="8" t="s">
        <v>189</v>
      </c>
      <c r="C5" s="9" t="s">
        <v>190</v>
      </c>
      <c r="D5" s="41">
        <v>2.6</v>
      </c>
      <c r="E5" s="11" t="s">
        <v>191</v>
      </c>
    </row>
    <row r="6" spans="1:5" x14ac:dyDescent="0.2">
      <c r="A6" s="7" t="s">
        <v>192</v>
      </c>
      <c r="B6" s="8" t="s">
        <v>193</v>
      </c>
      <c r="C6" s="9" t="s">
        <v>182</v>
      </c>
      <c r="D6" s="42">
        <v>3</v>
      </c>
      <c r="E6" s="11" t="s">
        <v>194</v>
      </c>
    </row>
    <row r="7" spans="1:5" x14ac:dyDescent="0.2">
      <c r="A7" s="7" t="s">
        <v>195</v>
      </c>
      <c r="B7" s="8" t="s">
        <v>196</v>
      </c>
      <c r="C7" s="9" t="s">
        <v>182</v>
      </c>
      <c r="D7" s="42">
        <v>25</v>
      </c>
      <c r="E7" s="11" t="s">
        <v>197</v>
      </c>
    </row>
    <row r="8" spans="1:5" x14ac:dyDescent="0.2">
      <c r="A8" s="7" t="s">
        <v>198</v>
      </c>
      <c r="B8" s="8" t="s">
        <v>199</v>
      </c>
      <c r="C8" s="9" t="s">
        <v>200</v>
      </c>
      <c r="D8" s="43">
        <v>96485.332120000006</v>
      </c>
      <c r="E8" s="17" t="s">
        <v>201</v>
      </c>
    </row>
    <row r="9" spans="1:5" x14ac:dyDescent="0.2">
      <c r="A9" s="7" t="s">
        <v>202</v>
      </c>
      <c r="B9" s="8" t="s">
        <v>203</v>
      </c>
      <c r="C9" s="9" t="s">
        <v>8</v>
      </c>
      <c r="D9" s="44">
        <v>2</v>
      </c>
      <c r="E9" s="14" t="s">
        <v>204</v>
      </c>
    </row>
    <row r="10" spans="1:5" x14ac:dyDescent="0.2">
      <c r="A10" s="7" t="s">
        <v>205</v>
      </c>
      <c r="B10" s="8" t="s">
        <v>206</v>
      </c>
      <c r="C10" s="9" t="s">
        <v>8</v>
      </c>
      <c r="D10" s="44">
        <v>4</v>
      </c>
      <c r="E10" s="14" t="s">
        <v>207</v>
      </c>
    </row>
    <row r="11" spans="1:5" ht="36" x14ac:dyDescent="0.2">
      <c r="A11" s="7" t="s">
        <v>208</v>
      </c>
      <c r="B11" s="8" t="s">
        <v>209</v>
      </c>
      <c r="C11" s="9" t="s">
        <v>8</v>
      </c>
      <c r="D11" s="24">
        <v>1</v>
      </c>
      <c r="E11" s="13" t="s">
        <v>210</v>
      </c>
    </row>
    <row r="12" spans="1:5" x14ac:dyDescent="0.2">
      <c r="A12" s="7" t="s">
        <v>211</v>
      </c>
      <c r="B12" s="8" t="s">
        <v>212</v>
      </c>
      <c r="C12" s="9" t="s">
        <v>213</v>
      </c>
      <c r="D12" s="37">
        <f>(gerrit_slope*intensity+gerrit_int)/1000</f>
        <v>5.6899999999999997E-3</v>
      </c>
      <c r="E12" s="11" t="s">
        <v>214</v>
      </c>
    </row>
    <row r="13" spans="1:5" x14ac:dyDescent="0.2">
      <c r="A13" s="7" t="s">
        <v>215</v>
      </c>
      <c r="B13" s="8" t="s">
        <v>216</v>
      </c>
      <c r="C13" s="9" t="s">
        <v>8</v>
      </c>
      <c r="D13" s="45" t="str">
        <f>IF(AND(intensity&gt;=gerrit_min,intensity&lt;=gerrit_max),"OK","OUT")</f>
        <v>OK</v>
      </c>
      <c r="E13" s="11" t="s">
        <v>217</v>
      </c>
    </row>
    <row r="14" spans="1:5" x14ac:dyDescent="0.2">
      <c r="A14" s="7" t="s">
        <v>218</v>
      </c>
      <c r="B14" s="8" t="s">
        <v>219</v>
      </c>
      <c r="C14" s="9" t="s">
        <v>220</v>
      </c>
      <c r="D14" s="22">
        <f>I_app*etaF/(z_e_H2*F_const)*3600</f>
        <v>1.0615084982307878E-4</v>
      </c>
      <c r="E14" s="14" t="s">
        <v>221</v>
      </c>
    </row>
    <row r="15" spans="1:5" x14ac:dyDescent="0.2">
      <c r="A15" s="7" t="s">
        <v>222</v>
      </c>
      <c r="B15" s="8" t="s">
        <v>223</v>
      </c>
      <c r="C15" s="9" t="s">
        <v>220</v>
      </c>
      <c r="D15" s="22">
        <f>I_app*etaF_OER/(z_e_O2*F_const)*3600</f>
        <v>5.3075424911539388E-5</v>
      </c>
      <c r="E15" s="14" t="s">
        <v>224</v>
      </c>
    </row>
    <row r="16" spans="1:5" x14ac:dyDescent="0.2">
      <c r="A16" s="7" t="s">
        <v>225</v>
      </c>
      <c r="B16" s="8" t="s">
        <v>226</v>
      </c>
      <c r="C16" s="9" t="s">
        <v>227</v>
      </c>
      <c r="D16" s="22">
        <f>rH2_gen/60*R_gas*T_K/P_atm*1000000</f>
        <v>4.4009594822921834E-2</v>
      </c>
      <c r="E16" s="14" t="s">
        <v>228</v>
      </c>
    </row>
    <row r="17" spans="1:5" x14ac:dyDescent="0.2">
      <c r="A17" s="7" t="s">
        <v>229</v>
      </c>
      <c r="B17" s="8" t="s">
        <v>230</v>
      </c>
      <c r="C17" s="9" t="s">
        <v>227</v>
      </c>
      <c r="D17" s="22">
        <f>rO2_gen/60*R_gas*T_K/P_atm*1000000</f>
        <v>2.2004797411460917E-2</v>
      </c>
      <c r="E17" s="14" t="s">
        <v>231</v>
      </c>
    </row>
    <row r="18" spans="1:5" ht="24" x14ac:dyDescent="0.2">
      <c r="A18" s="7" t="s">
        <v>232</v>
      </c>
      <c r="B18" s="8" t="s">
        <v>233</v>
      </c>
      <c r="C18" s="9" t="s">
        <v>227</v>
      </c>
      <c r="D18" s="22">
        <f>V_H2_gen+V_O2_gen</f>
        <v>6.6014392234382754E-2</v>
      </c>
      <c r="E18" s="14" t="s">
        <v>234</v>
      </c>
    </row>
    <row r="19" spans="1:5" ht="24" x14ac:dyDescent="0.2">
      <c r="A19" s="7" t="s">
        <v>235</v>
      </c>
      <c r="B19" s="8" t="s">
        <v>236</v>
      </c>
      <c r="C19" s="9" t="s">
        <v>8</v>
      </c>
      <c r="D19" s="24">
        <v>1</v>
      </c>
      <c r="E19" s="25" t="s">
        <v>237</v>
      </c>
    </row>
    <row r="20" spans="1:5" ht="24" x14ac:dyDescent="0.2">
      <c r="A20" s="7" t="s">
        <v>238</v>
      </c>
      <c r="B20" s="8" t="s">
        <v>239</v>
      </c>
      <c r="C20" s="9" t="s">
        <v>8</v>
      </c>
      <c r="D20" s="24">
        <v>4</v>
      </c>
      <c r="E20" s="25" t="s">
        <v>240</v>
      </c>
    </row>
    <row r="21" spans="1:5" x14ac:dyDescent="0.2">
      <c r="A21" s="7" t="s">
        <v>241</v>
      </c>
      <c r="B21" s="8" t="s">
        <v>242</v>
      </c>
      <c r="C21" s="9" t="s">
        <v>220</v>
      </c>
      <c r="D21" s="22">
        <f>I_app*(1-etaF)/(z_e_ORR*F_const)*3600</f>
        <v>0</v>
      </c>
      <c r="E21" s="23" t="s">
        <v>243</v>
      </c>
    </row>
    <row r="22" spans="1:5" x14ac:dyDescent="0.2">
      <c r="A22" s="7" t="s">
        <v>244</v>
      </c>
      <c r="B22" s="8" t="s">
        <v>245</v>
      </c>
      <c r="C22" s="9" t="s">
        <v>220</v>
      </c>
      <c r="D22" s="22">
        <f>rO2_gen-O2_cathode_ORR</f>
        <v>5.3075424911539388E-5</v>
      </c>
      <c r="E22" s="23" t="s">
        <v>246</v>
      </c>
    </row>
    <row r="24" spans="1:5" x14ac:dyDescent="0.2">
      <c r="A24" s="64" t="s">
        <v>176</v>
      </c>
    </row>
    <row r="25" spans="1:5" x14ac:dyDescent="0.2">
      <c r="A25" t="s">
        <v>247</v>
      </c>
      <c r="B25" t="s">
        <v>248</v>
      </c>
      <c r="C25" t="s">
        <v>249</v>
      </c>
      <c r="D25" s="61">
        <f>Biology!$D$11</f>
        <v>303.14999999999998</v>
      </c>
      <c r="E25" t="s">
        <v>26</v>
      </c>
    </row>
    <row r="26" spans="1:5" x14ac:dyDescent="0.2">
      <c r="A26" t="s">
        <v>250</v>
      </c>
      <c r="B26" t="s">
        <v>251</v>
      </c>
      <c r="C26" t="s">
        <v>252</v>
      </c>
      <c r="D26" s="61">
        <f>Biology!$D$12</f>
        <v>101325</v>
      </c>
      <c r="E26" t="s">
        <v>26</v>
      </c>
    </row>
    <row r="27" spans="1:5" x14ac:dyDescent="0.2">
      <c r="A27" t="s">
        <v>253</v>
      </c>
      <c r="B27" t="s">
        <v>254</v>
      </c>
      <c r="C27" t="s">
        <v>255</v>
      </c>
      <c r="D27" s="62">
        <f>Dosing!$D$7</f>
        <v>8.3144626180000003</v>
      </c>
      <c r="E27" t="s">
        <v>28</v>
      </c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E42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256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ht="36" x14ac:dyDescent="0.2">
      <c r="A3" s="7" t="s">
        <v>257</v>
      </c>
      <c r="B3" s="8" t="s">
        <v>258</v>
      </c>
      <c r="C3" s="9" t="s">
        <v>8</v>
      </c>
      <c r="D3" s="30">
        <v>6</v>
      </c>
      <c r="E3" s="18" t="s">
        <v>259</v>
      </c>
    </row>
    <row r="4" spans="1:5" x14ac:dyDescent="0.2">
      <c r="A4" s="7" t="s">
        <v>260</v>
      </c>
      <c r="B4" s="8" t="s">
        <v>261</v>
      </c>
      <c r="C4" s="9" t="s">
        <v>8</v>
      </c>
      <c r="D4" s="30">
        <v>2</v>
      </c>
      <c r="E4" s="18" t="s">
        <v>262</v>
      </c>
    </row>
    <row r="5" spans="1:5" x14ac:dyDescent="0.2">
      <c r="A5" s="7" t="s">
        <v>263</v>
      </c>
      <c r="B5" s="8" t="s">
        <v>264</v>
      </c>
      <c r="C5" s="9" t="s">
        <v>8</v>
      </c>
      <c r="D5" s="30">
        <v>1</v>
      </c>
      <c r="E5" s="18" t="s">
        <v>265</v>
      </c>
    </row>
    <row r="6" spans="1:5" x14ac:dyDescent="0.2">
      <c r="A6" s="7" t="s">
        <v>266</v>
      </c>
      <c r="B6" s="8" t="s">
        <v>267</v>
      </c>
      <c r="C6" s="9" t="s">
        <v>220</v>
      </c>
      <c r="D6" s="22">
        <f>rH2_gen</f>
        <v>1.0615084982307878E-4</v>
      </c>
      <c r="E6" s="10" t="s">
        <v>268</v>
      </c>
    </row>
    <row r="7" spans="1:5" x14ac:dyDescent="0.2">
      <c r="A7" s="7" t="s">
        <v>269</v>
      </c>
      <c r="B7" s="8" t="s">
        <v>270</v>
      </c>
      <c r="C7" s="9" t="s">
        <v>220</v>
      </c>
      <c r="D7" s="22">
        <f>H2_cons*bio_O2/bio_H2</f>
        <v>3.5383616607692927E-5</v>
      </c>
      <c r="E7" s="10" t="s">
        <v>271</v>
      </c>
    </row>
    <row r="8" spans="1:5" x14ac:dyDescent="0.2">
      <c r="A8" s="7" t="s">
        <v>272</v>
      </c>
      <c r="B8" s="8" t="s">
        <v>273</v>
      </c>
      <c r="C8" s="9" t="s">
        <v>220</v>
      </c>
      <c r="D8" s="22">
        <f>H2_cons*bio_CO2/bio_H2</f>
        <v>1.7691808303846464E-5</v>
      </c>
      <c r="E8" s="10" t="s">
        <v>274</v>
      </c>
    </row>
    <row r="9" spans="1:5" x14ac:dyDescent="0.2">
      <c r="A9" s="16" t="s">
        <v>275</v>
      </c>
      <c r="B9" s="8" t="s">
        <v>276</v>
      </c>
      <c r="C9" s="9" t="s">
        <v>220</v>
      </c>
      <c r="D9" s="22">
        <f>O2_net_gen-O2_cons</f>
        <v>1.769180830384646E-5</v>
      </c>
      <c r="E9" s="14" t="s">
        <v>277</v>
      </c>
    </row>
    <row r="10" spans="1:5" x14ac:dyDescent="0.2">
      <c r="A10" s="7" t="s">
        <v>278</v>
      </c>
      <c r="B10" s="8" t="s">
        <v>279</v>
      </c>
      <c r="C10" s="9" t="s">
        <v>280</v>
      </c>
      <c r="D10" s="31">
        <v>30</v>
      </c>
      <c r="E10" s="10" t="s">
        <v>281</v>
      </c>
    </row>
    <row r="11" spans="1:5" x14ac:dyDescent="0.2">
      <c r="A11" s="7" t="s">
        <v>282</v>
      </c>
      <c r="B11" s="8" t="s">
        <v>248</v>
      </c>
      <c r="C11" s="9" t="s">
        <v>249</v>
      </c>
      <c r="D11" s="32">
        <f>T_C+273.15</f>
        <v>303.14999999999998</v>
      </c>
      <c r="E11" s="14" t="s">
        <v>283</v>
      </c>
    </row>
    <row r="12" spans="1:5" x14ac:dyDescent="0.2">
      <c r="A12" s="7" t="s">
        <v>284</v>
      </c>
      <c r="B12" s="8" t="s">
        <v>251</v>
      </c>
      <c r="C12" s="9" t="s">
        <v>252</v>
      </c>
      <c r="D12" s="30">
        <v>101325</v>
      </c>
      <c r="E12" s="10" t="s">
        <v>285</v>
      </c>
    </row>
    <row r="13" spans="1:5" x14ac:dyDescent="0.2">
      <c r="A13" s="7" t="s">
        <v>286</v>
      </c>
      <c r="B13" s="8" t="s">
        <v>287</v>
      </c>
      <c r="C13" s="9" t="s">
        <v>288</v>
      </c>
      <c r="D13" s="44">
        <v>101325</v>
      </c>
      <c r="E13" s="14" t="s">
        <v>289</v>
      </c>
    </row>
    <row r="14" spans="1:5" x14ac:dyDescent="0.2">
      <c r="A14" s="7" t="s">
        <v>290</v>
      </c>
      <c r="B14" s="8" t="s">
        <v>291</v>
      </c>
      <c r="C14" s="9" t="s">
        <v>292</v>
      </c>
      <c r="D14" s="44">
        <v>1.2999999999999999E-5</v>
      </c>
      <c r="E14" s="11" t="s">
        <v>293</v>
      </c>
    </row>
    <row r="15" spans="1:5" x14ac:dyDescent="0.2">
      <c r="A15" s="7" t="s">
        <v>294</v>
      </c>
      <c r="B15" s="8" t="s">
        <v>295</v>
      </c>
      <c r="C15" s="9" t="s">
        <v>249</v>
      </c>
      <c r="D15" s="44">
        <v>1500</v>
      </c>
      <c r="E15" s="11" t="s">
        <v>296</v>
      </c>
    </row>
    <row r="16" spans="1:5" x14ac:dyDescent="0.2">
      <c r="A16" s="7" t="s">
        <v>297</v>
      </c>
      <c r="B16" s="8" t="s">
        <v>298</v>
      </c>
      <c r="C16" s="9" t="s">
        <v>249</v>
      </c>
      <c r="D16" s="44">
        <v>298.14999999999998</v>
      </c>
      <c r="E16" s="14" t="s">
        <v>299</v>
      </c>
    </row>
    <row r="17" spans="1:5" x14ac:dyDescent="0.2">
      <c r="A17" s="7" t="s">
        <v>300</v>
      </c>
      <c r="B17" s="8" t="s">
        <v>301</v>
      </c>
      <c r="C17" s="9" t="s">
        <v>292</v>
      </c>
      <c r="D17" s="46">
        <f>H_O2ref*EXP(H_O2T*(1/T_K-1/T_ref))</f>
        <v>1.1964814616913177E-5</v>
      </c>
      <c r="E17" s="14" t="s">
        <v>302</v>
      </c>
    </row>
    <row r="18" spans="1:5" ht="24" x14ac:dyDescent="0.2">
      <c r="A18" s="7" t="s">
        <v>303</v>
      </c>
      <c r="B18" s="8" t="s">
        <v>304</v>
      </c>
      <c r="C18" s="9" t="s">
        <v>305</v>
      </c>
      <c r="D18" s="44">
        <v>0.3</v>
      </c>
      <c r="E18" s="11" t="s">
        <v>306</v>
      </c>
    </row>
    <row r="19" spans="1:5" x14ac:dyDescent="0.2">
      <c r="A19" s="7" t="s">
        <v>307</v>
      </c>
      <c r="B19" s="8" t="s">
        <v>308</v>
      </c>
      <c r="C19" s="9" t="s">
        <v>252</v>
      </c>
      <c r="D19" s="33">
        <f>O2_ceil_atm*Pa_per_atm</f>
        <v>30397.5</v>
      </c>
      <c r="E19" s="14" t="s">
        <v>309</v>
      </c>
    </row>
    <row r="20" spans="1:5" x14ac:dyDescent="0.2">
      <c r="A20" s="7" t="s">
        <v>310</v>
      </c>
      <c r="B20" s="8" t="s">
        <v>311</v>
      </c>
      <c r="C20" s="9" t="s">
        <v>312</v>
      </c>
      <c r="D20" s="37">
        <f>H_O2_T*O2_ceil_Pa</f>
        <v>0.36370045231761827</v>
      </c>
      <c r="E20" s="14" t="s">
        <v>313</v>
      </c>
    </row>
    <row r="21" spans="1:5" x14ac:dyDescent="0.2">
      <c r="A21" s="16" t="s">
        <v>310</v>
      </c>
      <c r="B21" s="8" t="s">
        <v>314</v>
      </c>
      <c r="C21" s="9" t="s">
        <v>315</v>
      </c>
      <c r="D21" s="33">
        <f>O2_ceil_C*1000</f>
        <v>363.70045231761827</v>
      </c>
      <c r="E21" s="19" t="s">
        <v>316</v>
      </c>
    </row>
    <row r="22" spans="1:5" x14ac:dyDescent="0.2">
      <c r="A22" s="7" t="s">
        <v>317</v>
      </c>
      <c r="B22" s="8" t="s">
        <v>318</v>
      </c>
      <c r="C22" s="9" t="s">
        <v>292</v>
      </c>
      <c r="D22" s="47">
        <v>3.3E-4</v>
      </c>
      <c r="E22" s="54" t="s">
        <v>319</v>
      </c>
    </row>
    <row r="23" spans="1:5" x14ac:dyDescent="0.2">
      <c r="A23" s="7" t="s">
        <v>320</v>
      </c>
      <c r="B23" s="8" t="s">
        <v>321</v>
      </c>
      <c r="C23" s="9" t="s">
        <v>249</v>
      </c>
      <c r="D23" s="47">
        <v>2400</v>
      </c>
      <c r="E23" s="54" t="s">
        <v>322</v>
      </c>
    </row>
    <row r="24" spans="1:5" x14ac:dyDescent="0.2">
      <c r="A24" s="7" t="s">
        <v>323</v>
      </c>
      <c r="B24" s="8" t="s">
        <v>324</v>
      </c>
      <c r="C24" s="9" t="s">
        <v>292</v>
      </c>
      <c r="D24" s="22">
        <f>H_CO2ref*EXP(H_CO2T*(1/T_K-1/T_ref))</f>
        <v>2.8897091602523201E-4</v>
      </c>
      <c r="E24" s="23" t="s">
        <v>325</v>
      </c>
    </row>
    <row r="25" spans="1:5" x14ac:dyDescent="0.2">
      <c r="A25" s="7" t="s">
        <v>326</v>
      </c>
      <c r="B25" s="8" t="s">
        <v>327</v>
      </c>
      <c r="C25" s="9" t="s">
        <v>252</v>
      </c>
      <c r="D25" s="22">
        <f>P_atm</f>
        <v>101325</v>
      </c>
      <c r="E25" s="25" t="s">
        <v>328</v>
      </c>
    </row>
    <row r="26" spans="1:5" x14ac:dyDescent="0.2">
      <c r="A26" s="7" t="s">
        <v>329</v>
      </c>
      <c r="B26" s="8" t="s">
        <v>330</v>
      </c>
      <c r="C26" s="9" t="s">
        <v>312</v>
      </c>
      <c r="D26" s="22">
        <f>H_CO2_T*p_CO2_sparge</f>
        <v>29.279978066256632</v>
      </c>
      <c r="E26" s="23" t="s">
        <v>331</v>
      </c>
    </row>
    <row r="27" spans="1:5" x14ac:dyDescent="0.2">
      <c r="A27" s="7" t="s">
        <v>332</v>
      </c>
      <c r="B27" s="8" t="s">
        <v>333</v>
      </c>
      <c r="C27" s="9" t="s">
        <v>315</v>
      </c>
      <c r="D27" s="52">
        <v>50</v>
      </c>
      <c r="E27" s="53" t="s">
        <v>334</v>
      </c>
    </row>
    <row r="28" spans="1:5" x14ac:dyDescent="0.2">
      <c r="A28" s="7" t="s">
        <v>335</v>
      </c>
      <c r="B28" s="8" t="s">
        <v>336</v>
      </c>
      <c r="C28" s="9" t="s">
        <v>337</v>
      </c>
      <c r="D28" s="22">
        <f>CO2_diss*1000/Km_CO2</f>
        <v>585.59956132513264</v>
      </c>
      <c r="E28" s="23" t="s">
        <v>338</v>
      </c>
    </row>
    <row r="29" spans="1:5" x14ac:dyDescent="0.2">
      <c r="A29" s="7" t="s">
        <v>339</v>
      </c>
      <c r="B29" s="8" t="s">
        <v>340</v>
      </c>
      <c r="C29" s="9" t="s">
        <v>341</v>
      </c>
      <c r="D29" s="47">
        <v>4.4499999999999997E-7</v>
      </c>
      <c r="E29" s="54" t="s">
        <v>342</v>
      </c>
    </row>
    <row r="30" spans="1:5" ht="24" x14ac:dyDescent="0.2">
      <c r="A30" s="7" t="s">
        <v>343</v>
      </c>
      <c r="B30" s="8" t="s">
        <v>344</v>
      </c>
      <c r="C30" s="9" t="s">
        <v>8</v>
      </c>
      <c r="D30" s="22">
        <f>-LOG10(SQRT(Ka1_carb*(CO2_diss/1000)))</f>
        <v>3.9425346209821237</v>
      </c>
      <c r="E30" s="53" t="s">
        <v>345</v>
      </c>
    </row>
    <row r="31" spans="1:5" x14ac:dyDescent="0.2">
      <c r="A31" s="7" t="s">
        <v>346</v>
      </c>
      <c r="B31" s="8" t="s">
        <v>347</v>
      </c>
      <c r="C31" s="9" t="s">
        <v>292</v>
      </c>
      <c r="D31" s="47">
        <v>7.7999999999999999E-6</v>
      </c>
      <c r="E31" s="54" t="s">
        <v>348</v>
      </c>
    </row>
    <row r="32" spans="1:5" x14ac:dyDescent="0.2">
      <c r="A32" s="7" t="s">
        <v>349</v>
      </c>
      <c r="B32" s="8" t="s">
        <v>350</v>
      </c>
      <c r="C32" s="9" t="s">
        <v>249</v>
      </c>
      <c r="D32" s="47">
        <v>500</v>
      </c>
      <c r="E32" s="54" t="s">
        <v>351</v>
      </c>
    </row>
    <row r="33" spans="1:5" x14ac:dyDescent="0.2">
      <c r="A33" s="7" t="s">
        <v>352</v>
      </c>
      <c r="B33" s="8" t="s">
        <v>353</v>
      </c>
      <c r="C33" s="9" t="s">
        <v>292</v>
      </c>
      <c r="D33" s="22">
        <f>H_H2ref*EXP(H_H2T*(1/T_K-1/T_ref))</f>
        <v>7.5872106737254795E-6</v>
      </c>
      <c r="E33" s="23" t="s">
        <v>325</v>
      </c>
    </row>
    <row r="34" spans="1:5" x14ac:dyDescent="0.2">
      <c r="A34" s="7" t="s">
        <v>354</v>
      </c>
      <c r="B34" s="8" t="s">
        <v>355</v>
      </c>
      <c r="C34" s="9" t="s">
        <v>312</v>
      </c>
      <c r="D34" s="22">
        <f>H_H2_T*P_atm</f>
        <v>0.76877412151523417</v>
      </c>
      <c r="E34" s="23" t="s">
        <v>356</v>
      </c>
    </row>
    <row r="35" spans="1:5" ht="24" x14ac:dyDescent="0.2">
      <c r="A35" s="7" t="s">
        <v>357</v>
      </c>
      <c r="B35" s="8" t="s">
        <v>358</v>
      </c>
      <c r="C35" s="9" t="s">
        <v>359</v>
      </c>
      <c r="D35" s="22">
        <f>C_H2_sat*(V_charge/1000000)/rH2_gen*60</f>
        <v>6.5180515324831827</v>
      </c>
      <c r="E35" s="23" t="s">
        <v>360</v>
      </c>
    </row>
    <row r="36" spans="1:5" x14ac:dyDescent="0.2">
      <c r="A36" s="7" t="s">
        <v>361</v>
      </c>
      <c r="B36" s="8" t="s">
        <v>362</v>
      </c>
      <c r="C36" s="9" t="s">
        <v>363</v>
      </c>
      <c r="D36" s="22">
        <f>rH2_gen/(V_charge/1000000)/C_H2_sat</f>
        <v>9.20520491453399</v>
      </c>
      <c r="E36" s="53" t="s">
        <v>364</v>
      </c>
    </row>
    <row r="37" spans="1:5" ht="24" x14ac:dyDescent="0.2">
      <c r="A37" s="7" t="s">
        <v>365</v>
      </c>
      <c r="B37" s="8" t="s">
        <v>366</v>
      </c>
      <c r="C37" s="9" t="s">
        <v>8</v>
      </c>
      <c r="D37" s="22" t="str">
        <f>IF(H2_turnover&gt;1,"EXPLOSIVE","watch")</f>
        <v>EXPLOSIVE</v>
      </c>
      <c r="E37" s="26" t="s">
        <v>367</v>
      </c>
    </row>
    <row r="39" spans="1:5" x14ac:dyDescent="0.2">
      <c r="A39" s="64" t="s">
        <v>176</v>
      </c>
    </row>
    <row r="40" spans="1:5" x14ac:dyDescent="0.2">
      <c r="A40" t="s">
        <v>368</v>
      </c>
      <c r="B40" t="s">
        <v>219</v>
      </c>
      <c r="C40" t="s">
        <v>220</v>
      </c>
      <c r="D40" s="63">
        <f>Electrochemistry!$D$14</f>
        <v>1.0615084982307878E-4</v>
      </c>
      <c r="E40" t="s">
        <v>30</v>
      </c>
    </row>
    <row r="41" spans="1:5" x14ac:dyDescent="0.2">
      <c r="A41" t="s">
        <v>369</v>
      </c>
      <c r="B41" t="s">
        <v>245</v>
      </c>
      <c r="C41" t="s">
        <v>220</v>
      </c>
      <c r="D41" s="63">
        <f>Electrochemistry!$D$22</f>
        <v>5.3075424911539388E-5</v>
      </c>
      <c r="E41" t="s">
        <v>30</v>
      </c>
    </row>
    <row r="42" spans="1:5" x14ac:dyDescent="0.2">
      <c r="A42" t="s">
        <v>370</v>
      </c>
      <c r="B42" t="s">
        <v>147</v>
      </c>
      <c r="C42" t="s">
        <v>69</v>
      </c>
      <c r="D42" s="65">
        <f>Geometry!$D$36</f>
        <v>15</v>
      </c>
      <c r="E42" t="s">
        <v>371</v>
      </c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E100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372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x14ac:dyDescent="0.2">
      <c r="A3" s="7" t="s">
        <v>373</v>
      </c>
      <c r="B3" s="8" t="s">
        <v>374</v>
      </c>
      <c r="C3" s="9" t="s">
        <v>8</v>
      </c>
      <c r="D3" s="30" t="s">
        <v>13</v>
      </c>
      <c r="E3" s="10" t="s">
        <v>375</v>
      </c>
    </row>
    <row r="4" spans="1:5" x14ac:dyDescent="0.2">
      <c r="A4" s="7" t="s">
        <v>376</v>
      </c>
      <c r="B4" s="8" t="s">
        <v>377</v>
      </c>
      <c r="C4" s="9" t="s">
        <v>8</v>
      </c>
      <c r="D4" s="30" t="s">
        <v>378</v>
      </c>
      <c r="E4" s="10" t="s">
        <v>379</v>
      </c>
    </row>
    <row r="5" spans="1:5" x14ac:dyDescent="0.2">
      <c r="A5" s="7" t="s">
        <v>380</v>
      </c>
      <c r="B5" s="8" t="s">
        <v>381</v>
      </c>
      <c r="C5" s="9" t="s">
        <v>382</v>
      </c>
      <c r="D5" s="48">
        <v>7.1199999999999999E-2</v>
      </c>
      <c r="E5" s="11" t="s">
        <v>383</v>
      </c>
    </row>
    <row r="6" spans="1:5" x14ac:dyDescent="0.2">
      <c r="A6" s="7" t="s">
        <v>384</v>
      </c>
      <c r="B6" s="8" t="s">
        <v>385</v>
      </c>
      <c r="C6" s="9" t="s">
        <v>386</v>
      </c>
      <c r="D6" s="40">
        <v>995.65</v>
      </c>
      <c r="E6" s="11" t="s">
        <v>387</v>
      </c>
    </row>
    <row r="7" spans="1:5" x14ac:dyDescent="0.2">
      <c r="A7" s="7" t="s">
        <v>388</v>
      </c>
      <c r="B7" s="8" t="s">
        <v>389</v>
      </c>
      <c r="C7" s="9" t="s">
        <v>390</v>
      </c>
      <c r="D7" s="43">
        <v>9.8066499999999994</v>
      </c>
      <c r="E7" s="17" t="s">
        <v>391</v>
      </c>
    </row>
    <row r="8" spans="1:5" ht="24" x14ac:dyDescent="0.2">
      <c r="A8" s="7" t="s">
        <v>392</v>
      </c>
      <c r="B8" s="8" t="s">
        <v>393</v>
      </c>
      <c r="C8" s="9" t="s">
        <v>394</v>
      </c>
      <c r="D8" s="44">
        <v>2.249E-9</v>
      </c>
      <c r="E8" s="10" t="s">
        <v>395</v>
      </c>
    </row>
    <row r="9" spans="1:5" x14ac:dyDescent="0.2">
      <c r="A9" s="7" t="s">
        <v>396</v>
      </c>
      <c r="B9" s="8" t="s">
        <v>397</v>
      </c>
      <c r="C9" s="9" t="s">
        <v>398</v>
      </c>
      <c r="D9" s="44">
        <v>205</v>
      </c>
      <c r="E9" s="11" t="s">
        <v>399</v>
      </c>
    </row>
    <row r="10" spans="1:5" x14ac:dyDescent="0.2">
      <c r="A10" s="7" t="s">
        <v>400</v>
      </c>
      <c r="B10" s="8" t="s">
        <v>401</v>
      </c>
      <c r="C10" s="9" t="s">
        <v>398</v>
      </c>
      <c r="D10" s="44">
        <v>130</v>
      </c>
      <c r="E10" s="11" t="s">
        <v>402</v>
      </c>
    </row>
    <row r="11" spans="1:5" x14ac:dyDescent="0.2">
      <c r="A11" s="7" t="s">
        <v>403</v>
      </c>
      <c r="B11" s="8" t="s">
        <v>404</v>
      </c>
      <c r="C11" s="9" t="s">
        <v>398</v>
      </c>
      <c r="D11" s="44">
        <v>70</v>
      </c>
      <c r="E11" s="11" t="s">
        <v>405</v>
      </c>
    </row>
    <row r="12" spans="1:5" x14ac:dyDescent="0.2">
      <c r="A12" s="7" t="s">
        <v>406</v>
      </c>
      <c r="B12" s="8" t="s">
        <v>407</v>
      </c>
      <c r="C12" s="9" t="s">
        <v>398</v>
      </c>
      <c r="D12" s="44">
        <v>28</v>
      </c>
      <c r="E12" s="11" t="s">
        <v>408</v>
      </c>
    </row>
    <row r="13" spans="1:5" x14ac:dyDescent="0.2">
      <c r="A13" s="7" t="s">
        <v>409</v>
      </c>
      <c r="B13" s="8" t="s">
        <v>410</v>
      </c>
      <c r="C13" s="9" t="s">
        <v>398</v>
      </c>
      <c r="D13" s="44">
        <v>13</v>
      </c>
      <c r="E13" s="11" t="s">
        <v>411</v>
      </c>
    </row>
    <row r="14" spans="1:5" x14ac:dyDescent="0.2">
      <c r="A14" s="7" t="s">
        <v>412</v>
      </c>
      <c r="B14" s="8" t="s">
        <v>413</v>
      </c>
      <c r="C14" s="9" t="s">
        <v>398</v>
      </c>
      <c r="D14" s="41">
        <v>1.3</v>
      </c>
      <c r="E14" s="11" t="s">
        <v>414</v>
      </c>
    </row>
    <row r="15" spans="1:5" x14ac:dyDescent="0.2">
      <c r="A15" s="7" t="s">
        <v>415</v>
      </c>
      <c r="B15" s="8" t="s">
        <v>416</v>
      </c>
      <c r="C15" s="9" t="s">
        <v>417</v>
      </c>
      <c r="D15" s="50">
        <f>CHOOSE(por_grade+1,por0_um,por1_um,por2_um,por3_um,por4_um,por5_um)/1000000</f>
        <v>2.05E-4</v>
      </c>
      <c r="E15" s="14" t="s">
        <v>418</v>
      </c>
    </row>
    <row r="16" spans="1:5" x14ac:dyDescent="0.2">
      <c r="A16" s="7" t="s">
        <v>419</v>
      </c>
      <c r="B16" s="8" t="s">
        <v>420</v>
      </c>
      <c r="C16" s="9" t="s">
        <v>417</v>
      </c>
      <c r="D16" s="50">
        <f>spg_ID/1000</f>
        <v>1.5874999999999999E-3</v>
      </c>
      <c r="E16" s="14" t="s">
        <v>421</v>
      </c>
    </row>
    <row r="17" spans="1:5" x14ac:dyDescent="0.2">
      <c r="A17" s="7" t="s">
        <v>422</v>
      </c>
      <c r="B17" s="8" t="s">
        <v>423</v>
      </c>
      <c r="C17" s="9" t="s">
        <v>417</v>
      </c>
      <c r="D17" s="50">
        <f>IF(sparger=spg_name_1,tube_d_m,IF(sparger=spg_name_2,por_pore,NA()))</f>
        <v>1.5874999999999999E-3</v>
      </c>
      <c r="E17" s="14" t="s">
        <v>424</v>
      </c>
    </row>
    <row r="18" spans="1:5" ht="24" x14ac:dyDescent="0.2">
      <c r="A18" s="16" t="s">
        <v>425</v>
      </c>
      <c r="B18" s="8" t="s">
        <v>426</v>
      </c>
      <c r="C18" s="9" t="s">
        <v>417</v>
      </c>
      <c r="D18" s="22">
        <f>(6*d_orifice*sigma/(rho_L*g_const))^(1/3)</f>
        <v>4.1106061542088958E-3</v>
      </c>
      <c r="E18" s="20" t="s">
        <v>427</v>
      </c>
    </row>
    <row r="19" spans="1:5" x14ac:dyDescent="0.2">
      <c r="A19" s="16" t="s">
        <v>428</v>
      </c>
      <c r="B19" s="8" t="s">
        <v>429</v>
      </c>
      <c r="C19" s="9" t="s">
        <v>56</v>
      </c>
      <c r="D19" s="36">
        <f>d_bubble*1000</f>
        <v>4.1106061542088961</v>
      </c>
      <c r="E19" s="20"/>
    </row>
    <row r="20" spans="1:5" x14ac:dyDescent="0.2">
      <c r="A20" s="7" t="s">
        <v>430</v>
      </c>
      <c r="B20" s="8" t="s">
        <v>431</v>
      </c>
      <c r="C20" s="9" t="s">
        <v>8</v>
      </c>
      <c r="D20" s="40">
        <v>2.14</v>
      </c>
      <c r="E20" s="20" t="s">
        <v>432</v>
      </c>
    </row>
    <row r="21" spans="1:5" x14ac:dyDescent="0.2">
      <c r="A21" s="7" t="s">
        <v>433</v>
      </c>
      <c r="B21" s="8" t="s">
        <v>434</v>
      </c>
      <c r="C21" s="9" t="s">
        <v>8</v>
      </c>
      <c r="D21" s="51">
        <v>0.505</v>
      </c>
      <c r="E21" s="20" t="s">
        <v>435</v>
      </c>
    </row>
    <row r="22" spans="1:5" ht="36" x14ac:dyDescent="0.2">
      <c r="A22" s="7" t="s">
        <v>436</v>
      </c>
      <c r="B22" s="8" t="s">
        <v>437</v>
      </c>
      <c r="C22" s="9" t="s">
        <v>438</v>
      </c>
      <c r="D22" s="37">
        <f>SQRT(mend_a*sigma/(rho_L*d_bubble)+mend_b*g_const*d_bubble)</f>
        <v>0.23997120602218533</v>
      </c>
      <c r="E22" s="20" t="s">
        <v>439</v>
      </c>
    </row>
    <row r="23" spans="1:5" x14ac:dyDescent="0.2">
      <c r="A23" s="7" t="s">
        <v>440</v>
      </c>
      <c r="B23" s="8" t="s">
        <v>441</v>
      </c>
      <c r="C23" s="9" t="s">
        <v>438</v>
      </c>
      <c r="D23" s="22">
        <f>(Q_CO2/1000000/60)/(A_x/1000000)</f>
        <v>3.3205095147824398E-4</v>
      </c>
      <c r="E23" s="14" t="s">
        <v>442</v>
      </c>
    </row>
    <row r="24" spans="1:5" x14ac:dyDescent="0.2">
      <c r="A24" s="7" t="s">
        <v>443</v>
      </c>
      <c r="B24" s="8" t="s">
        <v>444</v>
      </c>
      <c r="C24" s="9" t="s">
        <v>8</v>
      </c>
      <c r="D24" s="22">
        <f>u_sg/u_rise</f>
        <v>1.3837116418356705E-3</v>
      </c>
      <c r="E24" s="20" t="s">
        <v>445</v>
      </c>
    </row>
    <row r="25" spans="1:5" x14ac:dyDescent="0.2">
      <c r="A25" s="7" t="s">
        <v>446</v>
      </c>
      <c r="B25" s="8" t="s">
        <v>447</v>
      </c>
      <c r="C25" s="9" t="s">
        <v>448</v>
      </c>
      <c r="D25" s="32">
        <f>6*holdup/d_bubble</f>
        <v>2.0197191215979755</v>
      </c>
      <c r="E25" s="20" t="s">
        <v>449</v>
      </c>
    </row>
    <row r="26" spans="1:5" x14ac:dyDescent="0.2">
      <c r="A26" s="7" t="s">
        <v>450</v>
      </c>
      <c r="B26" s="8" t="s">
        <v>451</v>
      </c>
      <c r="C26" s="9" t="s">
        <v>452</v>
      </c>
      <c r="D26" s="37">
        <f>d_bubble/u_rise</f>
        <v>1.7129580762405595E-2</v>
      </c>
      <c r="E26" s="20" t="s">
        <v>453</v>
      </c>
    </row>
    <row r="27" spans="1:5" x14ac:dyDescent="0.2">
      <c r="A27" s="7" t="s">
        <v>454</v>
      </c>
      <c r="B27" s="8" t="s">
        <v>455</v>
      </c>
      <c r="C27" s="9" t="s">
        <v>438</v>
      </c>
      <c r="D27" s="22">
        <f>2*SQRT(D_O2/(PI()*t_contact))</f>
        <v>4.088616905871452E-4</v>
      </c>
      <c r="E27" s="20" t="s">
        <v>456</v>
      </c>
    </row>
    <row r="28" spans="1:5" x14ac:dyDescent="0.2">
      <c r="A28" s="16" t="s">
        <v>457</v>
      </c>
      <c r="B28" s="8" t="s">
        <v>458</v>
      </c>
      <c r="C28" s="9" t="s">
        <v>459</v>
      </c>
      <c r="D28" s="22">
        <f>kL*a_int</f>
        <v>8.2578577456773211E-4</v>
      </c>
      <c r="E28" s="20" t="s">
        <v>460</v>
      </c>
    </row>
    <row r="29" spans="1:5" x14ac:dyDescent="0.2">
      <c r="A29" s="7" t="s">
        <v>461</v>
      </c>
      <c r="B29" s="8" t="s">
        <v>462</v>
      </c>
      <c r="C29" s="9" t="s">
        <v>459</v>
      </c>
      <c r="D29" s="46">
        <f>kLa_sparge*duty</f>
        <v>1.2114165783086191E-5</v>
      </c>
      <c r="E29" s="20" t="s">
        <v>463</v>
      </c>
    </row>
    <row r="30" spans="1:5" ht="24" x14ac:dyDescent="0.2">
      <c r="A30" s="7" t="s">
        <v>464</v>
      </c>
      <c r="B30" s="8" t="s">
        <v>465</v>
      </c>
      <c r="C30" s="9" t="s">
        <v>220</v>
      </c>
      <c r="D30" s="22">
        <f>IF(d_bubble&lt;0.001,0,kLa_sparge*(V_charge/1000000)*O2_ceil_C*3600)</f>
        <v>1.62182876252979E-5</v>
      </c>
      <c r="E30" s="20" t="s">
        <v>466</v>
      </c>
    </row>
    <row r="31" spans="1:5" x14ac:dyDescent="0.2">
      <c r="A31" s="16" t="s">
        <v>467</v>
      </c>
      <c r="B31" s="8" t="s">
        <v>468</v>
      </c>
      <c r="C31" s="9" t="s">
        <v>220</v>
      </c>
      <c r="D31" s="22">
        <f>strip_sparge*duty</f>
        <v>2.3792008903698933E-7</v>
      </c>
      <c r="E31" s="20" t="s">
        <v>463</v>
      </c>
    </row>
    <row r="32" spans="1:5" x14ac:dyDescent="0.2">
      <c r="A32" s="16" t="s">
        <v>469</v>
      </c>
      <c r="B32" s="8" t="s">
        <v>470</v>
      </c>
      <c r="C32" s="9" t="s">
        <v>337</v>
      </c>
      <c r="D32" s="36">
        <f>IF(O2_excess&gt;0,strip_avg/O2_excess,NA())</f>
        <v>1.3448036794817746E-2</v>
      </c>
      <c r="E32" s="20" t="s">
        <v>471</v>
      </c>
    </row>
    <row r="33" spans="1:5" x14ac:dyDescent="0.2">
      <c r="A33" s="7" t="s">
        <v>472</v>
      </c>
      <c r="B33" s="8" t="s">
        <v>473</v>
      </c>
      <c r="C33" s="9" t="s">
        <v>459</v>
      </c>
      <c r="D33" s="22">
        <f>IF(O2_excess&gt;0,O2_excess/3600/((V_charge/1000000)*O2_ceil_C),NA())</f>
        <v>9.0081295641267374E-4</v>
      </c>
      <c r="E33" s="20" t="s">
        <v>474</v>
      </c>
    </row>
    <row r="34" spans="1:5" ht="24" x14ac:dyDescent="0.2">
      <c r="A34" s="7" t="s">
        <v>475</v>
      </c>
      <c r="B34" s="8" t="s">
        <v>476</v>
      </c>
      <c r="C34" s="9" t="s">
        <v>438</v>
      </c>
      <c r="D34" s="34">
        <v>0.05</v>
      </c>
      <c r="E34" s="20" t="s">
        <v>477</v>
      </c>
    </row>
    <row r="35" spans="1:5" x14ac:dyDescent="0.2">
      <c r="A35" s="16" t="s">
        <v>478</v>
      </c>
      <c r="B35" s="8" t="s">
        <v>479</v>
      </c>
      <c r="C35" s="9" t="s">
        <v>8</v>
      </c>
      <c r="D35" s="45" t="str">
        <f>IF(u_sg&gt;u_g_max,"RISK","OK")</f>
        <v>OK</v>
      </c>
      <c r="E35" s="20" t="s">
        <v>480</v>
      </c>
    </row>
    <row r="36" spans="1:5" x14ac:dyDescent="0.2">
      <c r="A36" s="7" t="s">
        <v>481</v>
      </c>
      <c r="B36" s="8" t="s">
        <v>482</v>
      </c>
      <c r="C36" s="9" t="s">
        <v>386</v>
      </c>
      <c r="D36" s="22">
        <f>P_atm*(M_CO2/1000)/(R_gas*T_K)</f>
        <v>1.7691770185137061</v>
      </c>
      <c r="E36" s="23" t="s">
        <v>483</v>
      </c>
    </row>
    <row r="37" spans="1:5" x14ac:dyDescent="0.2">
      <c r="A37" s="7" t="s">
        <v>484</v>
      </c>
      <c r="B37" s="8" t="s">
        <v>485</v>
      </c>
      <c r="C37" s="9" t="s">
        <v>8</v>
      </c>
      <c r="D37" s="24">
        <v>1</v>
      </c>
      <c r="E37" s="26" t="s">
        <v>486</v>
      </c>
    </row>
    <row r="38" spans="1:5" x14ac:dyDescent="0.2">
      <c r="A38" s="7" t="s">
        <v>487</v>
      </c>
      <c r="B38" s="8" t="s">
        <v>488</v>
      </c>
      <c r="C38" s="9" t="s">
        <v>438</v>
      </c>
      <c r="D38" s="22">
        <f>(Q_CO2/1000000/60)/(n_pores_active*(PI()/4*d_orifice^2))</f>
        <v>8.4203743632639369E-2</v>
      </c>
      <c r="E38" s="23" t="s">
        <v>489</v>
      </c>
    </row>
    <row r="39" spans="1:5" x14ac:dyDescent="0.2">
      <c r="A39" s="7" t="s">
        <v>490</v>
      </c>
      <c r="B39" s="8" t="s">
        <v>491</v>
      </c>
      <c r="C39" s="9" t="s">
        <v>8</v>
      </c>
      <c r="D39" s="22">
        <f>rho_CO2*v_orifice^2*d_orifice/sigma</f>
        <v>2.7968413397390357E-4</v>
      </c>
      <c r="E39" s="23" t="s">
        <v>492</v>
      </c>
    </row>
    <row r="40" spans="1:5" ht="24" x14ac:dyDescent="0.2">
      <c r="A40" s="7" t="s">
        <v>493</v>
      </c>
      <c r="B40" s="8" t="s">
        <v>494</v>
      </c>
      <c r="C40" s="9" t="s">
        <v>8</v>
      </c>
      <c r="D40" s="22" t="str">
        <f>IF(d_bubble&lt;0.001,"Sinter OOR – add fine-bubble model",IF(We_orifice&lt;2,"Static","Dynamic"))</f>
        <v>Static</v>
      </c>
      <c r="E40" s="23" t="s">
        <v>495</v>
      </c>
    </row>
    <row r="41" spans="1:5" x14ac:dyDescent="0.2">
      <c r="A41" s="7" t="s">
        <v>496</v>
      </c>
      <c r="B41" s="8" t="s">
        <v>497</v>
      </c>
      <c r="C41" s="9" t="s">
        <v>359</v>
      </c>
      <c r="D41" s="22">
        <f>O2_ceil_C*(V_charge/1000000)/O2_excess*60</f>
        <v>18.501806116375906</v>
      </c>
      <c r="E41" s="23" t="s">
        <v>498</v>
      </c>
    </row>
    <row r="42" spans="1:5" ht="24" x14ac:dyDescent="0.2">
      <c r="A42" s="7" t="s">
        <v>499</v>
      </c>
      <c r="B42" s="8" t="s">
        <v>500</v>
      </c>
      <c r="C42" s="9" t="s">
        <v>359</v>
      </c>
      <c r="D42" s="22">
        <f>IF(O2_excess-strip_avg&gt;0,O2_ceil_C*(V_charge/1000000)/(O2_excess-strip_avg)*60,9999)</f>
        <v>18.754010742896789</v>
      </c>
      <c r="E42" s="23" t="s">
        <v>501</v>
      </c>
    </row>
    <row r="43" spans="1:5" x14ac:dyDescent="0.2">
      <c r="A43" s="7" t="s">
        <v>502</v>
      </c>
      <c r="B43" s="8" t="s">
        <v>503</v>
      </c>
      <c r="C43" s="9" t="s">
        <v>504</v>
      </c>
      <c r="D43" s="52">
        <v>500</v>
      </c>
      <c r="E43" s="25" t="s">
        <v>505</v>
      </c>
    </row>
    <row r="44" spans="1:5" x14ac:dyDescent="0.2">
      <c r="A44" s="7" t="s">
        <v>506</v>
      </c>
      <c r="B44" s="8" t="s">
        <v>507</v>
      </c>
      <c r="C44" s="9" t="s">
        <v>56</v>
      </c>
      <c r="D44" s="52">
        <v>12</v>
      </c>
      <c r="E44" s="53" t="s">
        <v>508</v>
      </c>
    </row>
    <row r="45" spans="1:5" x14ac:dyDescent="0.2">
      <c r="A45" s="7" t="s">
        <v>509</v>
      </c>
      <c r="B45" s="8" t="s">
        <v>510</v>
      </c>
      <c r="C45" s="9" t="s">
        <v>438</v>
      </c>
      <c r="D45" s="22">
        <f>PI()*(stir_len/1000)*stir_rpm/60</f>
        <v>0.31415926535897931</v>
      </c>
      <c r="E45" s="23" t="s">
        <v>511</v>
      </c>
    </row>
    <row r="46" spans="1:5" x14ac:dyDescent="0.2">
      <c r="A46" s="7" t="s">
        <v>512</v>
      </c>
      <c r="B46" s="8" t="s">
        <v>513</v>
      </c>
      <c r="C46" s="9" t="s">
        <v>459</v>
      </c>
      <c r="D46" s="22">
        <f>tip_speed/(vial_ID/1000)</f>
        <v>12.42718612970646</v>
      </c>
      <c r="E46" s="53" t="s">
        <v>514</v>
      </c>
    </row>
    <row r="47" spans="1:5" x14ac:dyDescent="0.2">
      <c r="A47" s="7" t="s">
        <v>515</v>
      </c>
      <c r="B47" s="8" t="s">
        <v>516</v>
      </c>
      <c r="C47" s="9" t="s">
        <v>438</v>
      </c>
      <c r="D47" s="22">
        <f>2*SQRT(D_O2*s_renew/PI())</f>
        <v>1.8864104282465861E-4</v>
      </c>
      <c r="E47" s="53" t="s">
        <v>517</v>
      </c>
    </row>
    <row r="48" spans="1:5" x14ac:dyDescent="0.2">
      <c r="A48" s="7" t="s">
        <v>518</v>
      </c>
      <c r="B48" s="8" t="s">
        <v>519</v>
      </c>
      <c r="C48" s="9" t="s">
        <v>448</v>
      </c>
      <c r="D48" s="22">
        <f>interface_A/V_charge</f>
        <v>28.63651500937112</v>
      </c>
      <c r="E48" s="23" t="s">
        <v>520</v>
      </c>
    </row>
    <row r="49" spans="1:5" x14ac:dyDescent="0.2">
      <c r="A49" s="7" t="s">
        <v>521</v>
      </c>
      <c r="B49" s="8" t="s">
        <v>522</v>
      </c>
      <c r="C49" s="9" t="s">
        <v>459</v>
      </c>
      <c r="D49" s="22">
        <f>kL_surf*a_surf</f>
        <v>5.4020220542317565E-3</v>
      </c>
      <c r="E49" s="53" t="s">
        <v>523</v>
      </c>
    </row>
    <row r="50" spans="1:5" x14ac:dyDescent="0.2">
      <c r="A50" s="7" t="s">
        <v>524</v>
      </c>
      <c r="B50" s="8" t="s">
        <v>525</v>
      </c>
      <c r="C50" s="9" t="s">
        <v>220</v>
      </c>
      <c r="D50" s="22">
        <f>kLa_surf_used*(V_charge/1000000)*O2_ceil_C*3600</f>
        <v>1.0609476468590732E-4</v>
      </c>
      <c r="E50" s="53" t="s">
        <v>526</v>
      </c>
    </row>
    <row r="51" spans="1:5" x14ac:dyDescent="0.2">
      <c r="A51" s="7" t="s">
        <v>527</v>
      </c>
      <c r="B51" s="8" t="s">
        <v>528</v>
      </c>
      <c r="C51" s="9" t="s">
        <v>337</v>
      </c>
      <c r="D51" s="22">
        <f>IF(O2_excess&gt;0,surf_strip/O2_excess,NA())</f>
        <v>5.996829881026958</v>
      </c>
      <c r="E51" s="53" t="s">
        <v>529</v>
      </c>
    </row>
    <row r="52" spans="1:5" x14ac:dyDescent="0.2">
      <c r="A52" s="7" t="s">
        <v>530</v>
      </c>
      <c r="B52" s="8" t="s">
        <v>531</v>
      </c>
      <c r="C52" s="9" t="s">
        <v>8</v>
      </c>
      <c r="D52" s="22">
        <f>IF(CO2_supply&gt;0,O2_excess/CO2_supply,NA())</f>
        <v>4.9999999999999982E-2</v>
      </c>
      <c r="E52" s="23" t="s">
        <v>532</v>
      </c>
    </row>
    <row r="53" spans="1:5" x14ac:dyDescent="0.2">
      <c r="A53" s="7" t="s">
        <v>533</v>
      </c>
      <c r="B53" s="8" t="s">
        <v>534</v>
      </c>
      <c r="C53" s="9" t="s">
        <v>315</v>
      </c>
      <c r="D53" s="22">
        <f>H_O2_T*y_O2_vent*P_atm*1000</f>
        <v>60.61674205293636</v>
      </c>
      <c r="E53" s="23" t="s">
        <v>535</v>
      </c>
    </row>
    <row r="54" spans="1:5" x14ac:dyDescent="0.2">
      <c r="A54" s="7" t="s">
        <v>536</v>
      </c>
      <c r="B54" s="8" t="s">
        <v>537</v>
      </c>
      <c r="C54" s="9" t="s">
        <v>359</v>
      </c>
      <c r="D54" s="22">
        <f>headspace_V/(Q_CO2*duty)</f>
        <v>17.808128884816398</v>
      </c>
      <c r="E54" s="23" t="s">
        <v>538</v>
      </c>
    </row>
    <row r="55" spans="1:5" ht="24" x14ac:dyDescent="0.2">
      <c r="A55" s="7" t="s">
        <v>539</v>
      </c>
      <c r="B55" s="8" t="s">
        <v>540</v>
      </c>
      <c r="C55" s="9" t="s">
        <v>337</v>
      </c>
      <c r="D55" s="22">
        <f>IF(O2_excess&gt;0,(strip_avg+surf_strip)/O2_excess,NA())</f>
        <v>6.0102779178217762</v>
      </c>
      <c r="E55" s="53" t="s">
        <v>541</v>
      </c>
    </row>
    <row r="56" spans="1:5" x14ac:dyDescent="0.2">
      <c r="A56" s="7" t="s">
        <v>542</v>
      </c>
      <c r="B56" s="8" t="s">
        <v>543</v>
      </c>
      <c r="C56" s="9" t="s">
        <v>359</v>
      </c>
      <c r="D56" s="22">
        <f>O2_ceil_C*(V_charge/1000000)/O2_net_gen*60</f>
        <v>6.1672687054586337</v>
      </c>
      <c r="E56" s="23" t="s">
        <v>544</v>
      </c>
    </row>
    <row r="57" spans="1:5" ht="36" x14ac:dyDescent="0.2">
      <c r="A57" s="7" t="s">
        <v>545</v>
      </c>
      <c r="B57" s="8" t="s">
        <v>546</v>
      </c>
      <c r="C57" s="9" t="s">
        <v>359</v>
      </c>
      <c r="D57" s="22">
        <f>IF(O2_net_gen-strip_avg-surf_strip&gt;0,O2_ceil_C*(V_charge/1000000)/(O2_net_gen-strip_avg-surf_strip)*60,9999)</f>
        <v>9999</v>
      </c>
      <c r="E57" s="53" t="s">
        <v>547</v>
      </c>
    </row>
    <row r="58" spans="1:5" ht="24" x14ac:dyDescent="0.2">
      <c r="A58" s="7" t="s">
        <v>548</v>
      </c>
      <c r="B58" s="8" t="s">
        <v>549</v>
      </c>
      <c r="C58" s="9" t="s">
        <v>8</v>
      </c>
      <c r="D58" s="52" t="s">
        <v>550</v>
      </c>
      <c r="E58" s="25" t="s">
        <v>551</v>
      </c>
    </row>
    <row r="59" spans="1:5" x14ac:dyDescent="0.2">
      <c r="A59" s="7" t="s">
        <v>552</v>
      </c>
      <c r="B59" s="8" t="s">
        <v>553</v>
      </c>
      <c r="C59" s="9" t="s">
        <v>452</v>
      </c>
      <c r="D59" s="52">
        <v>1</v>
      </c>
      <c r="E59" s="25" t="s">
        <v>554</v>
      </c>
    </row>
    <row r="60" spans="1:5" x14ac:dyDescent="0.2">
      <c r="A60" s="7" t="s">
        <v>555</v>
      </c>
      <c r="B60" s="8" t="s">
        <v>556</v>
      </c>
      <c r="C60" s="9" t="s">
        <v>359</v>
      </c>
      <c r="D60" s="52">
        <v>1</v>
      </c>
      <c r="E60" s="25" t="s">
        <v>557</v>
      </c>
    </row>
    <row r="61" spans="1:5" x14ac:dyDescent="0.2">
      <c r="A61" s="7" t="s">
        <v>558</v>
      </c>
      <c r="B61" s="8" t="s">
        <v>559</v>
      </c>
      <c r="C61" s="9" t="s">
        <v>8</v>
      </c>
      <c r="D61" s="52">
        <v>0.5</v>
      </c>
      <c r="E61" s="25" t="s">
        <v>560</v>
      </c>
    </row>
    <row r="62" spans="1:5" x14ac:dyDescent="0.2">
      <c r="A62" s="7" t="s">
        <v>561</v>
      </c>
      <c r="B62" s="8" t="s">
        <v>562</v>
      </c>
      <c r="C62" s="9" t="s">
        <v>8</v>
      </c>
      <c r="D62" s="52">
        <v>2</v>
      </c>
      <c r="E62" s="25" t="s">
        <v>563</v>
      </c>
    </row>
    <row r="63" spans="1:5" x14ac:dyDescent="0.2">
      <c r="A63" s="7" t="s">
        <v>564</v>
      </c>
      <c r="B63" s="8" t="s">
        <v>565</v>
      </c>
      <c r="C63" s="9" t="s">
        <v>8</v>
      </c>
      <c r="D63" s="22">
        <f>carbon_margin_min*CO2_cons/(nCO2_rate*3600)</f>
        <v>1.4669864940973949E-3</v>
      </c>
      <c r="E63" s="23" t="s">
        <v>566</v>
      </c>
    </row>
    <row r="64" spans="1:5" ht="24" x14ac:dyDescent="0.2">
      <c r="A64" s="7" t="s">
        <v>567</v>
      </c>
      <c r="B64" s="8" t="s">
        <v>568</v>
      </c>
      <c r="C64" s="9" t="s">
        <v>8</v>
      </c>
      <c r="D64" s="22">
        <f>O2_net_gen/(target_DO_frac*(O2_ceil_Pa/P_atm))/(nCO2_rate*3600)</f>
        <v>1.4669864940973949E-2</v>
      </c>
      <c r="E64" s="23" t="s">
        <v>569</v>
      </c>
    </row>
    <row r="65" spans="1:5" ht="24" x14ac:dyDescent="0.2">
      <c r="A65" s="7" t="s">
        <v>570</v>
      </c>
      <c r="B65" s="8" t="s">
        <v>571</v>
      </c>
      <c r="C65" s="9" t="s">
        <v>8</v>
      </c>
      <c r="D65" s="22">
        <f>MAX(duty_carbon,duty_O2vent)</f>
        <v>1.4669864940973949E-2</v>
      </c>
      <c r="E65" s="23" t="s">
        <v>572</v>
      </c>
    </row>
    <row r="66" spans="1:5" x14ac:dyDescent="0.2">
      <c r="A66" s="7" t="s">
        <v>573</v>
      </c>
      <c r="B66" s="8" t="s">
        <v>574</v>
      </c>
      <c r="C66" s="9" t="s">
        <v>359</v>
      </c>
      <c r="D66" s="22">
        <f>target_DO_frac*t_O2_ceiling_lag</f>
        <v>3.0836343527293169</v>
      </c>
      <c r="E66" s="23" t="s">
        <v>575</v>
      </c>
    </row>
    <row r="67" spans="1:5" x14ac:dyDescent="0.2">
      <c r="A67" s="7" t="s">
        <v>576</v>
      </c>
      <c r="B67" s="8" t="s">
        <v>577</v>
      </c>
      <c r="C67" s="9" t="s">
        <v>452</v>
      </c>
      <c r="D67" s="55">
        <f>pulse_floor</f>
        <v>0.5</v>
      </c>
      <c r="E67" s="56" t="s">
        <v>578</v>
      </c>
    </row>
    <row r="68" spans="1:5" ht="24" x14ac:dyDescent="0.2">
      <c r="A68" s="7" t="s">
        <v>579</v>
      </c>
      <c r="B68" s="8" t="s">
        <v>580</v>
      </c>
      <c r="C68" s="9" t="s">
        <v>359</v>
      </c>
      <c r="D68" s="55">
        <f>MIN(spg_dur_opt/(60*duty_opt),spg_int_max)</f>
        <v>0.56805794510471297</v>
      </c>
      <c r="E68" s="56" t="s">
        <v>581</v>
      </c>
    </row>
    <row r="69" spans="1:5" x14ac:dyDescent="0.2">
      <c r="A69" s="7" t="s">
        <v>582</v>
      </c>
      <c r="B69" s="8" t="s">
        <v>583</v>
      </c>
      <c r="C69" s="9" t="s">
        <v>452</v>
      </c>
      <c r="D69" s="22">
        <f>spg_int_opt*60</f>
        <v>34.083476706282781</v>
      </c>
      <c r="E69" s="56" t="s">
        <v>584</v>
      </c>
    </row>
    <row r="70" spans="1:5" x14ac:dyDescent="0.2">
      <c r="A70" s="7" t="s">
        <v>585</v>
      </c>
      <c r="B70" s="8" t="s">
        <v>586</v>
      </c>
      <c r="C70" s="9" t="s">
        <v>8</v>
      </c>
      <c r="D70" s="22">
        <f>spg_dur_opt/(spg_int_opt*60)</f>
        <v>1.4669864940973949E-2</v>
      </c>
      <c r="E70" s="23" t="s">
        <v>587</v>
      </c>
    </row>
    <row r="71" spans="1:5" x14ac:dyDescent="0.2">
      <c r="A71" s="7" t="s">
        <v>588</v>
      </c>
      <c r="B71" s="8" t="s">
        <v>589</v>
      </c>
      <c r="C71" s="9" t="s">
        <v>8</v>
      </c>
      <c r="D71" s="22" t="str">
        <f>IF(spg_int_opt&lt;spg_dur_opt/(60*duty_opt)-0.0001,"O2-FREQ",IF(duty_O2vent&gt;=duty_carbon,"O2-VENT","CARBON"))</f>
        <v>O2-VENT</v>
      </c>
      <c r="E71" s="23" t="s">
        <v>590</v>
      </c>
    </row>
    <row r="72" spans="1:5" x14ac:dyDescent="0.2">
      <c r="A72" s="7" t="s">
        <v>591</v>
      </c>
      <c r="B72" s="8" t="s">
        <v>592</v>
      </c>
      <c r="C72" s="9" t="s">
        <v>8</v>
      </c>
      <c r="D72" s="22" t="str">
        <f>IF(spg_int_opt*60-spg_dur_opt&gt;=5,"OK","TIGHT")</f>
        <v>OK</v>
      </c>
      <c r="E72" s="23" t="s">
        <v>593</v>
      </c>
    </row>
    <row r="73" spans="1:5" ht="36" x14ac:dyDescent="0.2">
      <c r="A73" s="7" t="s">
        <v>594</v>
      </c>
      <c r="B73" s="8" t="s">
        <v>595</v>
      </c>
      <c r="C73" s="9" t="s">
        <v>8</v>
      </c>
      <c r="D73" s="22" t="str">
        <f>"see note →"</f>
        <v>see note →</v>
      </c>
      <c r="E73" s="53" t="s">
        <v>596</v>
      </c>
    </row>
    <row r="74" spans="1:5" ht="24" x14ac:dyDescent="0.2">
      <c r="A74" s="7" t="s">
        <v>597</v>
      </c>
      <c r="B74" s="8" t="s">
        <v>598</v>
      </c>
      <c r="C74" s="9" t="s">
        <v>363</v>
      </c>
      <c r="D74" s="52">
        <v>0</v>
      </c>
      <c r="E74" s="53" t="s">
        <v>599</v>
      </c>
    </row>
    <row r="75" spans="1:5" ht="24" x14ac:dyDescent="0.2">
      <c r="A75" s="7" t="s">
        <v>600</v>
      </c>
      <c r="B75" s="8" t="s">
        <v>601</v>
      </c>
      <c r="C75" s="9" t="s">
        <v>459</v>
      </c>
      <c r="D75" s="22">
        <f>IF(kLa_meas&gt;0,kLa_meas/3600,kLa_surf)</f>
        <v>5.4020220542317565E-3</v>
      </c>
      <c r="E75" s="23" t="s">
        <v>602</v>
      </c>
    </row>
    <row r="77" spans="1:5" x14ac:dyDescent="0.2">
      <c r="A77" s="64" t="s">
        <v>176</v>
      </c>
    </row>
    <row r="78" spans="1:5" x14ac:dyDescent="0.2">
      <c r="A78" t="s">
        <v>603</v>
      </c>
      <c r="B78" t="s">
        <v>311</v>
      </c>
      <c r="C78" t="s">
        <v>312</v>
      </c>
      <c r="D78" s="61">
        <f>Biology!$D$20</f>
        <v>0.36370045231761827</v>
      </c>
      <c r="E78" t="s">
        <v>26</v>
      </c>
    </row>
    <row r="79" spans="1:5" x14ac:dyDescent="0.2">
      <c r="A79" t="s">
        <v>604</v>
      </c>
      <c r="B79" t="s">
        <v>308</v>
      </c>
      <c r="C79" t="s">
        <v>252</v>
      </c>
      <c r="D79" s="61">
        <f>Biology!$D$19</f>
        <v>30397.5</v>
      </c>
      <c r="E79" t="s">
        <v>26</v>
      </c>
    </row>
    <row r="80" spans="1:5" x14ac:dyDescent="0.2">
      <c r="A80" t="s">
        <v>247</v>
      </c>
      <c r="B80" t="s">
        <v>248</v>
      </c>
      <c r="C80" t="s">
        <v>249</v>
      </c>
      <c r="D80" s="61">
        <f>Biology!$D$11</f>
        <v>303.14999999999998</v>
      </c>
      <c r="E80" t="s">
        <v>26</v>
      </c>
    </row>
    <row r="81" spans="1:5" x14ac:dyDescent="0.2">
      <c r="A81" t="s">
        <v>250</v>
      </c>
      <c r="B81" t="s">
        <v>251</v>
      </c>
      <c r="C81" t="s">
        <v>252</v>
      </c>
      <c r="D81" s="61">
        <f>Biology!$D$12</f>
        <v>101325</v>
      </c>
      <c r="E81" t="s">
        <v>26</v>
      </c>
    </row>
    <row r="82" spans="1:5" x14ac:dyDescent="0.2">
      <c r="A82" t="s">
        <v>605</v>
      </c>
      <c r="B82" t="s">
        <v>273</v>
      </c>
      <c r="C82" t="s">
        <v>220</v>
      </c>
      <c r="D82" s="61">
        <f>Biology!$D$8</f>
        <v>1.7691808303846464E-5</v>
      </c>
      <c r="E82" t="s">
        <v>26</v>
      </c>
    </row>
    <row r="83" spans="1:5" x14ac:dyDescent="0.2">
      <c r="A83" t="s">
        <v>606</v>
      </c>
      <c r="B83" t="s">
        <v>276</v>
      </c>
      <c r="C83" t="s">
        <v>220</v>
      </c>
      <c r="D83" s="61">
        <f>Biology!$D$9</f>
        <v>1.769180830384646E-5</v>
      </c>
      <c r="E83" t="s">
        <v>26</v>
      </c>
    </row>
    <row r="84" spans="1:5" x14ac:dyDescent="0.2">
      <c r="A84" t="s">
        <v>607</v>
      </c>
      <c r="B84" t="s">
        <v>301</v>
      </c>
      <c r="C84" t="s">
        <v>292</v>
      </c>
      <c r="D84" s="61">
        <f>Biology!$D$17</f>
        <v>1.1964814616913177E-5</v>
      </c>
      <c r="E84" t="s">
        <v>26</v>
      </c>
    </row>
    <row r="85" spans="1:5" x14ac:dyDescent="0.2">
      <c r="A85" t="s">
        <v>608</v>
      </c>
      <c r="B85" t="s">
        <v>609</v>
      </c>
      <c r="C85" t="s">
        <v>452</v>
      </c>
      <c r="D85" s="62">
        <f>Dosing!$D$6</f>
        <v>0.5</v>
      </c>
      <c r="E85" t="s">
        <v>28</v>
      </c>
    </row>
    <row r="86" spans="1:5" x14ac:dyDescent="0.2">
      <c r="A86" t="s">
        <v>610</v>
      </c>
      <c r="B86" t="s">
        <v>611</v>
      </c>
      <c r="C86" t="s">
        <v>220</v>
      </c>
      <c r="D86" s="62">
        <f>Dosing!$D$13</f>
        <v>3.5383616607692934E-4</v>
      </c>
      <c r="E86" t="s">
        <v>28</v>
      </c>
    </row>
    <row r="87" spans="1:5" x14ac:dyDescent="0.2">
      <c r="A87" t="s">
        <v>253</v>
      </c>
      <c r="B87" t="s">
        <v>254</v>
      </c>
      <c r="C87" t="s">
        <v>255</v>
      </c>
      <c r="D87" s="62">
        <f>Dosing!$D$7</f>
        <v>8.3144626180000003</v>
      </c>
      <c r="E87" t="s">
        <v>28</v>
      </c>
    </row>
    <row r="88" spans="1:5" x14ac:dyDescent="0.2">
      <c r="A88" t="s">
        <v>612</v>
      </c>
      <c r="B88" t="s">
        <v>613</v>
      </c>
      <c r="C88" t="s">
        <v>227</v>
      </c>
      <c r="D88" s="62">
        <f>Dosing!$D$3</f>
        <v>10</v>
      </c>
      <c r="E88" t="s">
        <v>28</v>
      </c>
    </row>
    <row r="89" spans="1:5" x14ac:dyDescent="0.2">
      <c r="A89" t="s">
        <v>614</v>
      </c>
      <c r="B89" t="s">
        <v>615</v>
      </c>
      <c r="C89" t="s">
        <v>616</v>
      </c>
      <c r="D89" s="62">
        <f>Dosing!$D$8</f>
        <v>44.009500000000003</v>
      </c>
      <c r="E89" t="s">
        <v>28</v>
      </c>
    </row>
    <row r="90" spans="1:5" x14ac:dyDescent="0.2">
      <c r="A90" t="s">
        <v>617</v>
      </c>
      <c r="B90" t="s">
        <v>618</v>
      </c>
      <c r="C90" t="s">
        <v>619</v>
      </c>
      <c r="D90" s="62">
        <f>Dosing!$D$9</f>
        <v>6.6999815135130135E-6</v>
      </c>
      <c r="E90" t="s">
        <v>28</v>
      </c>
    </row>
    <row r="91" spans="1:5" x14ac:dyDescent="0.2">
      <c r="A91" t="s">
        <v>620</v>
      </c>
      <c r="B91" t="s">
        <v>621</v>
      </c>
      <c r="C91" t="s">
        <v>8</v>
      </c>
      <c r="D91" s="62">
        <f>Dosing!$D$15</f>
        <v>1.4669864940973949E-2</v>
      </c>
      <c r="E91" t="s">
        <v>28</v>
      </c>
    </row>
    <row r="92" spans="1:5" x14ac:dyDescent="0.2">
      <c r="A92" t="s">
        <v>369</v>
      </c>
      <c r="B92" t="s">
        <v>245</v>
      </c>
      <c r="C92" t="s">
        <v>220</v>
      </c>
      <c r="D92" s="63">
        <f>Electrochemistry!$D$22</f>
        <v>5.3075424911539388E-5</v>
      </c>
      <c r="E92" t="s">
        <v>30</v>
      </c>
    </row>
    <row r="93" spans="1:5" x14ac:dyDescent="0.2">
      <c r="A93" t="s">
        <v>622</v>
      </c>
      <c r="B93" t="s">
        <v>156</v>
      </c>
      <c r="C93" t="s">
        <v>91</v>
      </c>
      <c r="D93" s="65">
        <f>Geometry!$D$39</f>
        <v>429.5477251405668</v>
      </c>
      <c r="E93" t="s">
        <v>371</v>
      </c>
    </row>
    <row r="94" spans="1:5" x14ac:dyDescent="0.2">
      <c r="A94" t="s">
        <v>623</v>
      </c>
      <c r="B94" t="s">
        <v>87</v>
      </c>
      <c r="C94" t="s">
        <v>56</v>
      </c>
      <c r="D94" s="65">
        <f>Geometry!$D$15</f>
        <v>25.28</v>
      </c>
      <c r="E94" t="s">
        <v>371</v>
      </c>
    </row>
    <row r="95" spans="1:5" x14ac:dyDescent="0.2">
      <c r="A95" t="s">
        <v>370</v>
      </c>
      <c r="B95" t="s">
        <v>147</v>
      </c>
      <c r="C95" t="s">
        <v>69</v>
      </c>
      <c r="D95" s="65">
        <f>Geometry!$D$36</f>
        <v>15</v>
      </c>
      <c r="E95" t="s">
        <v>371</v>
      </c>
    </row>
    <row r="96" spans="1:5" x14ac:dyDescent="0.2">
      <c r="A96" t="s">
        <v>624</v>
      </c>
      <c r="B96" t="s">
        <v>90</v>
      </c>
      <c r="C96" t="s">
        <v>91</v>
      </c>
      <c r="D96" s="65">
        <f>Geometry!$D$16</f>
        <v>501.93100162697988</v>
      </c>
      <c r="E96" t="s">
        <v>371</v>
      </c>
    </row>
    <row r="97" spans="1:5" x14ac:dyDescent="0.2">
      <c r="A97" t="s">
        <v>625</v>
      </c>
      <c r="B97" t="s">
        <v>119</v>
      </c>
      <c r="C97" t="s">
        <v>56</v>
      </c>
      <c r="D97" s="65">
        <f>Geometry!$D$26</f>
        <v>1.5874999999999999</v>
      </c>
      <c r="E97" t="s">
        <v>371</v>
      </c>
    </row>
    <row r="98" spans="1:5" x14ac:dyDescent="0.2">
      <c r="A98" t="s">
        <v>626</v>
      </c>
      <c r="B98" t="s">
        <v>171</v>
      </c>
      <c r="C98" t="s">
        <v>69</v>
      </c>
      <c r="D98" s="65">
        <f>Geometry!$D$44</f>
        <v>2.6124284559171356</v>
      </c>
      <c r="E98" t="s">
        <v>371</v>
      </c>
    </row>
    <row r="99" spans="1:5" x14ac:dyDescent="0.2">
      <c r="A99" t="s">
        <v>627</v>
      </c>
      <c r="B99" t="s">
        <v>16</v>
      </c>
      <c r="C99" t="s">
        <v>17</v>
      </c>
      <c r="D99">
        <f>Summary!$D$5</f>
        <v>0</v>
      </c>
      <c r="E99" t="s">
        <v>178</v>
      </c>
    </row>
    <row r="100" spans="1:5" x14ac:dyDescent="0.2">
      <c r="A100" t="s">
        <v>628</v>
      </c>
      <c r="B100" t="s">
        <v>12</v>
      </c>
      <c r="C100" t="s">
        <v>8</v>
      </c>
      <c r="D100" t="str">
        <f>Summary!$D$4</f>
        <v>Tube</v>
      </c>
      <c r="E100" t="s">
        <v>178</v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7" priority="1" operator="equal">
      <formula>"OK"</formula>
    </cfRule>
    <cfRule type="cellIs" dxfId="6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dxfId="5" priority="3" operator="equal">
      <formula>"Static"</formula>
    </cfRule>
    <cfRule type="cellIs" dxfId="4" priority="4" operator="equal">
      <formula>"Dynamic"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E31"/>
  <sheetViews>
    <sheetView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5" ht="16" x14ac:dyDescent="0.2">
      <c r="A1" s="57" t="s">
        <v>629</v>
      </c>
    </row>
    <row r="2" spans="1:5" x14ac:dyDescent="0.2">
      <c r="A2" s="58" t="s">
        <v>1</v>
      </c>
      <c r="B2" s="58" t="s">
        <v>2</v>
      </c>
      <c r="C2" s="58" t="s">
        <v>3</v>
      </c>
      <c r="D2" s="58" t="s">
        <v>4</v>
      </c>
      <c r="E2" s="58" t="s">
        <v>5</v>
      </c>
    </row>
    <row r="3" spans="1:5" x14ac:dyDescent="0.2">
      <c r="A3" s="7" t="s">
        <v>630</v>
      </c>
      <c r="B3" s="8" t="s">
        <v>613</v>
      </c>
      <c r="C3" s="9" t="s">
        <v>227</v>
      </c>
      <c r="D3" s="31">
        <v>10</v>
      </c>
      <c r="E3" s="10" t="s">
        <v>631</v>
      </c>
    </row>
    <row r="4" spans="1:5" ht="24" x14ac:dyDescent="0.2">
      <c r="A4" s="7" t="s">
        <v>632</v>
      </c>
      <c r="B4" s="8" t="s">
        <v>633</v>
      </c>
      <c r="C4" s="9" t="s">
        <v>452</v>
      </c>
      <c r="D4" s="32">
        <f>IF(sched_mode="Optimal",spg_dur_opt,IF(sched_mode="Manual",spg_dur_man,NA()))</f>
        <v>0.5</v>
      </c>
      <c r="E4" s="10" t="s">
        <v>634</v>
      </c>
    </row>
    <row r="5" spans="1:5" ht="24" x14ac:dyDescent="0.2">
      <c r="A5" s="7" t="s">
        <v>635</v>
      </c>
      <c r="B5" s="8" t="s">
        <v>636</v>
      </c>
      <c r="C5" s="9" t="s">
        <v>359</v>
      </c>
      <c r="D5" s="32">
        <f>IF(sched_mode="Optimal",spg_int_opt,IF(sched_mode="Manual",spg_int_man,NA()))</f>
        <v>0.56805794510471297</v>
      </c>
      <c r="E5" s="10" t="s">
        <v>637</v>
      </c>
    </row>
    <row r="6" spans="1:5" x14ac:dyDescent="0.2">
      <c r="A6" s="7" t="s">
        <v>638</v>
      </c>
      <c r="B6" s="8" t="s">
        <v>609</v>
      </c>
      <c r="C6" s="9" t="s">
        <v>452</v>
      </c>
      <c r="D6" s="24">
        <v>0.5</v>
      </c>
      <c r="E6" s="15" t="s">
        <v>639</v>
      </c>
    </row>
    <row r="7" spans="1:5" x14ac:dyDescent="0.2">
      <c r="A7" s="7" t="s">
        <v>640</v>
      </c>
      <c r="B7" s="8" t="s">
        <v>254</v>
      </c>
      <c r="C7" s="9" t="s">
        <v>255</v>
      </c>
      <c r="D7" s="47">
        <v>8.3144626180000003</v>
      </c>
      <c r="E7" s="17" t="s">
        <v>201</v>
      </c>
    </row>
    <row r="8" spans="1:5" x14ac:dyDescent="0.2">
      <c r="A8" s="7" t="s">
        <v>641</v>
      </c>
      <c r="B8" s="8" t="s">
        <v>615</v>
      </c>
      <c r="C8" s="9" t="s">
        <v>616</v>
      </c>
      <c r="D8" s="48">
        <v>44.009500000000003</v>
      </c>
      <c r="E8" s="17" t="s">
        <v>642</v>
      </c>
    </row>
    <row r="9" spans="1:5" x14ac:dyDescent="0.2">
      <c r="A9" s="7" t="s">
        <v>643</v>
      </c>
      <c r="B9" s="8" t="s">
        <v>618</v>
      </c>
      <c r="C9" s="9" t="s">
        <v>619</v>
      </c>
      <c r="D9" s="49">
        <f>P_atm*(Q_CO2/1000000/60)/(R_gas*T_K)</f>
        <v>6.6999815135130135E-6</v>
      </c>
      <c r="E9" s="14" t="s">
        <v>644</v>
      </c>
    </row>
    <row r="10" spans="1:5" x14ac:dyDescent="0.2">
      <c r="A10" s="7" t="s">
        <v>645</v>
      </c>
      <c r="B10" s="8" t="s">
        <v>646</v>
      </c>
      <c r="C10" s="9" t="s">
        <v>647</v>
      </c>
      <c r="D10" s="46">
        <f>nCO2_rate*spg_dur</f>
        <v>3.3499907567565068E-6</v>
      </c>
      <c r="E10" s="14" t="s">
        <v>648</v>
      </c>
    </row>
    <row r="11" spans="1:5" x14ac:dyDescent="0.2">
      <c r="A11" s="7" t="s">
        <v>649</v>
      </c>
      <c r="B11" s="8" t="s">
        <v>650</v>
      </c>
      <c r="C11" s="9" t="s">
        <v>363</v>
      </c>
      <c r="D11" s="32">
        <f>60/spg_int</f>
        <v>105.62302757501244</v>
      </c>
      <c r="E11" s="14" t="s">
        <v>651</v>
      </c>
    </row>
    <row r="12" spans="1:5" x14ac:dyDescent="0.2">
      <c r="A12" s="7" t="s">
        <v>652</v>
      </c>
      <c r="B12" s="8" t="s">
        <v>653</v>
      </c>
      <c r="C12" s="9" t="s">
        <v>654</v>
      </c>
      <c r="D12" s="33">
        <f>pulses_h*24</f>
        <v>2534.9526618002988</v>
      </c>
      <c r="E12" s="14"/>
    </row>
    <row r="13" spans="1:5" x14ac:dyDescent="0.2">
      <c r="A13" s="16" t="s">
        <v>655</v>
      </c>
      <c r="B13" s="8" t="s">
        <v>611</v>
      </c>
      <c r="C13" s="9" t="s">
        <v>220</v>
      </c>
      <c r="D13" s="22">
        <f>CO2_pulse*pulses_h</f>
        <v>3.5383616607692934E-4</v>
      </c>
      <c r="E13" s="14" t="s">
        <v>656</v>
      </c>
    </row>
    <row r="14" spans="1:5" ht="24" x14ac:dyDescent="0.2">
      <c r="A14" s="16" t="s">
        <v>657</v>
      </c>
      <c r="B14" s="8" t="s">
        <v>658</v>
      </c>
      <c r="C14" s="9" t="s">
        <v>337</v>
      </c>
      <c r="D14" s="32">
        <f>IF(CO2_cons&gt;0,CO2_supply/CO2_cons,NA())</f>
        <v>20.000000000000004</v>
      </c>
      <c r="E14" s="14" t="s">
        <v>659</v>
      </c>
    </row>
    <row r="15" spans="1:5" x14ac:dyDescent="0.2">
      <c r="A15" s="16" t="s">
        <v>660</v>
      </c>
      <c r="B15" s="8" t="s">
        <v>621</v>
      </c>
      <c r="C15" s="9" t="s">
        <v>8</v>
      </c>
      <c r="D15" s="37">
        <f>spg_dur/(spg_int*60)</f>
        <v>1.4669864940973949E-2</v>
      </c>
      <c r="E15" s="14" t="s">
        <v>661</v>
      </c>
    </row>
    <row r="16" spans="1:5" x14ac:dyDescent="0.2">
      <c r="A16" s="7" t="s">
        <v>662</v>
      </c>
      <c r="B16" s="8" t="s">
        <v>663</v>
      </c>
      <c r="C16" s="9" t="s">
        <v>647</v>
      </c>
      <c r="D16" s="46">
        <f>O2_excess/60*spg_int</f>
        <v>1.6749953783782527E-7</v>
      </c>
      <c r="E16" s="14" t="s">
        <v>664</v>
      </c>
    </row>
    <row r="17" spans="1:5" x14ac:dyDescent="0.2">
      <c r="A17" s="7" t="s">
        <v>665</v>
      </c>
      <c r="B17" s="8" t="s">
        <v>666</v>
      </c>
      <c r="C17" s="9" t="s">
        <v>647</v>
      </c>
      <c r="D17" s="46">
        <f>strip_sparge/3600*spg_dur</f>
        <v>2.2525399479580415E-9</v>
      </c>
      <c r="E17" s="20" t="s">
        <v>667</v>
      </c>
    </row>
    <row r="18" spans="1:5" ht="24" x14ac:dyDescent="0.2">
      <c r="A18" s="16" t="s">
        <v>668</v>
      </c>
      <c r="B18" s="8" t="s">
        <v>669</v>
      </c>
      <c r="C18" s="9" t="s">
        <v>337</v>
      </c>
      <c r="D18" s="36">
        <f>IF(O2_accum&gt;0,O2_strip_pulse/O2_accum,NA())</f>
        <v>1.3448036794817746E-2</v>
      </c>
      <c r="E18" s="20" t="s">
        <v>670</v>
      </c>
    </row>
    <row r="19" spans="1:5" x14ac:dyDescent="0.2">
      <c r="A19" s="16" t="s">
        <v>671</v>
      </c>
      <c r="B19" s="8" t="s">
        <v>672</v>
      </c>
      <c r="C19" s="9" t="s">
        <v>8</v>
      </c>
      <c r="D19" s="45" t="str">
        <f>IF(spg_dur&gt;=pulse_floor,"OK","LOW")</f>
        <v>OK</v>
      </c>
      <c r="E19" s="10" t="s">
        <v>673</v>
      </c>
    </row>
    <row r="21" spans="1:5" x14ac:dyDescent="0.2">
      <c r="A21" s="64" t="s">
        <v>176</v>
      </c>
    </row>
    <row r="22" spans="1:5" x14ac:dyDescent="0.2">
      <c r="A22" t="s">
        <v>606</v>
      </c>
      <c r="B22" t="s">
        <v>276</v>
      </c>
      <c r="C22" t="s">
        <v>220</v>
      </c>
      <c r="D22" s="61">
        <f>Biology!$D$9</f>
        <v>1.769180830384646E-5</v>
      </c>
      <c r="E22" t="s">
        <v>26</v>
      </c>
    </row>
    <row r="23" spans="1:5" x14ac:dyDescent="0.2">
      <c r="A23" t="s">
        <v>247</v>
      </c>
      <c r="B23" t="s">
        <v>248</v>
      </c>
      <c r="C23" t="s">
        <v>249</v>
      </c>
      <c r="D23" s="61">
        <f>Biology!$D$11</f>
        <v>303.14999999999998</v>
      </c>
      <c r="E23" t="s">
        <v>26</v>
      </c>
    </row>
    <row r="24" spans="1:5" x14ac:dyDescent="0.2">
      <c r="A24" t="s">
        <v>250</v>
      </c>
      <c r="B24" t="s">
        <v>251</v>
      </c>
      <c r="C24" t="s">
        <v>252</v>
      </c>
      <c r="D24" s="61">
        <f>Biology!$D$12</f>
        <v>101325</v>
      </c>
      <c r="E24" t="s">
        <v>26</v>
      </c>
    </row>
    <row r="25" spans="1:5" x14ac:dyDescent="0.2">
      <c r="A25" t="s">
        <v>605</v>
      </c>
      <c r="B25" t="s">
        <v>273</v>
      </c>
      <c r="C25" t="s">
        <v>220</v>
      </c>
      <c r="D25" s="61">
        <f>Biology!$D$8</f>
        <v>1.7691808303846464E-5</v>
      </c>
      <c r="E25" t="s">
        <v>26</v>
      </c>
    </row>
    <row r="26" spans="1:5" x14ac:dyDescent="0.2">
      <c r="A26" t="s">
        <v>674</v>
      </c>
      <c r="B26" t="s">
        <v>556</v>
      </c>
      <c r="C26" t="s">
        <v>359</v>
      </c>
      <c r="D26" s="60">
        <f>'Mass Transfer'!$D$60</f>
        <v>1</v>
      </c>
      <c r="E26" t="s">
        <v>21</v>
      </c>
    </row>
    <row r="27" spans="1:5" x14ac:dyDescent="0.2">
      <c r="A27" t="s">
        <v>675</v>
      </c>
      <c r="B27" t="s">
        <v>549</v>
      </c>
      <c r="C27" t="s">
        <v>8</v>
      </c>
      <c r="D27" s="60" t="str">
        <f>'Mass Transfer'!$D$58</f>
        <v>Optimal</v>
      </c>
      <c r="E27" t="s">
        <v>21</v>
      </c>
    </row>
    <row r="28" spans="1:5" x14ac:dyDescent="0.2">
      <c r="A28" t="s">
        <v>676</v>
      </c>
      <c r="B28" t="s">
        <v>577</v>
      </c>
      <c r="C28" t="s">
        <v>452</v>
      </c>
      <c r="D28" s="60">
        <f>'Mass Transfer'!$D$67</f>
        <v>0.5</v>
      </c>
      <c r="E28" t="s">
        <v>21</v>
      </c>
    </row>
    <row r="29" spans="1:5" x14ac:dyDescent="0.2">
      <c r="A29" t="s">
        <v>677</v>
      </c>
      <c r="B29" t="s">
        <v>465</v>
      </c>
      <c r="C29" t="s">
        <v>220</v>
      </c>
      <c r="D29" s="60">
        <f>'Mass Transfer'!$D$30</f>
        <v>1.62182876252979E-5</v>
      </c>
      <c r="E29" t="s">
        <v>21</v>
      </c>
    </row>
    <row r="30" spans="1:5" x14ac:dyDescent="0.2">
      <c r="A30" t="s">
        <v>678</v>
      </c>
      <c r="B30" t="s">
        <v>553</v>
      </c>
      <c r="C30" t="s">
        <v>452</v>
      </c>
      <c r="D30" s="60">
        <f>'Mass Transfer'!$D$59</f>
        <v>1</v>
      </c>
      <c r="E30" t="s">
        <v>21</v>
      </c>
    </row>
    <row r="31" spans="1:5" x14ac:dyDescent="0.2">
      <c r="A31" t="s">
        <v>679</v>
      </c>
      <c r="B31" t="s">
        <v>580</v>
      </c>
      <c r="C31" t="s">
        <v>359</v>
      </c>
      <c r="D31" s="60">
        <f>'Mass Transfer'!$D$68</f>
        <v>0.56805794510471297</v>
      </c>
      <c r="E31" t="s">
        <v>21</v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dxfId="1" priority="1" operator="equal">
      <formula>"OK"</formula>
    </cfRule>
    <cfRule type="cellIs" dxfId="0" priority="2" operator="equal">
      <formula>"LOW"</formula>
    </cfRule>
  </conditionalFormatting>
  <dataValidations count="1">
    <dataValidation type="list" showErrorMessage="1" sqref="D58" xr:uid="{00000000-0002-0000-0500-000000000000}">
      <formula1>"Manual,Optimal"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FAB0-C2B4-BD42-82F1-F99A8EE0BD9C}">
  <dimension ref="A1:D46"/>
  <sheetViews>
    <sheetView tabSelected="1" workbookViewId="0">
      <selection activeCell="F5" sqref="F5"/>
    </sheetView>
  </sheetViews>
  <sheetFormatPr baseColWidth="10" defaultRowHeight="15" x14ac:dyDescent="0.2"/>
  <sheetData>
    <row r="1" spans="1:4" x14ac:dyDescent="0.2">
      <c r="A1" t="s">
        <v>680</v>
      </c>
    </row>
    <row r="3" spans="1:4" x14ac:dyDescent="0.2">
      <c r="A3" t="s">
        <v>681</v>
      </c>
      <c r="C3" t="s">
        <v>682</v>
      </c>
      <c r="D3" t="s">
        <v>452</v>
      </c>
    </row>
    <row r="4" spans="1:4" x14ac:dyDescent="0.2">
      <c r="A4" t="s">
        <v>683</v>
      </c>
      <c r="B4">
        <v>0</v>
      </c>
    </row>
    <row r="5" spans="1:4" x14ac:dyDescent="0.2">
      <c r="B5">
        <v>50</v>
      </c>
      <c r="C5">
        <f>B5-B4</f>
        <v>50</v>
      </c>
      <c r="D5">
        <v>15</v>
      </c>
    </row>
    <row r="6" spans="1:4" x14ac:dyDescent="0.2">
      <c r="B6">
        <v>0</v>
      </c>
    </row>
    <row r="7" spans="1:4" x14ac:dyDescent="0.2">
      <c r="B7">
        <v>12</v>
      </c>
      <c r="C7">
        <f>B7-B6</f>
        <v>12</v>
      </c>
      <c r="D7">
        <v>4</v>
      </c>
    </row>
    <row r="8" spans="1:4" x14ac:dyDescent="0.2">
      <c r="B8">
        <v>26</v>
      </c>
      <c r="C8">
        <f t="shared" ref="C8:C46" si="0">B8-B7</f>
        <v>14</v>
      </c>
      <c r="D8">
        <v>4</v>
      </c>
    </row>
    <row r="9" spans="1:4" x14ac:dyDescent="0.2">
      <c r="B9">
        <v>40</v>
      </c>
      <c r="C9">
        <f t="shared" si="0"/>
        <v>14</v>
      </c>
      <c r="D9">
        <v>4</v>
      </c>
    </row>
    <row r="10" spans="1:4" x14ac:dyDescent="0.2">
      <c r="B10">
        <v>0</v>
      </c>
    </row>
    <row r="11" spans="1:4" x14ac:dyDescent="0.2">
      <c r="B11">
        <v>6</v>
      </c>
      <c r="C11">
        <f t="shared" si="0"/>
        <v>6</v>
      </c>
      <c r="D11">
        <v>2</v>
      </c>
    </row>
    <row r="12" spans="1:4" x14ac:dyDescent="0.2">
      <c r="B12">
        <v>15</v>
      </c>
      <c r="C12">
        <f t="shared" si="0"/>
        <v>9</v>
      </c>
      <c r="D12">
        <v>2</v>
      </c>
    </row>
    <row r="13" spans="1:4" x14ac:dyDescent="0.2">
      <c r="B13">
        <v>21</v>
      </c>
      <c r="C13">
        <f t="shared" si="0"/>
        <v>6</v>
      </c>
      <c r="D13">
        <v>2</v>
      </c>
    </row>
    <row r="14" spans="1:4" x14ac:dyDescent="0.2">
      <c r="B14">
        <v>29</v>
      </c>
      <c r="C14">
        <f t="shared" si="0"/>
        <v>8</v>
      </c>
      <c r="D14">
        <v>2</v>
      </c>
    </row>
    <row r="15" spans="1:4" x14ac:dyDescent="0.2">
      <c r="B15">
        <v>35</v>
      </c>
      <c r="C15">
        <f t="shared" si="0"/>
        <v>6</v>
      </c>
      <c r="D15">
        <v>2</v>
      </c>
    </row>
    <row r="16" spans="1:4" x14ac:dyDescent="0.2">
      <c r="B16">
        <v>45</v>
      </c>
      <c r="C16">
        <f t="shared" si="0"/>
        <v>10</v>
      </c>
      <c r="D16">
        <v>2</v>
      </c>
    </row>
    <row r="17" spans="2:4" x14ac:dyDescent="0.2">
      <c r="B17">
        <v>0</v>
      </c>
    </row>
    <row r="18" spans="2:4" x14ac:dyDescent="0.2">
      <c r="B18">
        <v>4</v>
      </c>
      <c r="C18">
        <f t="shared" si="0"/>
        <v>4</v>
      </c>
      <c r="D18">
        <v>1</v>
      </c>
    </row>
    <row r="19" spans="2:4" x14ac:dyDescent="0.2">
      <c r="B19">
        <v>8</v>
      </c>
      <c r="C19">
        <f t="shared" si="0"/>
        <v>4</v>
      </c>
      <c r="D19">
        <v>1</v>
      </c>
    </row>
    <row r="20" spans="2:4" x14ac:dyDescent="0.2">
      <c r="B20">
        <v>11</v>
      </c>
      <c r="C20">
        <f t="shared" si="0"/>
        <v>3</v>
      </c>
      <c r="D20">
        <v>1</v>
      </c>
    </row>
    <row r="21" spans="2:4" x14ac:dyDescent="0.2">
      <c r="B21">
        <v>15</v>
      </c>
      <c r="C21">
        <f t="shared" si="0"/>
        <v>4</v>
      </c>
      <c r="D21">
        <v>1</v>
      </c>
    </row>
    <row r="22" spans="2:4" x14ac:dyDescent="0.2">
      <c r="B22">
        <v>19</v>
      </c>
      <c r="C22">
        <f t="shared" si="0"/>
        <v>4</v>
      </c>
      <c r="D22">
        <v>1</v>
      </c>
    </row>
    <row r="23" spans="2:4" x14ac:dyDescent="0.2">
      <c r="B23">
        <v>23</v>
      </c>
      <c r="C23">
        <f t="shared" si="0"/>
        <v>4</v>
      </c>
      <c r="D23">
        <v>1</v>
      </c>
    </row>
    <row r="24" spans="2:4" x14ac:dyDescent="0.2">
      <c r="B24">
        <v>31</v>
      </c>
    </row>
    <row r="25" spans="2:4" x14ac:dyDescent="0.2">
      <c r="B25">
        <v>33</v>
      </c>
      <c r="C25">
        <f t="shared" si="0"/>
        <v>2</v>
      </c>
      <c r="D25">
        <v>0.5</v>
      </c>
    </row>
    <row r="26" spans="2:4" x14ac:dyDescent="0.2">
      <c r="B26">
        <v>35</v>
      </c>
      <c r="C26">
        <f t="shared" si="0"/>
        <v>2</v>
      </c>
      <c r="D26">
        <v>0.5</v>
      </c>
    </row>
    <row r="27" spans="2:4" x14ac:dyDescent="0.2">
      <c r="B27">
        <v>37</v>
      </c>
      <c r="C27">
        <f t="shared" si="0"/>
        <v>2</v>
      </c>
      <c r="D27">
        <v>0.5</v>
      </c>
    </row>
    <row r="28" spans="2:4" x14ac:dyDescent="0.2">
      <c r="B28">
        <v>39</v>
      </c>
      <c r="C28">
        <f t="shared" si="0"/>
        <v>2</v>
      </c>
      <c r="D28">
        <v>0.5</v>
      </c>
    </row>
    <row r="29" spans="2:4" x14ac:dyDescent="0.2">
      <c r="B29">
        <v>41</v>
      </c>
      <c r="C29">
        <f t="shared" si="0"/>
        <v>2</v>
      </c>
      <c r="D29">
        <v>0.5</v>
      </c>
    </row>
    <row r="30" spans="2:4" x14ac:dyDescent="0.2">
      <c r="B30">
        <v>42</v>
      </c>
      <c r="C30">
        <f t="shared" si="0"/>
        <v>1</v>
      </c>
      <c r="D30">
        <v>0.25</v>
      </c>
    </row>
    <row r="31" spans="2:4" x14ac:dyDescent="0.2">
      <c r="B31">
        <v>43</v>
      </c>
      <c r="C31">
        <f t="shared" si="0"/>
        <v>1</v>
      </c>
      <c r="D31">
        <v>0.25</v>
      </c>
    </row>
    <row r="32" spans="2:4" x14ac:dyDescent="0.2">
      <c r="B32">
        <v>44</v>
      </c>
      <c r="C32">
        <f t="shared" si="0"/>
        <v>1</v>
      </c>
      <c r="D32">
        <v>0.25</v>
      </c>
    </row>
    <row r="33" spans="2:4" x14ac:dyDescent="0.2">
      <c r="B33">
        <v>45</v>
      </c>
      <c r="C33">
        <f t="shared" si="0"/>
        <v>1</v>
      </c>
      <c r="D33">
        <v>0.25</v>
      </c>
    </row>
    <row r="34" spans="2:4" x14ac:dyDescent="0.2">
      <c r="B34">
        <v>46</v>
      </c>
      <c r="C34">
        <f t="shared" si="0"/>
        <v>1</v>
      </c>
      <c r="D34">
        <v>0.25</v>
      </c>
    </row>
    <row r="35" spans="2:4" x14ac:dyDescent="0.2">
      <c r="B35">
        <v>0</v>
      </c>
      <c r="C35">
        <f t="shared" si="0"/>
        <v>-46</v>
      </c>
    </row>
    <row r="36" spans="2:4" x14ac:dyDescent="0.2">
      <c r="B36">
        <v>0.4</v>
      </c>
      <c r="C36">
        <f t="shared" si="0"/>
        <v>0.4</v>
      </c>
      <c r="D36">
        <v>0.2</v>
      </c>
    </row>
    <row r="37" spans="2:4" x14ac:dyDescent="0.2">
      <c r="B37">
        <v>1.2</v>
      </c>
      <c r="C37">
        <f t="shared" si="0"/>
        <v>0.79999999999999993</v>
      </c>
      <c r="D37">
        <v>0.2</v>
      </c>
    </row>
    <row r="38" spans="2:4" x14ac:dyDescent="0.2">
      <c r="B38">
        <v>2.2000000000000002</v>
      </c>
      <c r="C38">
        <f t="shared" si="0"/>
        <v>1.0000000000000002</v>
      </c>
      <c r="D38">
        <v>0.2</v>
      </c>
    </row>
    <row r="39" spans="2:4" x14ac:dyDescent="0.2">
      <c r="B39">
        <v>3</v>
      </c>
      <c r="C39">
        <f t="shared" si="0"/>
        <v>0.79999999999999982</v>
      </c>
      <c r="D39">
        <v>0.2</v>
      </c>
    </row>
    <row r="40" spans="2:4" x14ac:dyDescent="0.2">
      <c r="B40">
        <v>0</v>
      </c>
    </row>
    <row r="41" spans="2:4" x14ac:dyDescent="0.2">
      <c r="B41">
        <v>0.4</v>
      </c>
      <c r="C41">
        <f t="shared" si="0"/>
        <v>0.4</v>
      </c>
      <c r="D41">
        <v>0.1</v>
      </c>
    </row>
    <row r="42" spans="2:4" x14ac:dyDescent="0.2">
      <c r="B42">
        <v>0.8</v>
      </c>
      <c r="C42">
        <f t="shared" si="0"/>
        <v>0.4</v>
      </c>
      <c r="D42">
        <v>0.1</v>
      </c>
    </row>
    <row r="43" spans="2:4" x14ac:dyDescent="0.2">
      <c r="B43">
        <v>1.4</v>
      </c>
      <c r="C43">
        <f t="shared" si="0"/>
        <v>0.59999999999999987</v>
      </c>
      <c r="D43">
        <v>0.1</v>
      </c>
    </row>
    <row r="44" spans="2:4" x14ac:dyDescent="0.2">
      <c r="B44">
        <v>2</v>
      </c>
      <c r="C44">
        <f t="shared" si="0"/>
        <v>0.60000000000000009</v>
      </c>
      <c r="D44">
        <v>0.1</v>
      </c>
    </row>
    <row r="45" spans="2:4" x14ac:dyDescent="0.2">
      <c r="B45">
        <v>2.6</v>
      </c>
      <c r="C45">
        <f t="shared" si="0"/>
        <v>0.60000000000000009</v>
      </c>
      <c r="D45">
        <v>0.1</v>
      </c>
    </row>
    <row r="46" spans="2:4" x14ac:dyDescent="0.2">
      <c r="B46">
        <v>2.8</v>
      </c>
      <c r="C46">
        <f t="shared" si="0"/>
        <v>0.19999999999999973</v>
      </c>
      <c r="D46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231</vt:i4>
      </vt:variant>
    </vt:vector>
  </HeadingPairs>
  <TitlesOfParts>
    <vt:vector size="238" baseType="lpstr">
      <vt:lpstr>Summary</vt:lpstr>
      <vt:lpstr>Geometry</vt:lpstr>
      <vt:lpstr>Electrochemistry</vt:lpstr>
      <vt:lpstr>Biology</vt:lpstr>
      <vt:lpstr>Mass Transfer</vt:lpstr>
      <vt:lpstr>Dosing</vt:lpstr>
      <vt:lpstr>Angella Flow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'Mass Transfer'!bubble_regime</vt:lpstr>
      <vt:lpstr>Biology!C_H2_sat</vt:lpstr>
      <vt:lpstr>'Mass Transfer'!carbon_margin_min</vt:lpstr>
      <vt:lpstr>'Mass Transfer'!carry_flag</vt:lpstr>
      <vt:lpstr>Biology!CO2_carbon_margin</vt:lpstr>
      <vt:lpstr>Biology!CO2_cons</vt:lpstr>
      <vt:lpstr>Dosing!CO2_cons</vt:lpstr>
      <vt:lpstr>'Mass Transfer'!CO2_cons</vt:lpstr>
      <vt:lpstr>Biology!CO2_diss</vt:lpstr>
      <vt:lpstr>Dosing!CO2_pulse</vt:lpstr>
      <vt:lpstr>Dosing!CO2_sd_ratio</vt:lpstr>
      <vt:lpstr>Dosing!CO2_supply</vt:lpstr>
      <vt:lpstr>'Mass Transfer'!CO2_supply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Geometry!disp_tot</vt:lpstr>
      <vt:lpstr>'Mass Transfer'!DO_vent_eq</vt:lpstr>
      <vt:lpstr>Dosing!dur_ok</vt:lpstr>
      <vt:lpstr>Dosing!duty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Electrochemistry!etaF</vt:lpstr>
      <vt:lpstr>Electrochemistry!etaF_OER</vt:lpstr>
      <vt:lpstr>Electrochemistry!F_const</vt:lpstr>
      <vt:lpstr>'Mass Transfer'!g_const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Geometry!headspace_V</vt:lpstr>
      <vt:lpstr>'Mass Transfer'!headspace_V</vt:lpstr>
      <vt:lpstr>'Mass Transfer'!holdup</vt:lpstr>
      <vt:lpstr>'Mass Transfer'!hs_flush_time</vt:lpstr>
      <vt:lpstr>Electrochemistry!I_app</vt:lpstr>
      <vt:lpstr>Electrochemistry!I_valid</vt:lpstr>
      <vt:lpstr>Electrochemistry!intensity</vt:lpstr>
      <vt:lpstr>Geometry!interface_A</vt:lpstr>
      <vt:lpstr>'Mass Transfer'!interface_A</vt:lpstr>
      <vt:lpstr>Biology!Ka1_carb</vt:lpstr>
      <vt:lpstr>'Mass Transfer'!kinetic_caveat</vt:lpstr>
      <vt:lpstr>'Mass Transfer'!kL</vt:lpstr>
      <vt:lpstr>'Mass Transfer'!kL_surf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Dosing!M_CO2</vt:lpstr>
      <vt:lpstr>'Mass Transfer'!M_CO2</vt:lpstr>
      <vt:lpstr>'Mass Transfer'!mend_a</vt:lpstr>
      <vt:lpstr>'Mass Transfer'!mend_b</vt:lpstr>
      <vt:lpstr>'Mass Transfer'!n_pores_active</vt:lpstr>
      <vt:lpstr>Dosing!nCO2_rate</vt:lpstr>
      <vt:lpstr>'Mass Transfer'!nCO2_rate</vt:lpstr>
      <vt:lpstr>Dosing!O2_accum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Dosing!O2_excess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Dosing!O2_strip_pulse</vt:lpstr>
      <vt:lpstr>'Mass Transfer'!od_ok</vt:lpstr>
      <vt:lpstr>'Mass Transfer'!opt_binding</vt:lpstr>
      <vt:lpstr>Biology!P_atm</vt:lpstr>
      <vt:lpstr>Dosing!P_atm</vt:lpstr>
      <vt:lpstr>Electrochemistry!P_atm</vt:lpstr>
      <vt:lpstr>'Mass Transfer'!P_atm</vt:lpstr>
      <vt:lpstr>Biology!p_CO2_sparge</vt:lpstr>
      <vt:lpstr>Biology!Pa_per_atm</vt:lpstr>
      <vt:lpstr>Biology!pH_CO2_unbuf</vt:lpstr>
      <vt:lpstr>'Mass Transfer'!por_grade</vt:lpstr>
      <vt:lpstr>Summary!por_grade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Dosing!pulse_floor</vt:lpstr>
      <vt:lpstr>'Mass Transfer'!pulse_floor</vt:lpstr>
      <vt:lpstr>Dosing!pulses_d</vt:lpstr>
      <vt:lpstr>Dosing!pulses_h</vt:lpstr>
      <vt:lpstr>Dosing!Q_CO2</vt:lpstr>
      <vt:lpstr>'Mass Transfer'!Q_CO2</vt:lpstr>
      <vt:lpstr>Dosing!R_gas</vt:lpstr>
      <vt:lpstr>Electrochemistry!R_gas</vt:lpstr>
      <vt:lpstr>'Mass Transfer'!R_gas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Summary!rx_ver</vt:lpstr>
      <vt:lpstr>'Mass Transfer'!s_renew</vt:lpstr>
      <vt:lpstr>Dosing!sched_bal</vt:lpstr>
      <vt:lpstr>Dosing!sched_mode</vt:lpstr>
      <vt:lpstr>'Mass Transfer'!sched_mode</vt:lpstr>
      <vt:lpstr>'Mass Transfer'!sigma</vt:lpstr>
      <vt:lpstr>Geometry!sparge_depth</vt:lpstr>
      <vt:lpstr>'Mass Transfer'!sparger</vt:lpstr>
      <vt:lpstr>Summary!sparger</vt:lpstr>
      <vt:lpstr>Geometry!spg_disp</vt:lpstr>
      <vt:lpstr>Dosing!spg_dur</vt:lpstr>
      <vt:lpstr>Dosing!spg_dur_man</vt:lpstr>
      <vt:lpstr>'Mass Transfer'!spg_dur_man</vt:lpstr>
      <vt:lpstr>Dosing!spg_dur_opt</vt:lpstr>
      <vt:lpstr>'Mass Transfer'!spg_dur_opt</vt:lpstr>
      <vt:lpstr>Geometry!spg_ID</vt:lpstr>
      <vt:lpstr>'Mass Transfer'!spg_ID</vt:lpstr>
      <vt:lpstr>Dosing!spg_int</vt:lpstr>
      <vt:lpstr>Dosing!spg_int_man</vt:lpstr>
      <vt:lpstr>'Mass Transfer'!spg_int_man</vt:lpstr>
      <vt:lpstr>'Mass Transfer'!spg_int_max</vt:lpstr>
      <vt:lpstr>Dosing!spg_int_opt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Transfer'!stir_len</vt:lpstr>
      <vt:lpstr>'Mass Transfer'!stir_rpm</vt:lpstr>
      <vt:lpstr>'Mass Transfer'!strip_avg</vt:lpstr>
      <vt:lpstr>'Mass Transfer'!strip_ratio</vt:lpstr>
      <vt:lpstr>Dosing!strip_sparge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Dosing!T_K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'Mass Transfer'!tip_speed</vt:lpstr>
      <vt:lpstr>'Mass Transfer'!tube_d_m</vt:lpstr>
      <vt:lpstr>'Mass Transfer'!u_g_max</vt:lpstr>
      <vt:lpstr>'Mass Transfer'!u_rise</vt:lpstr>
      <vt:lpstr>'Mass Transfer'!u_sg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2026-06-17T16:07:07Z</dcterms:modified>
  <dc:language>en-US</dc:language>
</cp:coreProperties>
</file>