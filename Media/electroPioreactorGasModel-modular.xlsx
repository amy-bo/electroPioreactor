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18340" windowHeight="18060" tabRatio="500" firstSheet="0" activeTab="5" autoFilterDateGrouping="1"/>
  </bookViews>
  <sheets>
    <sheet name="Summary" sheetId="1" state="visible" r:id="rId1"/>
    <sheet name="Geometry" sheetId="2" state="visible" r:id="rId2"/>
    <sheet name="Electrochemistry" sheetId="3" state="visible" r:id="rId3"/>
    <sheet name="Biology" sheetId="4" state="visible" r:id="rId4"/>
    <sheet name="Mass Transfer" sheetId="5" state="visible" r:id="rId5"/>
    <sheet name="CO2 flows" sheetId="6" state="visible" r:id="rId6"/>
  </sheets>
  <definedNames>
    <definedName name="electrode_sel" localSheetId="0">Summary!$D$3</definedName>
    <definedName name="led_intensity" localSheetId="0">Summary!$D$6</definedName>
    <definedName name="media_sel" localSheetId="0">Summary!$D$5</definedName>
    <definedName name="media_volume" localSheetId="0">Summary!$D$9</definedName>
    <definedName name="organism_sel" localSheetId="0">Summary!$D$4</definedName>
    <definedName name="P_atm_set" localSheetId="0">Summary!$D$10</definedName>
    <definedName name="Reactor_sel" localSheetId="0">Summary!$D$2</definedName>
    <definedName name="stir_rpm_set" localSheetId="0">Summary!$D$7</definedName>
    <definedName name="temp_C" localSheetId="0">Summary!$D$8</definedName>
    <definedName name="A_x" localSheetId="1">Geometry!$D$21</definedName>
    <definedName name="D_int" localSheetId="1">Geometry!$D$22</definedName>
    <definedName name="D_int_1" localSheetId="1">Geometry!$D$12</definedName>
    <definedName name="D_int_2" localSheetId="1">Geometry!$D$13</definedName>
    <definedName name="depth_warn" localSheetId="1">Geometry!$D$55</definedName>
    <definedName name="disp_tot" localSheetId="1">Geometry!$D$40</definedName>
    <definedName name="eff_disp" localSheetId="1">Geometry!$D$39</definedName>
    <definedName name="eff_ID" localSheetId="1">Geometry!$D$34</definedName>
    <definedName name="eff_OD" localSheetId="1">Geometry!$D$33</definedName>
    <definedName name="eff_sub_L" localSheetId="1">Geometry!$D$38</definedName>
    <definedName name="elec_clear" localSheetId="1">Geometry!$D$28</definedName>
    <definedName name="elec_disp" localSheetId="1">Geometry!$D$36</definedName>
    <definedName name="elec_ins" localSheetId="1">Geometry!$D$29</definedName>
    <definedName name="elec_sub_L" localSheetId="1">Geometry!$D$35</definedName>
    <definedName name="geom_check" localSheetId="1">Geometry!$D$90</definedName>
    <definedName name="h_actual" localSheetId="1">Geometry!$D$42</definedName>
    <definedName name="h_datum" localSheetId="1">Geometry!$D$25</definedName>
    <definedName name="headspace_V" localSheetId="1">Geometry!$D$49</definedName>
    <definedName name="interface_A" localSheetId="1">Geometry!$D$44</definedName>
    <definedName name="media_vol_warn" localSheetId="1">Geometry!$D$54</definedName>
    <definedName name="media_volume" localSheetId="1">Geometry!$D$6</definedName>
    <definedName name="reactor_sel" localSheetId="1">Geometry!$D$5</definedName>
    <definedName name="rod_d" localSheetId="1">Geometry!$D$26</definedName>
    <definedName name="rod_n" localSheetId="1">Geometry!$D$27</definedName>
    <definedName name="rx_ver" localSheetId="1">Geometry!$D$51</definedName>
    <definedName name="sparge_depth" localSheetId="1">Geometry!$D$43</definedName>
    <definedName name="spg_disp" localSheetId="1">Geometry!$D$37</definedName>
    <definedName name="spg_ID" localSheetId="1">Geometry!$D$31</definedName>
    <definedName name="spg_len" localSheetId="1">Geometry!$D$50</definedName>
    <definedName name="spg_OD" localSheetId="1">Geometry!$D$30</definedName>
    <definedName name="spg_tip_h" localSheetId="1">Geometry!$D$32</definedName>
    <definedName name="stir_bar_L" localSheetId="1">Geometry!$D$52</definedName>
    <definedName name="V_charge" localSheetId="1">Geometry!$D$41</definedName>
    <definedName name="V_inserts" localSheetId="1">Geometry!$D$48</definedName>
    <definedName name="V_max" localSheetId="1">Geometry!$D$23</definedName>
    <definedName name="V_vial_total" localSheetId="1">Geometry!$D$24</definedName>
    <definedName name="ver_name_1" localSheetId="1">Geometry!$D$8</definedName>
    <definedName name="ver_name_2" localSheetId="1">Geometry!$D$9</definedName>
    <definedName name="vial_ID" localSheetId="1">Geometry!$D$20</definedName>
    <definedName name="vial_OD" localSheetId="1">Geometry!$D$18</definedName>
    <definedName name="vial_OD_1" localSheetId="1">Geometry!$D$10</definedName>
    <definedName name="vial_OD_2" localSheetId="1">Geometry!$D$11</definedName>
    <definedName name="vial_wall" localSheetId="1">Geometry!$D$19</definedName>
    <definedName name="Vmax_1" localSheetId="1">Geometry!$D$14</definedName>
    <definedName name="Vmax_2" localSheetId="1">Geometry!$D$15</definedName>
    <definedName name="Vtot_1" localSheetId="1">Geometry!$D$16</definedName>
    <definedName name="Vtot_2" localSheetId="1">Geometry!$D$17</definedName>
    <definedName name="xtube_n" localSheetId="1">Geometry!$D$46</definedName>
    <definedName name="xtube_OD" localSheetId="1">Geometry!$D$45</definedName>
    <definedName name="xtube_pro" localSheetId="1">Geometry!$D$47</definedName>
    <definedName name="electrode_sel" localSheetId="2">Electrochemistry!$D$8</definedName>
    <definedName name="etaF" localSheetId="2">Electrochemistry!$D$18</definedName>
    <definedName name="etaF_OER" localSheetId="2">Electrochemistry!$D$26</definedName>
    <definedName name="F_const" localSheetId="2">Electrochemistry!$D$15</definedName>
    <definedName name="gerrit_int" localSheetId="2">Electrochemistry!$D$12</definedName>
    <definedName name="gerrit_max" localSheetId="2">Electrochemistry!$D$14</definedName>
    <definedName name="gerrit_min" localSheetId="2">Electrochemistry!$D$13</definedName>
    <definedName name="gerrit_slope" localSheetId="2">Electrochemistry!$D$11</definedName>
    <definedName name="I_app" localSheetId="2">Electrochemistry!$D$19</definedName>
    <definedName name="I_valid" localSheetId="2">Electrochemistry!$D$20</definedName>
    <definedName name="intensity" localSheetId="2">Electrochemistry!$D$10</definedName>
    <definedName name="O2_cathode_ORR" localSheetId="2">Electrochemistry!$D$28</definedName>
    <definedName name="O2_net_gen" localSheetId="2">Electrochemistry!$D$29</definedName>
    <definedName name="P_atm" localSheetId="2">Electrochemistry!$D$6</definedName>
    <definedName name="por_grade_e" localSheetId="2">Electrochemistry!$D$32</definedName>
    <definedName name="R_gas" localSheetId="2">Electrochemistry!$D$7</definedName>
    <definedName name="rH2_gen" localSheetId="2">Electrochemistry!$D$21</definedName>
    <definedName name="rO2_gen" localSheetId="2">Electrochemistry!$D$22</definedName>
    <definedName name="sparger_e" localSheetId="2">Electrochemistry!$D$31</definedName>
    <definedName name="T_K" localSheetId="2">Electrochemistry!$D$5</definedName>
    <definedName name="V_gas_total" localSheetId="2">Electrochemistry!$D$25</definedName>
    <definedName name="V_H2_gen" localSheetId="2">Electrochemistry!$D$23</definedName>
    <definedName name="V_O2_gen" localSheetId="2">Electrochemistry!$D$24</definedName>
    <definedName name="z_e_H2" localSheetId="2">Electrochemistry!$D$16</definedName>
    <definedName name="z_e_O2" localSheetId="2">Electrochemistry!$D$17</definedName>
    <definedName name="z_e_ORR" localSheetId="2">Electrochemistry!$D$27</definedName>
    <definedName name="bio_CO2" localSheetId="3">Biology!$D$12</definedName>
    <definedName name="bio_H2" localSheetId="3">Biology!$D$10</definedName>
    <definedName name="bio_O2" localSheetId="3">Biology!$D$11</definedName>
    <definedName name="C_H2_sat" localSheetId="3">Biology!$D$41</definedName>
    <definedName name="CO2_carbon_margin" localSheetId="3">Biology!$D$35</definedName>
    <definedName name="CO2_cons" localSheetId="3">Biology!$D$15</definedName>
    <definedName name="CO2_diss" localSheetId="3">Biology!$D$33</definedName>
    <definedName name="DO_impair" localSheetId="3">Biology!$D$47</definedName>
    <definedName name="DO_min" localSheetId="3">Biology!$D$45</definedName>
    <definedName name="DO_opt" localSheetId="3">Biology!$D$46</definedName>
    <definedName name="DO_toxic" localSheetId="3">Biology!$D$48</definedName>
    <definedName name="H_CO2_T" localSheetId="3">Biology!$D$31</definedName>
    <definedName name="H_CO2ref" localSheetId="3">Biology!$D$29</definedName>
    <definedName name="H_CO2T" localSheetId="3">Biology!$D$30</definedName>
    <definedName name="H_H2_T" localSheetId="3">Biology!$D$40</definedName>
    <definedName name="H_H2ref" localSheetId="3">Biology!$D$38</definedName>
    <definedName name="H_H2T" localSheetId="3">Biology!$D$39</definedName>
    <definedName name="H_O2_T" localSheetId="3">Biology!$D$24</definedName>
    <definedName name="H_O2ref" localSheetId="3">Biology!$D$21</definedName>
    <definedName name="H_O2T" localSheetId="3">Biology!$D$22</definedName>
    <definedName name="H2_cons" localSheetId="3">Biology!$D$13</definedName>
    <definedName name="H2_safety" localSheetId="3">Biology!$D$44</definedName>
    <definedName name="H2_turnover" localSheetId="3">Biology!$D$43</definedName>
    <definedName name="Ka1_carb" localSheetId="3">Biology!$D$36</definedName>
    <definedName name="Km_CO2" localSheetId="3">Biology!$D$34</definedName>
    <definedName name="O2_ceil_atm" localSheetId="3">Biology!$D$25</definedName>
    <definedName name="O2_ceil_C" localSheetId="3">Biology!$D$27</definedName>
    <definedName name="O2_ceil_Pa" localSheetId="3">Biology!$D$26</definedName>
    <definedName name="O2_ceil_uM" localSheetId="3">Biology!$D$28</definedName>
    <definedName name="O2_cons" localSheetId="3">Biology!$D$14</definedName>
    <definedName name="O2_excess" localSheetId="3">Biology!$D$16</definedName>
    <definedName name="O2_net_gen" localSheetId="3">Biology!$D$5</definedName>
    <definedName name="organism_sel" localSheetId="3">Biology!$D$7</definedName>
    <definedName name="P_atm" localSheetId="3">Biology!$D$19</definedName>
    <definedName name="p_CO2_sparge" localSheetId="3">Biology!$D$32</definedName>
    <definedName name="Pa_per_atm" localSheetId="3">Biology!$D$20</definedName>
    <definedName name="pH_CO2_unbuf" localSheetId="3">Biology!$D$37</definedName>
    <definedName name="rH2_gen" localSheetId="3">Biology!$D$4</definedName>
    <definedName name="T_C" localSheetId="3">Biology!$D$17</definedName>
    <definedName name="t_H2_sat" localSheetId="3">Biology!$D$42</definedName>
    <definedName name="T_K" localSheetId="3">Biology!$D$18</definedName>
    <definedName name="T_ref" localSheetId="3">Biology!$D$23</definedName>
    <definedName name="V_charge" localSheetId="3">Biology!$D$6</definedName>
    <definedName name="a_int" localSheetId="4">'Mass Transfer'!$D$49</definedName>
    <definedName name="a_surf" localSheetId="4">'Mass Transfer'!$D$71</definedName>
    <definedName name="A_x" localSheetId="4">'Mass Transfer'!$D$17</definedName>
    <definedName name="bubble_regime" localSheetId="4">'Mass Transfer'!$D$64</definedName>
    <definedName name="cal_warning" localSheetId="4">'Mass Transfer'!$D$120</definedName>
    <definedName name="carbon_margin_min" localSheetId="4">'Mass Transfer'!$D$85</definedName>
    <definedName name="carry_flag" localSheetId="4">'Mass Transfer'!$D$59</definedName>
    <definedName name="CO2_cons" localSheetId="4">'Mass Transfer'!$D$10</definedName>
    <definedName name="CO2_pulse" localSheetId="4">'Mass Transfer'!$D$123</definedName>
    <definedName name="CO2_sd_ratio" localSheetId="4">'Mass Transfer'!$D$126</definedName>
    <definedName name="CO2_supply" localSheetId="4">'Mass Transfer'!$D$100</definedName>
    <definedName name="d_bubble" localSheetId="4">'Mass Transfer'!$D$42</definedName>
    <definedName name="d_bubble_mm" localSheetId="4">'Mass Transfer'!$D$43</definedName>
    <definedName name="D_O2" localSheetId="4">'Mass Transfer'!$D$32</definedName>
    <definedName name="d_orifice" localSheetId="4">'Mass Transfer'!$D$41</definedName>
    <definedName name="DO_impair" localSheetId="4">'Mass Transfer'!$D$23</definedName>
    <definedName name="DO_min" localSheetId="4">'Mass Transfer'!$D$25</definedName>
    <definedName name="DO_opt" localSheetId="4">'Mass Transfer'!$D$22</definedName>
    <definedName name="DO_ss" localSheetId="4">'Mass Transfer'!$D$108</definedName>
    <definedName name="DO_ss_vs_min" localSheetId="4">'Mass Transfer'!$D$110</definedName>
    <definedName name="DO_ss_vs_opt" localSheetId="4">'Mass Transfer'!$D$109</definedName>
    <definedName name="DO_toxic" localSheetId="4">'Mass Transfer'!$D$24</definedName>
    <definedName name="DO_vent_eq" localSheetId="4">'Mass Transfer'!$D$76</definedName>
    <definedName name="dur_ok" localSheetId="4">'Mass Transfer'!$D$130</definedName>
    <definedName name="duty" localSheetId="4">'Mass Transfer'!$D$105</definedName>
    <definedName name="duty_actual" localSheetId="4">'Mass Transfer'!$D$93</definedName>
    <definedName name="duty_carbon" localSheetId="4">'Mass Transfer'!$D$86</definedName>
    <definedName name="duty_O2vent" localSheetId="4">'Mass Transfer'!$D$87</definedName>
    <definedName name="duty_opt" localSheetId="4">'Mass Transfer'!$D$88</definedName>
    <definedName name="flowrate_cal" localSheetId="4">'Mass Transfer'!$D$117</definedName>
    <definedName name="flush_factor" localSheetId="4">'Mass Transfer'!$D$106</definedName>
    <definedName name="g_const" localSheetId="4">'Mass Transfer'!$D$31</definedName>
    <definedName name="H_O2_T" localSheetId="4">'Mass Transfer'!$D$12</definedName>
    <definedName name="has_cal" localSheetId="4">'Mass Transfer'!$D$119</definedName>
    <definedName name="headspace_V" localSheetId="4">'Mass Transfer'!$D$19</definedName>
    <definedName name="holdup" localSheetId="4">'Mass Transfer'!$D$48</definedName>
    <definedName name="hs_flush_time" localSheetId="4">'Mass Transfer'!$D$77</definedName>
    <definedName name="interface_A" localSheetId="4">'Mass Transfer'!$D$14</definedName>
    <definedName name="kinetic_caveat" localSheetId="4">'Mass Transfer'!$D$96</definedName>
    <definedName name="kL" localSheetId="4">'Mass Transfer'!$D$51</definedName>
    <definedName name="kL_surf" localSheetId="4">'Mass Transfer'!$D$70</definedName>
    <definedName name="kL_surf_crit" localSheetId="4">'Mass Transfer'!$D$131</definedName>
    <definedName name="kLa_avg" localSheetId="4">'Mass Transfer'!$D$53</definedName>
    <definedName name="kLa_meas" localSheetId="4">'Mass Transfer'!$D$97</definedName>
    <definedName name="kLa_req" localSheetId="4">'Mass Transfer'!$D$57</definedName>
    <definedName name="kLa_sparge" localSheetId="4">'Mass Transfer'!$D$52</definedName>
    <definedName name="kLa_surf" localSheetId="4">'Mass Transfer'!$D$72</definedName>
    <definedName name="kLa_surf_used" localSheetId="4">'Mass Transfer'!$D$98</definedName>
    <definedName name="latest_date" localSheetId="4">'Mass Transfer'!$D$116</definedName>
    <definedName name="M_CO2" localSheetId="4">'Mass Transfer'!$D$103</definedName>
    <definedName name="mend_a" localSheetId="4">'Mass Transfer'!$D$44</definedName>
    <definedName name="mend_b" localSheetId="4">'Mass Transfer'!$D$45</definedName>
    <definedName name="min_sparge_cal" localSheetId="4">'Mass Transfer'!$D$118</definedName>
    <definedName name="n_pores_active" localSheetId="4">'Mass Transfer'!$D$61</definedName>
    <definedName name="nCO2_rate" localSheetId="4">'Mass Transfer'!$D$104</definedName>
    <definedName name="O2_accum" localSheetId="4">'Mass Transfer'!$D$127</definedName>
    <definedName name="O2_ceil_C" localSheetId="4">'Mass Transfer'!$D$6</definedName>
    <definedName name="O2_ceil_Pa" localSheetId="4">'Mass Transfer'!$D$7</definedName>
    <definedName name="O2_excess" localSheetId="4">'Mass Transfer'!$D$11</definedName>
    <definedName name="O2_net_gen" localSheetId="4">'Mass Transfer'!$D$13</definedName>
    <definedName name="O2_removal_ratio" localSheetId="4">'Mass Transfer'!$D$78</definedName>
    <definedName name="O2_strip_pulse" localSheetId="4">'Mass Transfer'!$D$128</definedName>
    <definedName name="od_ok" localSheetId="4">'Mass Transfer'!$D$95</definedName>
    <definedName name="opt_binding" localSheetId="4">'Mass Transfer'!$D$94</definedName>
    <definedName name="P_atm" localSheetId="4">'Mass Transfer'!$D$9</definedName>
    <definedName name="por_grade" localSheetId="4">'Mass Transfer'!$D$20</definedName>
    <definedName name="por_pore" localSheetId="4">'Mass Transfer'!$D$39</definedName>
    <definedName name="por0_um" localSheetId="4">'Mass Transfer'!$D$33</definedName>
    <definedName name="por1_um" localSheetId="4">'Mass Transfer'!$D$34</definedName>
    <definedName name="por2_um" localSheetId="4">'Mass Transfer'!$D$35</definedName>
    <definedName name="por3_um" localSheetId="4">'Mass Transfer'!$D$36</definedName>
    <definedName name="por4_um" localSheetId="4">'Mass Transfer'!$D$37</definedName>
    <definedName name="por5_um" localSheetId="4">'Mass Transfer'!$D$38</definedName>
    <definedName name="pulse_floor" localSheetId="4">'Mass Transfer'!$D$99</definedName>
    <definedName name="pulses_d" localSheetId="4">'Mass Transfer'!$D$125</definedName>
    <definedName name="pulses_h" localSheetId="4">'Mass Transfer'!$D$124</definedName>
    <definedName name="Q_CO2" localSheetId="4">'Mass Transfer'!$D$102</definedName>
    <definedName name="R_gas" localSheetId="4">'Mass Transfer'!$D$101</definedName>
    <definedName name="Reactor" localSheetId="4">'Mass Transfer'!$D$115</definedName>
    <definedName name="rho_CO2" localSheetId="4">'Mass Transfer'!$D$60</definedName>
    <definedName name="rho_L" localSheetId="4">'Mass Transfer'!$D$30</definedName>
    <definedName name="s_renew" localSheetId="4">'Mass Transfer'!$D$69</definedName>
    <definedName name="sched_bal" localSheetId="4">'Mass Transfer'!$D$129</definedName>
    <definedName name="sched_mode" localSheetId="4">'Mass Transfer'!$D$81</definedName>
    <definedName name="sched_regime" localSheetId="4">'Mass Transfer'!$D$113</definedName>
    <definedName name="sigma" localSheetId="4">'Mass Transfer'!$D$29</definedName>
    <definedName name="sparger" localSheetId="4">'Mass Transfer'!$D$21</definedName>
    <definedName name="spg_dur" localSheetId="4">'Mass Transfer'!$D$121</definedName>
    <definedName name="spg_dur_man" localSheetId="4">'Mass Transfer'!$D$82</definedName>
    <definedName name="spg_dur_opt" localSheetId="4">'Mass Transfer'!$D$90</definedName>
    <definedName name="spg_ID" localSheetId="4">'Mass Transfer'!$D$18</definedName>
    <definedName name="spg_int" localSheetId="4">'Mass Transfer'!$D$122</definedName>
    <definedName name="spg_int_carbon" localSheetId="4">'Mass Transfer'!$D$112</definedName>
    <definedName name="spg_int_man" localSheetId="4">'Mass Transfer'!$D$83</definedName>
    <definedName name="spg_int_max" localSheetId="4">'Mass Transfer'!$D$89</definedName>
    <definedName name="spg_int_opt" localSheetId="4">'Mass Transfer'!$D$91</definedName>
    <definedName name="spg_int_opt_s" localSheetId="4">'Mass Transfer'!$D$92</definedName>
    <definedName name="spg_name_1" localSheetId="4">'Mass Transfer'!$D$27</definedName>
    <definedName name="spg_name_2" localSheetId="4">'Mass Transfer'!$D$28</definedName>
    <definedName name="stir_len" localSheetId="4">'Mass Transfer'!$D$5</definedName>
    <definedName name="stir_rpm" localSheetId="4">'Mass Transfer'!$D$67</definedName>
    <definedName name="strip_avg" localSheetId="4">'Mass Transfer'!$D$55</definedName>
    <definedName name="strip_ratio" localSheetId="4">'Mass Transfer'!$D$56</definedName>
    <definedName name="strip_sparge" localSheetId="4">'Mass Transfer'!$D$54</definedName>
    <definedName name="surf_ratio" localSheetId="4">'Mass Transfer'!$D$74</definedName>
    <definedName name="surf_strip" localSheetId="4">'Mass Transfer'!$D$73</definedName>
    <definedName name="t_contact" localSheetId="4">'Mass Transfer'!$D$50</definedName>
    <definedName name="T_K" localSheetId="4">'Mass Transfer'!$D$8</definedName>
    <definedName name="t_O2_ceiling" localSheetId="4">'Mass Transfer'!$D$65</definedName>
    <definedName name="t_O2_ceiling_lag" localSheetId="4">'Mass Transfer'!$D$79</definedName>
    <definedName name="t_O2_ceiling_rem" localSheetId="4">'Mass Transfer'!$D$80</definedName>
    <definedName name="t_O2_ceiling_strip" localSheetId="4">'Mass Transfer'!$D$66</definedName>
    <definedName name="target_DO_frac" localSheetId="4">'Mass Transfer'!$D$84</definedName>
    <definedName name="tip_speed" localSheetId="4">'Mass Transfer'!$D$68</definedName>
    <definedName name="tip_warn" localSheetId="4">'Mass Transfer'!$D$111</definedName>
    <definedName name="tube_d_m" localSheetId="4">'Mass Transfer'!$D$40</definedName>
    <definedName name="u_g_max" localSheetId="4">'Mass Transfer'!$D$58</definedName>
    <definedName name="u_rise" localSheetId="4">'Mass Transfer'!$D$46</definedName>
    <definedName name="u_sg" localSheetId="4">'Mass Transfer'!$D$47</definedName>
    <definedName name="V_charge" localSheetId="4">'Mass Transfer'!$D$16</definedName>
    <definedName name="v_orifice" localSheetId="4">'Mass Transfer'!$D$62</definedName>
    <definedName name="vial_ID" localSheetId="4">'Mass Transfer'!$D$15</definedName>
    <definedName name="We_orifice" localSheetId="4">'Mass Transfer'!$D$63</definedName>
    <definedName name="y_O2_vent" localSheetId="4">'Mass Transfer'!$D$75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8">
    <numFmt numFmtId="164" formatCode="yyyy\-mm\-dd\ h:mm:ss"/>
    <numFmt numFmtId="165" formatCode="0.0"/>
    <numFmt numFmtId="166" formatCode="0.000"/>
    <numFmt numFmtId="167" formatCode="0.0000"/>
    <numFmt numFmtId="168" formatCode="0.000000"/>
    <numFmt numFmtId="169" formatCode="0.00000"/>
    <numFmt numFmtId="170" formatCode="0.00000000"/>
    <numFmt numFmtId="171" formatCode="0.0000000"/>
  </numFmts>
  <fonts count="52">
    <font>
      <name val="Calibri"/>
      <charset val="1"/>
      <family val="2"/>
      <color theme="1"/>
      <sz val="11"/>
    </font>
    <font>
      <name val="Arial"/>
      <family val="2"/>
      <sz val="10"/>
    </font>
    <font>
      <name val="Consolas"/>
      <family val="2"/>
      <color rgb="FF7030A0"/>
      <sz val="9"/>
    </font>
    <font>
      <name val="Arial"/>
      <family val="2"/>
      <color rgb="FF595959"/>
      <sz val="9"/>
    </font>
    <font>
      <name val="Arial"/>
      <family val="2"/>
      <color rgb="FF404040"/>
      <sz val="8"/>
    </font>
    <font>
      <name val="Arial"/>
      <family val="2"/>
      <color rgb="FF0563C1"/>
      <sz val="8"/>
      <u val="single"/>
    </font>
    <font>
      <name val="Arial"/>
      <family val="2"/>
      <b val="1"/>
      <sz val="10"/>
    </font>
    <font>
      <name val="Arial"/>
      <family val="2"/>
      <color rgb="FF000000"/>
      <sz val="10"/>
    </font>
    <font>
      <name val="Arial"/>
      <family val="2"/>
      <color rgb="FF7030A0"/>
      <sz val="10"/>
    </font>
    <font>
      <name val="Calibri"/>
      <family val="2"/>
      <color rgb="FF7030A0"/>
      <sz val="11"/>
    </font>
    <font>
      <name val="Calibri"/>
      <family val="2"/>
      <b val="1"/>
      <sz val="12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charset val="1"/>
      <family val="2"/>
      <color theme="0"/>
      <sz val="11"/>
    </font>
    <font>
      <name val="Calibri"/>
      <family val="2"/>
      <b val="1"/>
      <sz val="11"/>
    </font>
    <font>
      <name val="Calibri"/>
      <family val="2"/>
      <i val="1"/>
      <sz val="9"/>
    </font>
    <font>
      <name val="Calibri"/>
      <family val="2"/>
      <b val="1"/>
      <sz val="11"/>
    </font>
    <font>
      <name val="Calibri"/>
      <family val="2"/>
      <color rgb="FF000000"/>
      <sz val="11"/>
    </font>
    <font>
      <name val="Calibri"/>
      <family val="2"/>
      <color rgb="FF7030A0"/>
      <sz val="11"/>
    </font>
    <font>
      <name val="Calibri"/>
      <family val="2"/>
      <color rgb="FF000000"/>
      <sz val="11"/>
    </font>
    <font>
      <name val="Calibri"/>
      <family val="2"/>
      <i val="1"/>
      <sz val="9"/>
    </font>
    <font>
      <name val="Calibri"/>
      <family val="2"/>
      <b val="1"/>
      <sz val="11"/>
    </font>
    <font>
      <name val="Calibri"/>
      <family val="2"/>
      <color rgb="FF0000FF"/>
      <sz val="9"/>
      <u val="single"/>
    </font>
    <font>
      <name val="Calibri"/>
      <family val="2"/>
      <color rgb="FF7030A0"/>
      <sz val="11"/>
    </font>
    <font>
      <name val="Calibri"/>
      <family val="2"/>
      <color theme="1"/>
      <sz val="11"/>
    </font>
    <font>
      <name val="Calibri"/>
      <family val="2"/>
      <sz val="9"/>
    </font>
    <font>
      <name val="Calibri"/>
      <family val="2"/>
      <b val="1"/>
      <sz val="11"/>
    </font>
    <font>
      <name val="Calibri"/>
      <family val="2"/>
      <i val="1"/>
      <sz val="9"/>
    </font>
    <font>
      <name val="Calibri"/>
      <family val="2"/>
      <b val="1"/>
      <sz val="11"/>
    </font>
    <font>
      <name val="Calibri"/>
      <family val="2"/>
      <color rgb="FF000000"/>
      <sz val="11"/>
    </font>
    <font>
      <name val="Calibri"/>
      <family val="2"/>
      <color rgb="FF0000FF"/>
      <sz val="9"/>
      <u val="single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3"/>
      <sz val="11"/>
    </font>
    <font>
      <name val="Calibri"/>
      <family val="2"/>
      <color rgb="FF000000"/>
      <sz val="11"/>
    </font>
    <font>
      <name val="Calibri"/>
      <family val="2"/>
      <b val="1"/>
      <color theme="3"/>
      <sz val="11"/>
    </font>
    <font>
      <name val="Calibri"/>
      <family val="2"/>
      <color theme="3"/>
      <sz val="11"/>
    </font>
    <font>
      <name val="Calibri"/>
      <family val="2"/>
      <color theme="3"/>
      <sz val="9"/>
    </font>
    <font>
      <name val="Calibri"/>
      <family val="2"/>
      <b val="1"/>
      <color theme="3"/>
      <sz val="10"/>
    </font>
    <font>
      <name val="Calibri"/>
      <family val="2"/>
      <b val="1"/>
      <color theme="3"/>
      <sz val="11"/>
    </font>
    <font>
      <name val="Calibri"/>
      <color theme="3"/>
      <sz val="11"/>
    </font>
    <font>
      <name val="Calibri"/>
      <sz val="9"/>
    </font>
    <font>
      <name val="Calibri"/>
      <sz val="11"/>
    </font>
    <font>
      <name val="Calibri"/>
      <sz val="12"/>
    </font>
    <font>
      <name val="Calibri"/>
      <color theme="3"/>
      <sz val="10"/>
    </font>
    <font>
      <name val="Arial"/>
      <sz val="10"/>
    </font>
    <font>
      <name val="Calibri"/>
      <color rgb="FF000000"/>
      <sz val="10"/>
    </font>
  </fonts>
  <fills count="20">
    <fill>
      <patternFill/>
    </fill>
    <fill>
      <patternFill patternType="gray125"/>
    </fill>
    <fill>
      <patternFill patternType="solid">
        <fgColor rgb="FFBDD7EE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FFE699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FFC7CE"/>
        <bgColor rgb="FFFCE4D6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FC7CE"/>
      </patternFill>
    </fill>
    <fill>
      <patternFill patternType="solid">
        <fgColor rgb="FFFFE699"/>
      </patternFill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CE4D6"/>
      </patternFill>
    </fill>
    <fill>
      <patternFill patternType="solid">
        <fgColor rgb="FF4472C4"/>
        <bgColor rgb="FF000000"/>
      </patternFill>
    </fill>
    <fill>
      <patternFill patternType="solid">
        <fgColor rgb="FFFFEB9C"/>
      </patternFill>
    </fill>
    <fill>
      <patternFill patternType="solid">
        <fgColor theme="6" tint="0.5999938962981048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medium">
        <color theme="7"/>
      </left>
      <right style="medium">
        <color theme="7"/>
      </right>
      <top style="medium">
        <color theme="7"/>
      </top>
      <bottom style="medium">
        <color theme="7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theme="8"/>
      </left>
      <right style="medium">
        <color theme="8"/>
      </right>
      <top style="medium">
        <color theme="8"/>
      </top>
      <bottom style="medium">
        <color theme="8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9"/>
      </left>
      <right style="medium">
        <color theme="9"/>
      </right>
      <top style="medium">
        <color theme="9"/>
      </top>
      <bottom style="medium">
        <color theme="9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/>
      <right/>
      <top/>
      <bottom/>
      <diagonal/>
    </border>
    <border>
      <left style="medium">
        <color theme="7"/>
      </left>
      <right style="medium">
        <color theme="7"/>
      </right>
      <top style="medium">
        <color theme="7"/>
      </top>
      <bottom style="medium">
        <color theme="7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theme="8"/>
      </left>
      <right style="medium">
        <color theme="8"/>
      </right>
      <top style="medium">
        <color theme="8"/>
      </top>
      <bottom style="medium">
        <color theme="8"/>
      </bottom>
      <diagonal/>
    </border>
  </borders>
  <cellStyleXfs count="4">
    <xf numFmtId="0" fontId="0" fillId="0" borderId="11"/>
    <xf numFmtId="0" fontId="34" fillId="8" borderId="11"/>
    <xf numFmtId="0" fontId="35" fillId="10" borderId="11"/>
    <xf numFmtId="0" fontId="36" fillId="18" borderId="11"/>
  </cellStyleXfs>
  <cellXfs count="162">
    <xf numFmtId="0" fontId="0" fillId="0" borderId="0" pivotButton="0" quotePrefix="0" xfId="0"/>
    <xf numFmtId="0" fontId="16" fillId="0" borderId="0" pivotButton="0" quotePrefix="0" xfId="0"/>
    <xf numFmtId="0" fontId="24" fillId="0" borderId="0" pivotButton="0" quotePrefix="0" xfId="0"/>
    <xf numFmtId="0" fontId="0" fillId="0" borderId="1" pivotButton="0" quotePrefix="0" xfId="0"/>
    <xf numFmtId="0" fontId="10" fillId="0" borderId="1" pivotButton="0" quotePrefix="0" xfId="0"/>
    <xf numFmtId="0" fontId="11" fillId="13" borderId="1" pivotButton="0" quotePrefix="0" xfId="0"/>
    <xf numFmtId="0" fontId="26" fillId="0" borderId="1" pivotButton="0" quotePrefix="0" xfId="0"/>
    <xf numFmtId="0" fontId="21" fillId="0" borderId="1" pivotButton="0" quotePrefix="0" xfId="0"/>
    <xf numFmtId="0" fontId="13" fillId="15" borderId="1" pivotButton="0" quotePrefix="0" xfId="0"/>
    <xf numFmtId="14" fontId="0" fillId="0" borderId="1" pivotButton="0" quotePrefix="0" xfId="0"/>
    <xf numFmtId="0" fontId="13" fillId="14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27" fillId="0" borderId="1" pivotButton="0" quotePrefix="0" xfId="0"/>
    <xf numFmtId="0" fontId="28" fillId="0" borderId="1" pivotButton="0" quotePrefix="0" xfId="0"/>
    <xf numFmtId="0" fontId="0" fillId="0" borderId="2" pivotButton="0" quotePrefix="0" xfId="0"/>
    <xf numFmtId="0" fontId="11" fillId="13" borderId="3" pivotButton="0" quotePrefix="0" xfId="0"/>
    <xf numFmtId="0" fontId="1" fillId="0" borderId="3" pivotButton="0" quotePrefix="0" xfId="0"/>
    <xf numFmtId="0" fontId="2" fillId="0" borderId="3" pivotButton="0" quotePrefix="0" xfId="0"/>
    <xf numFmtId="0" fontId="3" fillId="0" borderId="3" pivotButton="0" quotePrefix="0" xfId="0"/>
    <xf numFmtId="0" fontId="0" fillId="0" borderId="3" pivotButton="0" quotePrefix="0" xfId="0"/>
    <xf numFmtId="0" fontId="25" fillId="0" borderId="3" pivotButton="0" quotePrefix="0" xfId="0"/>
    <xf numFmtId="0" fontId="27" fillId="0" borderId="3" pivotButton="0" quotePrefix="0" xfId="0"/>
    <xf numFmtId="0" fontId="31" fillId="0" borderId="4" pivotButton="0" quotePrefix="0" xfId="0"/>
    <xf numFmtId="0" fontId="22" fillId="0" borderId="3" pivotButton="0" quotePrefix="0" xfId="0"/>
    <xf numFmtId="0" fontId="31" fillId="0" borderId="3" pivotButton="0" quotePrefix="0" xfId="0"/>
    <xf numFmtId="0" fontId="31" fillId="0" borderId="5" pivotButton="0" quotePrefix="0" xfId="0"/>
    <xf numFmtId="0" fontId="31" fillId="0" borderId="6" pivotButton="0" quotePrefix="0" xfId="0"/>
    <xf numFmtId="0" fontId="12" fillId="0" borderId="3" pivotButton="0" quotePrefix="0" xfId="0"/>
    <xf numFmtId="0" fontId="31" fillId="0" borderId="7" pivotButton="0" quotePrefix="0" xfId="0"/>
    <xf numFmtId="0" fontId="21" fillId="0" borderId="3" pivotButton="0" quotePrefix="0" xfId="0"/>
    <xf numFmtId="0" fontId="9" fillId="0" borderId="3" pivotButton="0" quotePrefix="0" xfId="0"/>
    <xf numFmtId="0" fontId="16" fillId="0" borderId="3" pivotButton="0" quotePrefix="0" xfId="0"/>
    <xf numFmtId="0" fontId="17" fillId="0" borderId="3" pivotButton="0" quotePrefix="0" xfId="0"/>
    <xf numFmtId="0" fontId="0" fillId="7" borderId="3" pivotButton="0" quotePrefix="0" xfId="0"/>
    <xf numFmtId="0" fontId="0" fillId="11" borderId="3" pivotButton="0" quotePrefix="0" xfId="0"/>
    <xf numFmtId="0" fontId="17" fillId="16" borderId="3" pivotButton="0" quotePrefix="0" xfId="0"/>
    <xf numFmtId="0" fontId="17" fillId="10" borderId="3" pivotButton="0" quotePrefix="0" xfId="0"/>
    <xf numFmtId="0" fontId="19" fillId="0" borderId="3" pivotButton="0" quotePrefix="0" xfId="0"/>
    <xf numFmtId="0" fontId="23" fillId="0" borderId="3" pivotButton="0" quotePrefix="0" xfId="0"/>
    <xf numFmtId="0" fontId="11" fillId="17" borderId="3" pivotButton="0" quotePrefix="0" xfId="0"/>
    <xf numFmtId="0" fontId="30" fillId="0" borderId="3" pivotButton="0" quotePrefix="0" xfId="0"/>
    <xf numFmtId="0" fontId="14" fillId="0" borderId="3" pivotButton="0" quotePrefix="0" xfId="0"/>
    <xf numFmtId="0" fontId="10" fillId="0" borderId="3" pivotButton="0" quotePrefix="0" xfId="0"/>
    <xf numFmtId="0" fontId="4" fillId="3" borderId="3" applyAlignment="1" pivotButton="0" quotePrefix="0" xfId="0">
      <alignment vertical="top" wrapText="1"/>
    </xf>
    <xf numFmtId="0" fontId="31" fillId="0" borderId="8" pivotButton="0" quotePrefix="0" xfId="0"/>
    <xf numFmtId="0" fontId="5" fillId="5" borderId="3" applyAlignment="1" pivotButton="0" quotePrefix="0" xfId="0">
      <alignment vertical="top" wrapText="1"/>
    </xf>
    <xf numFmtId="0" fontId="20" fillId="3" borderId="3" applyAlignment="1" pivotButton="0" quotePrefix="0" xfId="0">
      <alignment vertical="top" wrapText="1"/>
    </xf>
    <xf numFmtId="0" fontId="20" fillId="2" borderId="3" applyAlignment="1" pivotButton="0" quotePrefix="0" xfId="0">
      <alignment vertical="top" wrapText="1"/>
    </xf>
    <xf numFmtId="0" fontId="20" fillId="7" borderId="3" applyAlignment="1" pivotButton="0" quotePrefix="0" xfId="0">
      <alignment vertical="top" wrapText="1"/>
    </xf>
    <xf numFmtId="0" fontId="20" fillId="5" borderId="3" applyAlignment="1" pivotButton="0" quotePrefix="0" xfId="0">
      <alignment vertical="top" wrapText="1"/>
    </xf>
    <xf numFmtId="0" fontId="20" fillId="6" borderId="3" applyAlignment="1" pivotButton="0" quotePrefix="0" xfId="0">
      <alignment vertical="top" wrapText="1"/>
    </xf>
    <xf numFmtId="2" fontId="31" fillId="0" borderId="3" pivotButton="0" quotePrefix="0" xfId="0"/>
    <xf numFmtId="0" fontId="4" fillId="5" borderId="3" applyAlignment="1" pivotButton="0" quotePrefix="0" xfId="0">
      <alignment vertical="top" wrapText="1"/>
    </xf>
    <xf numFmtId="2" fontId="32" fillId="0" borderId="3" pivotButton="0" quotePrefix="0" xfId="0"/>
    <xf numFmtId="165" fontId="32" fillId="0" borderId="3" pivotButton="0" quotePrefix="0" xfId="0"/>
    <xf numFmtId="165" fontId="31" fillId="0" borderId="3" pivotButton="0" quotePrefix="0" xfId="0"/>
    <xf numFmtId="0" fontId="6" fillId="0" borderId="3" pivotButton="0" quotePrefix="0" xfId="0"/>
    <xf numFmtId="166" fontId="32" fillId="0" borderId="3" pivotButton="0" quotePrefix="0" xfId="0"/>
    <xf numFmtId="167" fontId="32" fillId="0" borderId="3" pivotButton="0" quotePrefix="0" xfId="0"/>
    <xf numFmtId="1" fontId="31" fillId="0" borderId="3" pivotButton="0" quotePrefix="0" xfId="0"/>
    <xf numFmtId="168" fontId="32" fillId="0" borderId="3" pivotButton="0" quotePrefix="0" xfId="0"/>
    <xf numFmtId="0" fontId="15" fillId="0" borderId="3" pivotButton="0" quotePrefix="0" xfId="0"/>
    <xf numFmtId="0" fontId="20" fillId="0" borderId="3" pivotButton="0" quotePrefix="0" xfId="0"/>
    <xf numFmtId="1" fontId="17" fillId="0" borderId="3" pivotButton="0" quotePrefix="0" xfId="0"/>
    <xf numFmtId="2" fontId="8" fillId="0" borderId="3" pivotButton="0" quotePrefix="0" xfId="0"/>
    <xf numFmtId="0" fontId="5" fillId="2" borderId="3" applyAlignment="1" pivotButton="0" quotePrefix="0" xfId="0">
      <alignment vertical="top" wrapText="1"/>
    </xf>
    <xf numFmtId="0" fontId="8" fillId="0" borderId="3" pivotButton="0" quotePrefix="0" xfId="0"/>
    <xf numFmtId="1" fontId="31" fillId="0" borderId="8" pivotButton="0" quotePrefix="0" xfId="0"/>
    <xf numFmtId="0" fontId="15" fillId="2" borderId="3" applyAlignment="1" pivotButton="0" quotePrefix="0" xfId="0">
      <alignment vertical="top" wrapText="1"/>
    </xf>
    <xf numFmtId="165" fontId="8" fillId="0" borderId="3" pivotButton="0" quotePrefix="0" xfId="0"/>
    <xf numFmtId="1" fontId="8" fillId="0" borderId="3" pivotButton="0" quotePrefix="0" xfId="0"/>
    <xf numFmtId="169" fontId="8" fillId="0" borderId="3" pivotButton="0" quotePrefix="0" xfId="0"/>
    <xf numFmtId="0" fontId="5" fillId="6" borderId="3" applyAlignment="1" pivotButton="0" quotePrefix="0" xfId="0">
      <alignment vertical="top" wrapText="1"/>
    </xf>
    <xf numFmtId="0" fontId="32" fillId="0" borderId="3" pivotButton="0" quotePrefix="0" xfId="0"/>
    <xf numFmtId="0" fontId="15" fillId="9" borderId="3" applyAlignment="1" pivotButton="0" quotePrefix="0" xfId="0">
      <alignment vertical="top" wrapText="1"/>
    </xf>
    <xf numFmtId="0" fontId="20" fillId="9" borderId="3" applyAlignment="1" pivotButton="0" quotePrefix="0" xfId="0">
      <alignment vertical="top" wrapText="1"/>
    </xf>
    <xf numFmtId="0" fontId="0" fillId="10" borderId="3" pivotButton="0" quotePrefix="0" xfId="0"/>
    <xf numFmtId="168" fontId="7" fillId="0" borderId="3" pivotButton="0" quotePrefix="0" xfId="0"/>
    <xf numFmtId="0" fontId="5" fillId="3" borderId="3" applyAlignment="1" pivotButton="0" quotePrefix="0" xfId="0">
      <alignment vertical="top" wrapText="1"/>
    </xf>
    <xf numFmtId="0" fontId="15" fillId="3" borderId="3" applyAlignment="1" pivotButton="0" quotePrefix="0" xfId="0">
      <alignment vertical="top" wrapText="1"/>
    </xf>
    <xf numFmtId="165" fontId="31" fillId="0" borderId="8" pivotButton="0" quotePrefix="0" xfId="0"/>
    <xf numFmtId="0" fontId="29" fillId="0" borderId="8" pivotButton="0" quotePrefix="0" xfId="0"/>
    <xf numFmtId="170" fontId="32" fillId="0" borderId="3" pivotButton="0" quotePrefix="0" xfId="0"/>
    <xf numFmtId="0" fontId="4" fillId="2" borderId="3" applyAlignment="1" pivotButton="0" quotePrefix="0" xfId="0">
      <alignment vertical="top" wrapText="1"/>
    </xf>
    <xf numFmtId="168" fontId="8" fillId="0" borderId="3" pivotButton="0" quotePrefix="0" xfId="0"/>
    <xf numFmtId="0" fontId="4" fillId="7" borderId="3" applyAlignment="1" pivotButton="0" quotePrefix="0" xfId="0">
      <alignment vertical="top" wrapText="1"/>
    </xf>
    <xf numFmtId="0" fontId="4" fillId="9" borderId="3" applyAlignment="1" pivotButton="0" quotePrefix="0" xfId="0">
      <alignment vertical="top" wrapText="1"/>
    </xf>
    <xf numFmtId="0" fontId="4" fillId="11" borderId="3" applyAlignment="1" pivotButton="0" quotePrefix="0" xfId="0">
      <alignment vertical="top" wrapText="1"/>
    </xf>
    <xf numFmtId="0" fontId="4" fillId="10" borderId="3" applyAlignment="1" pivotButton="0" quotePrefix="0" xfId="0">
      <alignment vertical="top" wrapText="1"/>
    </xf>
    <xf numFmtId="0" fontId="31" fillId="10" borderId="3" pivotButton="0" quotePrefix="0" xfId="0"/>
    <xf numFmtId="168" fontId="31" fillId="0" borderId="5" pivotButton="0" quotePrefix="0" xfId="0"/>
    <xf numFmtId="0" fontId="22" fillId="11" borderId="3" applyAlignment="1" pivotButton="0" quotePrefix="0" xfId="0">
      <alignment vertical="top" wrapText="1"/>
    </xf>
    <xf numFmtId="167" fontId="7" fillId="0" borderId="3" pivotButton="0" quotePrefix="0" xfId="0"/>
    <xf numFmtId="0" fontId="4" fillId="4" borderId="3" applyAlignment="1" pivotButton="0" quotePrefix="0" xfId="0">
      <alignment vertical="top" wrapText="1"/>
    </xf>
    <xf numFmtId="167" fontId="8" fillId="0" borderId="3" pivotButton="0" quotePrefix="0" xfId="0"/>
    <xf numFmtId="171" fontId="32" fillId="0" borderId="3" pivotButton="0" quotePrefix="0" xfId="0"/>
    <xf numFmtId="166" fontId="8" fillId="0" borderId="3" pivotButton="0" quotePrefix="0" xfId="0"/>
    <xf numFmtId="0" fontId="15" fillId="4" borderId="3" applyAlignment="1" pivotButton="0" quotePrefix="0" xfId="0">
      <alignment vertical="top" wrapText="1"/>
    </xf>
    <xf numFmtId="168" fontId="31" fillId="0" borderId="8" pivotButton="0" quotePrefix="0" xfId="0"/>
    <xf numFmtId="0" fontId="15" fillId="11" borderId="3" applyAlignment="1" pivotButton="0" quotePrefix="0" xfId="0">
      <alignment vertical="top" wrapText="1"/>
    </xf>
    <xf numFmtId="168" fontId="31" fillId="0" borderId="3" pivotButton="0" quotePrefix="0" xfId="0"/>
    <xf numFmtId="168" fontId="33" fillId="0" borderId="3" pivotButton="0" quotePrefix="0" xfId="0"/>
    <xf numFmtId="0" fontId="4" fillId="12" borderId="3" applyAlignment="1" pivotButton="0" quotePrefix="0" xfId="0">
      <alignment vertical="top" wrapText="1"/>
    </xf>
    <xf numFmtId="0" fontId="18" fillId="0" borderId="3" pivotButton="0" quotePrefix="0" xfId="0"/>
    <xf numFmtId="0" fontId="0" fillId="9" borderId="3" pivotButton="0" quotePrefix="0" xfId="0"/>
    <xf numFmtId="0" fontId="31" fillId="0" borderId="9" pivotButton="0" quotePrefix="0" xfId="0"/>
    <xf numFmtId="0" fontId="37" fillId="8" borderId="3" pivotButton="0" quotePrefix="0" xfId="1"/>
    <xf numFmtId="0" fontId="37" fillId="18" borderId="3" pivotButton="0" quotePrefix="0" xfId="3"/>
    <xf numFmtId="0" fontId="37" fillId="10" borderId="3" pivotButton="0" quotePrefix="0" xfId="2"/>
    <xf numFmtId="0" fontId="0" fillId="19" borderId="3" pivotButton="0" quotePrefix="0" xfId="0"/>
    <xf numFmtId="0" fontId="38" fillId="0" borderId="3" pivotButton="0" quotePrefix="0" xfId="0"/>
    <xf numFmtId="0" fontId="44" fillId="0" borderId="12" pivotButton="0" quotePrefix="0" xfId="0"/>
    <xf numFmtId="0" fontId="44" fillId="0" borderId="14" pivotButton="0" quotePrefix="0" xfId="0"/>
    <xf numFmtId="0" fontId="44" fillId="0" borderId="13" pivotButton="0" quotePrefix="0" xfId="0"/>
    <xf numFmtId="0" fontId="44" fillId="0" borderId="11" pivotButton="0" quotePrefix="0" xfId="0"/>
    <xf numFmtId="0" fontId="40" fillId="0" borderId="3" pivotButton="0" quotePrefix="0" xfId="0"/>
    <xf numFmtId="0" fontId="39" fillId="0" borderId="3" pivotButton="0" quotePrefix="0" xfId="0"/>
    <xf numFmtId="0" fontId="39" fillId="0" borderId="10" pivotButton="0" quotePrefix="0" xfId="0"/>
    <xf numFmtId="0" fontId="39" fillId="0" borderId="11" pivotButton="0" quotePrefix="0" xfId="0"/>
    <xf numFmtId="0" fontId="41" fillId="0" borderId="3" pivotButton="0" quotePrefix="0" xfId="0"/>
    <xf numFmtId="0" fontId="41" fillId="0" borderId="11" pivotButton="0" quotePrefix="0" xfId="0"/>
    <xf numFmtId="0" fontId="39" fillId="0" borderId="12" pivotButton="0" quotePrefix="0" xfId="0"/>
    <xf numFmtId="0" fontId="39" fillId="0" borderId="13" pivotButton="0" quotePrefix="0" xfId="0"/>
    <xf numFmtId="0" fontId="39" fillId="0" borderId="14" pivotButton="0" quotePrefix="0" xfId="0"/>
    <xf numFmtId="0" fontId="0" fillId="0" borderId="11" pivotButton="0" quotePrefix="0" xfId="0"/>
    <xf numFmtId="0" fontId="41" fillId="9" borderId="3" pivotButton="0" quotePrefix="0" xfId="0"/>
    <xf numFmtId="0" fontId="42" fillId="0" borderId="3" pivotButton="0" quotePrefix="0" xfId="0"/>
    <xf numFmtId="0" fontId="43" fillId="0" borderId="3" pivotButton="0" quotePrefix="0" xfId="0"/>
    <xf numFmtId="165" fontId="43" fillId="0" borderId="3" pivotButton="0" quotePrefix="0" xfId="0"/>
    <xf numFmtId="2" fontId="43" fillId="0" borderId="3" pivotButton="0" quotePrefix="0" xfId="0"/>
    <xf numFmtId="0" fontId="4" fillId="19" borderId="3" applyAlignment="1" pivotButton="0" quotePrefix="0" xfId="0">
      <alignment vertical="top" wrapText="1"/>
    </xf>
    <xf numFmtId="166" fontId="43" fillId="0" borderId="3" pivotButton="0" quotePrefix="0" xfId="0"/>
    <xf numFmtId="167" fontId="43" fillId="0" borderId="3" pivotButton="0" quotePrefix="0" xfId="0"/>
    <xf numFmtId="0" fontId="5" fillId="19" borderId="3" applyAlignment="1" pivotButton="0" quotePrefix="0" xfId="0">
      <alignment vertical="top" wrapText="1"/>
    </xf>
    <xf numFmtId="0" fontId="15" fillId="19" borderId="3" applyAlignment="1" pivotButton="0" quotePrefix="0" xfId="0">
      <alignment vertical="top" wrapText="1"/>
    </xf>
    <xf numFmtId="168" fontId="43" fillId="0" borderId="3" pivotButton="0" quotePrefix="0" xfId="0"/>
    <xf numFmtId="0" fontId="45" fillId="0" borderId="12" pivotButton="0" quotePrefix="0" xfId="0"/>
    <xf numFmtId="0" fontId="45" fillId="0" borderId="14" pivotButton="0" quotePrefix="0" xfId="0"/>
    <xf numFmtId="0" fontId="45" fillId="0" borderId="13" pivotButton="0" quotePrefix="0" xfId="0"/>
    <xf numFmtId="0" fontId="45" fillId="0" borderId="11" pivotButton="0" quotePrefix="0" xfId="0"/>
    <xf numFmtId="0" fontId="46" fillId="0" borderId="3" pivotButton="0" quotePrefix="0" xfId="0"/>
    <xf numFmtId="0" fontId="45" fillId="0" borderId="3" pivotButton="0" quotePrefix="0" xfId="0"/>
    <xf numFmtId="0" fontId="47" fillId="0" borderId="3" pivotButton="0" quotePrefix="0" xfId="0"/>
    <xf numFmtId="0" fontId="48" fillId="0" borderId="3" pivotButton="0" quotePrefix="0" xfId="0"/>
    <xf numFmtId="0" fontId="49" fillId="0" borderId="3" pivotButton="0" quotePrefix="0" xfId="0"/>
    <xf numFmtId="165" fontId="49" fillId="0" borderId="3" pivotButton="0" quotePrefix="0" xfId="0"/>
    <xf numFmtId="0" fontId="46" fillId="3" borderId="3" applyAlignment="1" pivotButton="0" quotePrefix="0" xfId="0">
      <alignment vertical="top" wrapText="1"/>
    </xf>
    <xf numFmtId="2" fontId="49" fillId="0" borderId="3" pivotButton="0" quotePrefix="0" xfId="0"/>
    <xf numFmtId="0" fontId="46" fillId="2" borderId="3" applyAlignment="1" pivotButton="0" quotePrefix="0" xfId="0">
      <alignment vertical="top" wrapText="1"/>
    </xf>
    <xf numFmtId="0" fontId="46" fillId="7" borderId="3" applyAlignment="1" pivotButton="0" quotePrefix="0" xfId="0">
      <alignment vertical="top" wrapText="1"/>
    </xf>
    <xf numFmtId="0" fontId="46" fillId="5" borderId="3" applyAlignment="1" pivotButton="0" quotePrefix="0" xfId="0">
      <alignment vertical="top" wrapText="1"/>
    </xf>
    <xf numFmtId="0" fontId="46" fillId="6" borderId="3" applyAlignment="1" pivotButton="0" quotePrefix="0" xfId="0">
      <alignment vertical="top" wrapText="1"/>
    </xf>
    <xf numFmtId="0" fontId="50" fillId="0" borderId="3" pivotButton="0" quotePrefix="0" xfId="0"/>
    <xf numFmtId="166" fontId="49" fillId="0" borderId="3" pivotButton="0" quotePrefix="0" xfId="0"/>
    <xf numFmtId="167" fontId="49" fillId="0" borderId="3" pivotButton="0" quotePrefix="0" xfId="0"/>
    <xf numFmtId="0" fontId="46" fillId="9" borderId="3" applyAlignment="1" pivotButton="0" quotePrefix="0" xfId="0">
      <alignment vertical="top" wrapText="1"/>
    </xf>
    <xf numFmtId="0" fontId="46" fillId="19" borderId="3" applyAlignment="1" pivotButton="0" quotePrefix="0" xfId="0">
      <alignment vertical="top" wrapText="1"/>
    </xf>
    <xf numFmtId="168" fontId="49" fillId="0" borderId="3" pivotButton="0" quotePrefix="0" xfId="0"/>
    <xf numFmtId="0" fontId="46" fillId="4" borderId="3" applyAlignment="1" pivotButton="0" quotePrefix="0" xfId="0">
      <alignment vertical="top" wrapText="1"/>
    </xf>
    <xf numFmtId="0" fontId="46" fillId="11" borderId="3" applyAlignment="1" pivotButton="0" quotePrefix="0" xfId="0">
      <alignment vertical="top" wrapText="1"/>
    </xf>
    <xf numFmtId="168" fontId="51" fillId="0" borderId="3" pivotButton="0" quotePrefix="0" xfId="0"/>
  </cellXfs>
  <cellStyles count="4">
    <cellStyle name="Normal" xfId="0" builtinId="0"/>
    <cellStyle name="Good" xfId="1" builtinId="26"/>
    <cellStyle name="Bad" xfId="2" builtinId="27"/>
    <cellStyle name="Neutral" xfId="3" builtinId="28"/>
  </cellStyles>
  <dxfs count="23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84"/>
          <bgColor rgb="FFFFEB84"/>
        </patternFill>
      </fill>
    </dxf>
    <dxf>
      <fill>
        <patternFill patternType="solid">
          <fgColor rgb="FF63BE7B"/>
          <bgColor rgb="FF63BE7B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8696B"/>
          <bgColor rgb="FFF8696B"/>
        </patternFill>
      </fill>
    </dxf>
    <dxf>
      <fill>
        <patternFill patternType="solid">
          <fgColor rgb="FF63BE7B"/>
          <bgColor rgb="FF63BE7B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8696B"/>
          <bgColor rgb="FFF8696B"/>
        </patternFill>
      </fill>
    </dxf>
    <dxf>
      <fill>
        <patternFill patternType="solid">
          <fgColor rgb="FFF8696B"/>
          <bgColor rgb="FFF8696B"/>
        </patternFill>
      </fill>
    </dxf>
    <dxf>
      <fill>
        <patternFill patternType="solid">
          <fgColor rgb="FF63BE7B"/>
          <bgColor rgb="FF63BE7B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7030A0"/>
      <rgbColor rgb="FFFFF2CC"/>
      <rgbColor rgb="FFFCE4D6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1"/>
    <outlinePr summaryBelow="1" summaryRight="1"/>
    <pageSetUpPr/>
  </sheetPr>
  <dimension ref="A1:F68"/>
  <sheetViews>
    <sheetView topLeftCell="A28" zoomScale="113" workbookViewId="0">
      <selection activeCell="D21" sqref="D21"/>
    </sheetView>
  </sheetViews>
  <sheetFormatPr baseColWidth="10" defaultColWidth="8.83203125" defaultRowHeight="15"/>
  <cols>
    <col width="34" customWidth="1" min="1" max="1"/>
    <col width="13" customWidth="1" min="2" max="2"/>
    <col width="6" customWidth="1" min="3" max="3"/>
    <col width="24.6640625" customWidth="1" min="4" max="4"/>
    <col width="13.1640625" bestFit="1" customWidth="1" min="5" max="5"/>
    <col width="110.5" bestFit="1" customWidth="1" style="2" min="6" max="6"/>
  </cols>
  <sheetData>
    <row r="1">
      <c r="A1" s="16" t="inlineStr">
        <is>
          <t>Parameter</t>
        </is>
      </c>
      <c r="B1" s="16" t="inlineStr">
        <is>
          <t>Name</t>
        </is>
      </c>
      <c r="C1" s="16" t="inlineStr">
        <is>
          <t>Unit</t>
        </is>
      </c>
      <c r="D1" s="16" t="inlineStr">
        <is>
          <t>Value</t>
        </is>
      </c>
      <c r="E1" s="16" t="inlineStr">
        <is>
          <t>Source</t>
        </is>
      </c>
      <c r="F1" s="16" t="inlineStr">
        <is>
          <t>Comment</t>
        </is>
      </c>
    </row>
    <row r="2" ht="16" customHeight="1" thickBot="1">
      <c r="A2" s="17" t="inlineStr">
        <is>
          <t>Reactor</t>
        </is>
      </c>
      <c r="B2" s="18" t="inlineStr">
        <is>
          <t>Reactor_sel</t>
        </is>
      </c>
      <c r="C2" s="19" t="n"/>
      <c r="D2" s="137" t="inlineStr">
        <is>
          <t>ed04</t>
        </is>
      </c>
      <c r="E2" s="20" t="inlineStr">
        <is>
          <t>select</t>
        </is>
      </c>
      <c r="F2" s="21" t="inlineStr">
        <is>
          <t>Active build. Choose from the values below. Dropdown.</t>
        </is>
      </c>
    </row>
    <row r="3" ht="16" customHeight="1" thickBot="1">
      <c r="A3" s="17" t="inlineStr">
        <is>
          <t>Electrode</t>
        </is>
      </c>
      <c r="B3" s="18" t="inlineStr">
        <is>
          <t>electrode_sel</t>
        </is>
      </c>
      <c r="C3" s="19" t="n"/>
      <c r="D3" s="138" t="inlineStr">
        <is>
          <t>MMO tube</t>
        </is>
      </c>
      <c r="E3" s="20" t="inlineStr">
        <is>
          <t>select</t>
        </is>
      </c>
      <c r="F3" s="21" t="inlineStr">
        <is>
          <t>CO₂ delivery route. Choose from the values below. Dropdown.</t>
        </is>
      </c>
    </row>
    <row r="4">
      <c r="A4" s="17" t="inlineStr">
        <is>
          <t>HOB organism</t>
        </is>
      </c>
      <c r="B4" s="18" t="inlineStr">
        <is>
          <t>organism_sel</t>
        </is>
      </c>
      <c r="C4" s="19" t="n"/>
      <c r="D4" s="139" t="inlineStr">
        <is>
          <t>Cupriavidus necator</t>
        </is>
      </c>
      <c r="E4" s="20" t="inlineStr">
        <is>
          <t>select</t>
        </is>
      </c>
      <c r="F4" s="21" t="inlineStr">
        <is>
          <t>The HOB strain; sets the DO band the schedule targets.</t>
        </is>
      </c>
    </row>
    <row r="5">
      <c r="A5" s="20" t="inlineStr">
        <is>
          <t>Media</t>
        </is>
      </c>
      <c r="B5" s="18" t="inlineStr">
        <is>
          <t>media_sel</t>
        </is>
      </c>
      <c r="C5" s="20" t="n"/>
      <c r="D5" s="139" t="inlineStr">
        <is>
          <t>Sydow 2017 minimal</t>
        </is>
      </c>
      <c r="E5" s="20" t="inlineStr">
        <is>
          <t>select</t>
        </is>
      </c>
      <c r="F5" s="21" t="inlineStr">
        <is>
          <t>Growth medium.</t>
        </is>
      </c>
    </row>
    <row r="6">
      <c r="A6" s="20" t="inlineStr">
        <is>
          <t>LED intensity setpoint</t>
        </is>
      </c>
      <c r="B6" s="18" t="inlineStr">
        <is>
          <t>led_intensity</t>
        </is>
      </c>
      <c r="C6" s="20" t="inlineStr">
        <is>
          <t>%</t>
        </is>
      </c>
      <c r="D6" s="140" t="n">
        <v>3</v>
      </c>
      <c r="E6" s="20" t="inlineStr">
        <is>
          <t>input</t>
        </is>
      </c>
      <c r="F6" s="21" t="inlineStr">
        <is>
          <t>Pioreactor LED channel % driving electrolysis current (Gerrit's Law, valid 3-25%).</t>
        </is>
      </c>
    </row>
    <row r="7">
      <c r="A7" s="20" t="inlineStr">
        <is>
          <t>Stirrer rate</t>
        </is>
      </c>
      <c r="B7" s="18" t="inlineStr">
        <is>
          <t>stir_rpm_set</t>
        </is>
      </c>
      <c r="C7" s="20" t="inlineStr">
        <is>
          <t>rpm</t>
        </is>
      </c>
      <c r="D7" s="140" t="n">
        <v>1000</v>
      </c>
      <c r="E7" s="20" t="inlineStr">
        <is>
          <t>input</t>
        </is>
      </c>
      <c r="F7" s="21" t="inlineStr">
        <is>
          <t>Stir rate; sets tip speed and surface O2 transfer.</t>
        </is>
      </c>
    </row>
    <row r="8">
      <c r="A8" s="20" t="inlineStr">
        <is>
          <t>Temperature setpoint</t>
        </is>
      </c>
      <c r="B8" s="18" t="inlineStr">
        <is>
          <t>temp_C</t>
        </is>
      </c>
      <c r="C8" s="20" t="inlineStr">
        <is>
          <t>°C</t>
        </is>
      </c>
      <c r="D8" s="140" t="n">
        <v>30</v>
      </c>
      <c r="E8" s="20" t="inlineStr">
        <is>
          <t>input</t>
        </is>
      </c>
      <c r="F8" s="21" t="inlineStr">
        <is>
          <t>Temperature setpoint; sets Henry solubilities and rates.</t>
        </is>
      </c>
    </row>
    <row r="9">
      <c r="A9" s="20" t="inlineStr">
        <is>
          <t>Media volume</t>
        </is>
      </c>
      <c r="B9" s="18" t="inlineStr">
        <is>
          <t>media_volume</t>
        </is>
      </c>
      <c r="C9" s="20" t="inlineStr">
        <is>
          <t>mL</t>
        </is>
      </c>
      <c r="D9" s="140" t="n"/>
      <c r="E9" s="20" t="inlineStr">
        <is>
          <t>input/blank</t>
        </is>
      </c>
      <c r="F9" s="21" t="inlineStr">
        <is>
          <t>Liquid charged; leave blank to use the reactor's recommended max working volume.</t>
        </is>
      </c>
    </row>
    <row r="10" ht="16" customHeight="1">
      <c r="A10" s="20" t="inlineStr">
        <is>
          <t>Ambient pressure</t>
        </is>
      </c>
      <c r="B10" s="18" t="inlineStr">
        <is>
          <t>P_atm_set</t>
        </is>
      </c>
      <c r="C10" s="20" t="inlineStr">
        <is>
          <t>Pa</t>
        </is>
      </c>
      <c r="D10" s="140" t="n"/>
      <c r="E10" s="20" t="inlineStr">
        <is>
          <t>input/blank</t>
        </is>
      </c>
      <c r="F10" s="141" t="inlineStr">
        <is>
          <t>blank = default 101325 Pa</t>
        </is>
      </c>
    </row>
    <row r="11">
      <c r="A11" s="20" t="n"/>
      <c r="B11" s="20" t="n"/>
      <c r="C11" s="20" t="n"/>
      <c r="D11" s="142" t="n"/>
      <c r="E11" s="20" t="n"/>
      <c r="F11" s="21" t="n"/>
    </row>
    <row r="12" ht="16" customHeight="1" thickBot="1">
      <c r="A12" s="16" t="inlineStr">
        <is>
          <t>Results</t>
        </is>
      </c>
      <c r="B12" s="16" t="inlineStr">
        <is>
          <t>Name</t>
        </is>
      </c>
      <c r="C12" s="16" t="inlineStr">
        <is>
          <t>Unit</t>
        </is>
      </c>
      <c r="D12" s="16" t="inlineStr">
        <is>
          <t>Value</t>
        </is>
      </c>
      <c r="E12" s="16" t="inlineStr">
        <is>
          <t>Source</t>
        </is>
      </c>
      <c r="F12" s="16" t="inlineStr">
        <is>
          <t>Comment</t>
        </is>
      </c>
    </row>
    <row r="13" ht="16" customHeight="1" thickBot="1">
      <c r="A13" s="117" t="inlineStr">
        <is>
          <t>CO₂ pulse duration</t>
        </is>
      </c>
      <c r="B13" s="20" t="n"/>
      <c r="C13" s="20" t="inlineStr">
        <is>
          <t>s</t>
        </is>
      </c>
      <c r="D13" s="118">
        <f>IFERROR('Mass Transfer'!$D$90,"calibrate this reactor first (see CO2 flows)")</f>
        <v/>
      </c>
      <c r="E13" s="24">
        <f>HYPERLINK("#'Mass Transfer'!D90","→ Mass")</f>
        <v/>
      </c>
      <c r="F13" s="21" t="inlineStr">
        <is>
          <t>How long to open the CO2 solenoid each dose.</t>
        </is>
      </c>
    </row>
    <row r="14" ht="16" customFormat="1" customHeight="1" s="3" thickBot="1">
      <c r="A14" s="117" t="inlineStr">
        <is>
          <t>CO₂ pulse duration (rounded)</t>
        </is>
      </c>
      <c r="B14" s="20" t="n"/>
      <c r="C14" s="20" t="inlineStr">
        <is>
          <t>s</t>
        </is>
      </c>
      <c r="D14" s="119">
        <f>IF(D13&gt;0.5,ROUND(D13,0),ROUND(D13,1-(1+INT(LOG10(ABS(D13))))))</f>
        <v/>
      </c>
      <c r="E14" s="20" t="n"/>
      <c r="F14" s="21" t="n"/>
    </row>
    <row r="15" ht="16" customHeight="1" thickBot="1">
      <c r="A15" s="117" t="inlineStr">
        <is>
          <t>CO₂ sparge interval</t>
        </is>
      </c>
      <c r="B15" s="20" t="n"/>
      <c r="C15" s="20" t="inlineStr">
        <is>
          <t>min</t>
        </is>
      </c>
      <c r="D15" s="118">
        <f>IFERROR('Mass Transfer'!$D$91,"calibrate this reactor first (see CO2 flows)")</f>
        <v/>
      </c>
      <c r="E15" s="24">
        <f>HYPERLINK("#'Mass Transfer'!D91","→ Mass")</f>
        <v/>
      </c>
      <c r="F15" s="21" t="inlineStr">
        <is>
          <t>Time between doses (conservative, O2-safe). The 'interval can be relaxed?' check below says if you can dose less often.</t>
        </is>
      </c>
    </row>
    <row r="16">
      <c r="A16" s="117" t="inlineStr">
        <is>
          <t>CO₂ sparge interval rounded)</t>
        </is>
      </c>
      <c r="B16" s="20" t="n"/>
      <c r="C16" s="20" t="inlineStr">
        <is>
          <t>min</t>
        </is>
      </c>
      <c r="D16" s="119">
        <f>IF(D15&gt;0.5,ROUND(D15,0),ROUND(D15,1-(1+INT(LOG10(ABS(D15))))))</f>
        <v/>
      </c>
      <c r="E16" s="120" t="n"/>
      <c r="F16" s="21" t="n"/>
    </row>
    <row r="17" customFormat="1" s="3">
      <c r="A17" s="117" t="n"/>
      <c r="B17" s="20" t="n"/>
      <c r="C17" s="20" t="n"/>
      <c r="D17" s="121" t="n"/>
      <c r="E17" s="120" t="n"/>
      <c r="F17" s="21" t="n"/>
    </row>
    <row r="18">
      <c r="A18" s="16" t="inlineStr">
        <is>
          <t>Checks</t>
        </is>
      </c>
      <c r="B18" s="16" t="n"/>
      <c r="C18" s="16" t="n"/>
      <c r="D18" s="16" t="inlineStr">
        <is>
          <t>Value</t>
        </is>
      </c>
      <c r="E18" s="16" t="inlineStr">
        <is>
          <t>Source</t>
        </is>
      </c>
      <c r="F18" s="16" t="inlineStr">
        <is>
          <t>Comment</t>
        </is>
      </c>
    </row>
    <row r="19">
      <c r="A19" s="117" t="inlineStr">
        <is>
          <t>Vial geometry consistent?</t>
        </is>
      </c>
      <c r="B19" s="20" t="n"/>
      <c r="C19" s="20" t="n"/>
      <c r="D19" s="122">
        <f>Geometry!$D$90</f>
        <v/>
      </c>
      <c r="E19" s="24">
        <f>HYPERLINK("#Geometry!D90","→ Geometry")</f>
        <v/>
      </c>
      <c r="F19" s="21" t="inlineStr">
        <is>
          <t>Red until the vial headspace is measured (vial-geometry.md). While red, the pulse above is provisional (~4x uncertain).</t>
        </is>
      </c>
    </row>
    <row r="20">
      <c r="A20" s="117" t="inlineStr">
        <is>
          <t>Reactor calibrated?</t>
        </is>
      </c>
      <c r="B20" s="20" t="n"/>
      <c r="C20" s="20" t="n"/>
      <c r="D20" s="118">
        <f>'Mass Transfer'!$D$120</f>
        <v/>
      </c>
      <c r="E20" s="24">
        <f>HYPERLINK("#'Mass Transfer'!D120","→ Mass")</f>
        <v/>
      </c>
      <c r="F20" s="21" t="inlineStr">
        <is>
          <t>Red = no CO2-flow calibration for this reactor; results read 'calibrate first' (flow-calibration.md).</t>
        </is>
      </c>
    </row>
    <row r="21">
      <c r="A21" s="117" t="inlineStr">
        <is>
          <t>O₂ at/under organism optimum?</t>
        </is>
      </c>
      <c r="B21" s="20" t="n"/>
      <c r="C21" s="20" t="n"/>
      <c r="D21" s="118">
        <f>'Mass Transfer'!$D$109</f>
        <v/>
      </c>
      <c r="E21" s="24">
        <f>HYPERLINK("#'Mass Transfer'!D109","→ Mass")</f>
        <v/>
      </c>
      <c r="F21" s="21" t="inlineStr">
        <is>
          <t>Green = dissolved O2 sits at/under the organism optimum; red = surface stripping insufficient, O2 may breach impairment.</t>
        </is>
      </c>
    </row>
    <row r="22">
      <c r="A22" s="117" t="inlineStr">
        <is>
          <t>O₂ above organism minimum?</t>
        </is>
      </c>
      <c r="B22" s="20" t="n"/>
      <c r="C22" s="20" t="n"/>
      <c r="D22" s="118">
        <f>'Mass Transfer'!$D$110</f>
        <v/>
      </c>
      <c r="E22" s="24">
        <f>HYPERLINK("#'Mass Transfer'!D110","→ Mass")</f>
        <v/>
      </c>
      <c r="F22" s="21" t="inlineStr">
        <is>
          <t>Minimum DO is a data gap for most organisms (dissolved-oxygen.md).</t>
        </is>
      </c>
    </row>
    <row r="23">
      <c r="A23" s="117" t="inlineStr">
        <is>
          <t>Interval can be relaxed (carbon-limited)?</t>
        </is>
      </c>
      <c r="B23" s="20" t="n"/>
      <c r="C23" s="20" t="n"/>
      <c r="D23" s="118">
        <f>'Mass Transfer'!$D$113</f>
        <v/>
      </c>
      <c r="E23" s="24">
        <f>HYPERLINK("#'Mass Transfer'!D113","→ Mass")</f>
        <v/>
      </c>
      <c r="F23" s="21" t="inlineStr">
        <is>
          <t>If surface stripping handles O2 you may dose far less often (the carbon-limited interval, in Supporting figures). The interval above is the safe fallback until kL_surf is measured.</t>
        </is>
      </c>
    </row>
    <row r="24">
      <c r="A24" s="117" t="inlineStr">
        <is>
          <t>H₂ headspace safe?</t>
        </is>
      </c>
      <c r="B24" s="20" t="n"/>
      <c r="C24" s="20" t="n"/>
      <c r="D24" s="123">
        <f>Biology!$D$44</f>
        <v/>
      </c>
      <c r="E24" s="24">
        <f>HYPERLINK("#Biology!D44","→ Biology")</f>
        <v/>
      </c>
      <c r="F24" s="21" t="inlineStr">
        <is>
          <t>EXPLOSIVE = H2 evolves faster than it dissolves; ensure headspace venting and no ignition source.</t>
        </is>
      </c>
    </row>
    <row r="25">
      <c r="A25" s="117" t="inlineStr">
        <is>
          <t>Bubble model valid?</t>
        </is>
      </c>
      <c r="B25" s="20" t="n"/>
      <c r="C25" s="20" t="n"/>
      <c r="D25" s="118">
        <f>'Mass Transfer'!$D$64</f>
        <v/>
      </c>
      <c r="E25" s="24">
        <f>HYPERLINK("#'Mass Transfer'!D64","→ Mass")</f>
        <v/>
      </c>
      <c r="F25" s="21" t="inlineStr">
        <is>
          <t>'Sinter OOR' = sinter pore size out of the validated bubble range; sparge mass-transfer is approximate (expected for the porosity-0 disc).</t>
        </is>
      </c>
    </row>
    <row r="26">
      <c r="A26" s="117" t="inlineStr">
        <is>
          <t>CO₂ supply meets demand?</t>
        </is>
      </c>
      <c r="B26" s="20" t="n"/>
      <c r="C26" s="20" t="n"/>
      <c r="D26" s="118">
        <f>IFERROR(IF('Mass Transfer'!$D$126&gt;=1,"OK","UNDER (CO2 &lt; demand)"),"calibrate this reactor first")</f>
        <v/>
      </c>
      <c r="E26" s="24">
        <f>HYPERLINK("#'Mass Transfer'!D126","→ Mass")</f>
        <v/>
      </c>
      <c r="F26" s="21" t="inlineStr">
        <is>
          <t>Ratio of CO2 supplied to carbon demand; should be &gt;= 1.</t>
        </is>
      </c>
    </row>
    <row r="27">
      <c r="A27" s="117" t="inlineStr">
        <is>
          <t>Pulse ≥ solenoid floor?</t>
        </is>
      </c>
      <c r="B27" s="20" t="n"/>
      <c r="C27" s="20" t="n"/>
      <c r="D27" s="118">
        <f>IFERROR('Mass Transfer'!$D$130,"calibrate this reactor first (see CO2 flows)")</f>
        <v/>
      </c>
      <c r="E27" s="24">
        <f>HYPERLINK("#'Mass Transfer'!D130","→ Mass")</f>
        <v/>
      </c>
      <c r="F27" s="21" t="inlineStr">
        <is>
          <t>The optimal pulse must exceed the shortest reliable sparge.</t>
        </is>
      </c>
    </row>
    <row r="28">
      <c r="A28" s="117" t="inlineStr">
        <is>
          <t>Dosing window OK?</t>
        </is>
      </c>
      <c r="B28" s="20" t="n"/>
      <c r="C28" s="20" t="n"/>
      <c r="D28" s="118">
        <f>IFERROR('Mass Transfer'!$D$95,"calibrate this reactor first (see CO2 flows)")</f>
        <v/>
      </c>
      <c r="E28" s="24">
        <f>HYPERLINK("#'Mass Transfer'!D95","→ Mass")</f>
        <v/>
      </c>
      <c r="F28" s="21" t="inlineStr">
        <is>
          <t>Enough gap between doses to read OD without sparging.</t>
        </is>
      </c>
    </row>
    <row r="29">
      <c r="A29" s="117" t="inlineStr">
        <is>
          <t>Carryover risk?</t>
        </is>
      </c>
      <c r="B29" s="20" t="n"/>
      <c r="C29" s="20" t="n"/>
      <c r="D29" s="118">
        <f>'Mass Transfer'!$D$59</f>
        <v/>
      </c>
      <c r="E29" s="24">
        <f>HYPERLINK("#'Mass Transfer'!D59","→ Mass")</f>
        <v/>
      </c>
      <c r="F29" s="21" t="inlineStr">
        <is>
          <t>Gas velocity below the entrainment limit (no liquid carried out).</t>
        </is>
      </c>
    </row>
    <row r="30">
      <c r="A30" s="117" t="inlineStr">
        <is>
          <t>Tip-speed shear OK?</t>
        </is>
      </c>
      <c r="B30" s="20" t="n"/>
      <c r="C30" s="20" t="n"/>
      <c r="D30" s="118">
        <f>'Mass Transfer'!$D$111</f>
        <v/>
      </c>
      <c r="E30" s="24">
        <f>HYPERLINK("#'Mass Transfer'!D111","→ Mass")</f>
        <v/>
      </c>
      <c r="F30" s="21" t="inlineStr">
        <is>
          <t>Stirrer tip speed under the conservative 1.5 m/s shear limit.</t>
        </is>
      </c>
    </row>
    <row r="31">
      <c r="A31" s="117" t="inlineStr">
        <is>
          <t>Media volume fits vial?</t>
        </is>
      </c>
      <c r="B31" s="20" t="n"/>
      <c r="C31" s="20" t="n"/>
      <c r="D31" s="122">
        <f>Geometry!$D$54</f>
        <v/>
      </c>
      <c r="E31" s="24">
        <f>HYPERLINK("#Geometry!D54","→ Geometry")</f>
        <v/>
      </c>
      <c r="F31" s="21" t="inlineStr">
        <is>
          <t>Media volume not exceeding the max working volume.</t>
        </is>
      </c>
    </row>
    <row r="32">
      <c r="A32" s="117" t="inlineStr">
        <is>
          <t>Liquid level OK?</t>
        </is>
      </c>
      <c r="B32" s="20" t="n"/>
      <c r="C32" s="20" t="n"/>
      <c r="D32" s="122">
        <f>Geometry!$D$55</f>
        <v/>
      </c>
      <c r="E32" s="24">
        <f>HYPERLINK("#Geometry!D55","→ Geometry")</f>
        <v/>
      </c>
      <c r="F32" s="21" t="inlineStr">
        <is>
          <t>Liquid not above the usable vial depth.</t>
        </is>
      </c>
    </row>
    <row r="33">
      <c r="A33" s="117" t="inlineStr">
        <is>
          <t>LED current-law in range?</t>
        </is>
      </c>
      <c r="B33" s="20" t="n"/>
      <c r="C33" s="20" t="n"/>
      <c r="D33" s="124">
        <f>Electrochemistry!$D$20</f>
        <v/>
      </c>
      <c r="E33" s="24">
        <f>HYPERLINK("#Electrochemistry!D20","→ Electrochemistry")</f>
        <v/>
      </c>
      <c r="F33" s="21" t="inlineStr">
        <is>
          <t>LED intensity within Gerrit's-Law validated band 3-25% (gerrit-current.md).</t>
        </is>
      </c>
    </row>
    <row r="34">
      <c r="A34" s="117" t="n"/>
      <c r="B34" s="20" t="n"/>
      <c r="C34" s="20" t="n"/>
      <c r="D34" s="125" t="n"/>
      <c r="E34" s="20" t="n"/>
      <c r="F34" s="21" t="n"/>
    </row>
    <row r="35">
      <c r="A35" s="143" t="inlineStr">
        <is>
          <t>SUPPORTING FIGURES</t>
        </is>
      </c>
      <c r="B35" s="20" t="n"/>
      <c r="C35" s="20" t="n"/>
      <c r="D35" s="20" t="n"/>
      <c r="E35" s="20" t="n"/>
      <c r="F35" s="21" t="n"/>
    </row>
    <row r="36">
      <c r="A36" s="117" t="inlineStr">
        <is>
          <t>Steady-state DO (surface)</t>
        </is>
      </c>
      <c r="B36" s="142" t="n"/>
      <c r="C36" s="31" t="inlineStr">
        <is>
          <t>mg/L</t>
        </is>
      </c>
      <c r="D36" s="118">
        <f>'Mass Transfer'!$D$108</f>
        <v/>
      </c>
      <c r="E36" s="24">
        <f>HYPERLINK("#'Mass Transfer'!D108","→ Mass")</f>
        <v/>
      </c>
      <c r="F36" s="21" t="inlineStr">
        <is>
          <t>Predicted dissolved O2 the surface stripping settles at; compare to the organism band.</t>
        </is>
      </c>
    </row>
    <row r="37">
      <c r="A37" s="117" t="inlineStr">
        <is>
          <t>Sparge interval if O₂ handled</t>
        </is>
      </c>
      <c r="B37" s="142" t="n"/>
      <c r="C37" s="31" t="inlineStr">
        <is>
          <t>min</t>
        </is>
      </c>
      <c r="D37" s="118">
        <f>'Mass Transfer'!$D$112</f>
        <v/>
      </c>
      <c r="E37" s="24">
        <f>HYPERLINK("#'Mass Transfer'!D112","→ Mass")</f>
        <v/>
      </c>
      <c r="F37" s="21" t="inlineStr">
        <is>
          <t>The longer (carbon-limited) interval usable if the 'relaxed' check is green.</t>
        </is>
      </c>
    </row>
    <row r="38">
      <c r="A38" s="117" t="inlineStr">
        <is>
          <t>Stir-bar tip speed</t>
        </is>
      </c>
      <c r="B38" s="20" t="n"/>
      <c r="C38" s="20" t="inlineStr">
        <is>
          <t>m/s</t>
        </is>
      </c>
      <c r="D38" s="118">
        <f>'Mass Transfer'!$D$68</f>
        <v/>
      </c>
      <c r="E38" s="24">
        <f>HYPERLINK("#'Mass Transfer'!D68","→ Mass")</f>
        <v/>
      </c>
      <c r="F38" s="21" t="inlineStr">
        <is>
          <t>Checked against 1.5 m/s above.</t>
        </is>
      </c>
    </row>
    <row r="39">
      <c r="A39" s="117" t="inlineStr">
        <is>
          <t>Carbon margin</t>
        </is>
      </c>
      <c r="B39" s="20" t="n"/>
      <c r="C39" s="20" t="inlineStr">
        <is>
          <t>×</t>
        </is>
      </c>
      <c r="D39" s="123">
        <f>Biology!$D$35</f>
        <v/>
      </c>
      <c r="E39" s="24">
        <f>HYPERLINK("#Biology!D35","→ Biology")</f>
        <v/>
      </c>
      <c r="F39" s="21" t="inlineStr">
        <is>
          <t>Dissolved CO2 vs RuBisCO Km at in-sparge peak; large = ample carbon.</t>
        </is>
      </c>
    </row>
    <row r="40">
      <c r="A40" s="20" t="n"/>
      <c r="B40" s="20" t="n"/>
      <c r="C40" s="20" t="n"/>
      <c r="D40" s="20" t="n"/>
      <c r="E40" s="20" t="n"/>
      <c r="F40" s="20" t="n"/>
    </row>
    <row r="41">
      <c r="A41" s="16" t="inlineStr">
        <is>
          <t>Key</t>
        </is>
      </c>
      <c r="B41" s="16" t="n"/>
      <c r="C41" s="16" t="n"/>
      <c r="D41" s="16" t="n"/>
      <c r="E41" s="16" t="n"/>
      <c r="F41" s="16" t="n"/>
    </row>
    <row r="42">
      <c r="A42" s="110" t="inlineStr">
        <is>
          <t>Verified / handbook / defined / standard</t>
        </is>
      </c>
      <c r="B42" s="20" t="n"/>
      <c r="C42" s="20" t="n"/>
      <c r="D42" s="33" t="n"/>
      <c r="E42" s="20" t="n"/>
      <c r="F42" s="20" t="n"/>
    </row>
    <row r="43">
      <c r="A43" s="34" t="inlineStr">
        <is>
          <t>Literature-supported (~90%)</t>
        </is>
      </c>
      <c r="B43" s="20" t="n"/>
      <c r="C43" s="20" t="n"/>
      <c r="D43" s="33" t="n"/>
      <c r="E43" s="20" t="n"/>
      <c r="F43" s="20" t="n"/>
    </row>
    <row r="44">
      <c r="A44" s="126" t="inlineStr">
        <is>
          <t>Design assumption (~70%)</t>
        </is>
      </c>
      <c r="B44" s="20" t="n"/>
      <c r="C44" s="20" t="n"/>
      <c r="D44" s="33" t="n"/>
      <c r="E44" s="20" t="n"/>
      <c r="F44" s="20" t="n"/>
    </row>
    <row r="45">
      <c r="A45" s="35" t="inlineStr">
        <is>
          <t>Weak / coarse estimate (~50%)</t>
        </is>
      </c>
      <c r="B45" s="20" t="n"/>
      <c r="C45" s="20" t="n"/>
      <c r="D45" s="33" t="n"/>
      <c r="E45" s="20" t="n"/>
      <c r="F45" s="20" t="n"/>
    </row>
    <row r="46">
      <c r="A46" s="36" t="inlineStr">
        <is>
          <t>Guess - replace when known</t>
        </is>
      </c>
      <c r="B46" s="20" t="n"/>
      <c r="C46" s="20" t="n"/>
      <c r="D46" s="33" t="n"/>
      <c r="E46" s="120" t="n"/>
      <c r="F46" s="20" t="n"/>
    </row>
    <row r="47">
      <c r="A47" s="37" t="inlineStr">
        <is>
          <t>DATA GAP - measure, do not invent</t>
        </is>
      </c>
      <c r="B47" s="20" t="n"/>
      <c r="C47" s="20" t="n"/>
      <c r="D47" s="33" t="n"/>
      <c r="E47" s="120" t="n"/>
      <c r="F47" s="20" t="n"/>
    </row>
    <row r="48">
      <c r="A48" s="111" t="inlineStr">
        <is>
          <t>Value font: blue = input you set/measure</t>
        </is>
      </c>
      <c r="B48" s="20" t="n"/>
      <c r="C48" s="20" t="n"/>
      <c r="D48" s="33" t="n"/>
      <c r="E48" s="120" t="n"/>
      <c r="F48" s="20" t="n"/>
    </row>
    <row r="49">
      <c r="A49" s="38" t="inlineStr">
        <is>
          <t>black = formula / derived</t>
        </is>
      </c>
      <c r="B49" s="20" t="n"/>
      <c r="C49" s="20" t="n"/>
      <c r="D49" s="20" t="n"/>
      <c r="E49" s="20" t="n"/>
      <c r="F49" s="20" t="n"/>
    </row>
    <row r="50">
      <c r="A50" s="39" t="inlineStr">
        <is>
          <t>purple = fixed data / constant</t>
        </is>
      </c>
      <c r="B50" s="20" t="n"/>
      <c r="C50" s="20" t="n"/>
      <c r="D50" s="20" t="n"/>
      <c r="E50" s="20" t="n"/>
      <c r="F50" s="20" t="n"/>
    </row>
    <row r="51" customFormat="1" s="20">
      <c r="A51" s="107" t="inlineStr">
        <is>
          <t>OK</t>
        </is>
      </c>
    </row>
    <row r="52" customFormat="1" s="20">
      <c r="A52" s="108" t="inlineStr">
        <is>
          <t>Caution</t>
        </is>
      </c>
    </row>
    <row r="53">
      <c r="A53" s="109" t="inlineStr">
        <is>
          <t>Problem</t>
        </is>
      </c>
      <c r="B53" s="20" t="n"/>
      <c r="C53" s="20" t="n"/>
      <c r="D53" s="20" t="n"/>
      <c r="E53" s="20" t="n"/>
      <c r="F53" s="20" t="n"/>
    </row>
    <row r="54">
      <c r="A54" s="20" t="n"/>
      <c r="B54" s="20" t="n"/>
      <c r="C54" s="20" t="n"/>
      <c r="D54" s="33" t="n"/>
      <c r="E54" s="120" t="n"/>
      <c r="F54" s="20" t="n"/>
    </row>
    <row r="55">
      <c r="A55" s="40" t="inlineStr">
        <is>
          <t>Improvements</t>
        </is>
      </c>
      <c r="B55" s="40" t="inlineStr">
        <is>
          <t>Impact</t>
        </is>
      </c>
      <c r="C55" s="40" t="inlineStr">
        <is>
          <t>Effort</t>
        </is>
      </c>
      <c r="D55" s="40" t="inlineStr">
        <is>
          <t>Protocol</t>
        </is>
      </c>
      <c r="E55" s="40" t="n"/>
      <c r="F55" s="40" t="inlineStr">
        <is>
          <t>Why it matters</t>
        </is>
      </c>
    </row>
    <row r="56">
      <c r="A56" s="20" t="inlineStr">
        <is>
          <t>Measure surface kLa (kL_surf)</t>
        </is>
      </c>
      <c r="B56" s="20" t="inlineStr">
        <is>
          <t>HIGH</t>
        </is>
      </c>
      <c r="C56" s="20" t="inlineStr">
        <is>
          <t>med</t>
        </is>
      </c>
      <c r="D56" s="41">
        <f>HYPERLINK("https://github.com/amy-bo/electroPioreactor/blob/CO2-modular/Media/protocols/surface-kla.md","surface-kla.md →")</f>
        <v/>
      </c>
      <c r="E56" s="143" t="n"/>
      <c r="F56" s="21" t="inlineStr">
        <is>
          <t>375% sensitivity; decides the safe sparge interval</t>
        </is>
      </c>
    </row>
    <row r="57">
      <c r="A57" s="20" t="inlineStr">
        <is>
          <t>Measure cathodic Faradaic efficiency</t>
        </is>
      </c>
      <c r="B57" s="20" t="inlineStr">
        <is>
          <t>HIGH</t>
        </is>
      </c>
      <c r="C57" s="20" t="inlineStr">
        <is>
          <t>med</t>
        </is>
      </c>
      <c r="D57" s="41">
        <f>HYPERLINK("https://github.com/amy-bo/electroPioreactor/blob/CO2-modular/Media/protocols/faradaic-efficiency.md","faradaic-efficiency.md →")</f>
        <v/>
      </c>
      <c r="E57" s="20" t="n"/>
      <c r="F57" s="21" t="inlineStr">
        <is>
          <t>sets the H2/O2 split; O2 figures are an upper bound at etaF=1</t>
        </is>
      </c>
    </row>
    <row r="58">
      <c r="A58" s="20" t="inlineStr">
        <is>
          <t>Determine organism minimum DO</t>
        </is>
      </c>
      <c r="B58" s="20" t="inlineStr">
        <is>
          <t>MED</t>
        </is>
      </c>
      <c r="C58" s="20" t="inlineStr">
        <is>
          <t>low</t>
        </is>
      </c>
      <c r="D58" s="41">
        <f>HYPERLINK("https://github.com/amy-bo/electroPioreactor/blob/CO2-modular/Media/protocols/dissolved-oxygen.md","dissolved-oxygen.md →")</f>
        <v/>
      </c>
      <c r="E58" s="20" t="n"/>
      <c r="F58" s="21" t="inlineStr">
        <is>
          <t>lower DO guardrail; a gap for every organism</t>
        </is>
      </c>
    </row>
    <row r="59">
      <c r="A59" s="20" t="inlineStr">
        <is>
          <t>Calibrate flow for each reactor</t>
        </is>
      </c>
      <c r="B59" s="20" t="inlineStr">
        <is>
          <t>MED</t>
        </is>
      </c>
      <c r="C59" s="20" t="inlineStr">
        <is>
          <t>low</t>
        </is>
      </c>
      <c r="D59" s="41">
        <f>HYPERLINK("https://github.com/amy-bo/electroPioreactor/blob/CO2-modular/Media/protocols/flow-calibration.md","flow-calibration.md →")</f>
        <v/>
      </c>
      <c r="E59" s="20" t="n"/>
      <c r="F59" s="21" t="inlineStr">
        <is>
          <t>each experiment; only ed04 done</t>
        </is>
      </c>
    </row>
    <row r="60">
      <c r="A60" s="20" t="inlineStr">
        <is>
          <t>Confirm knallgas uptake ratio (H2:O2:CO2)</t>
        </is>
      </c>
      <c r="B60" s="20" t="inlineStr">
        <is>
          <t>MED</t>
        </is>
      </c>
      <c r="C60" s="20" t="inlineStr">
        <is>
          <t>high</t>
        </is>
      </c>
      <c r="D60" s="41">
        <f>HYPERLINK("https://github.com/amy-bo/electroPioreactor/blob/CO2-modular/Media/protocols/knallgas-stoichiometry.md","knallgas-stoichiometry.md →")</f>
        <v/>
      </c>
      <c r="E60" s="20" t="n"/>
      <c r="F60" s="21" t="inlineStr">
        <is>
          <t>sets O2 surplus + carbon demand; needs a growing culture</t>
        </is>
      </c>
    </row>
    <row r="61">
      <c r="A61" s="20" t="inlineStr">
        <is>
          <t>Measure / confirm sinter porosity</t>
        </is>
      </c>
      <c r="B61" s="20" t="inlineStr">
        <is>
          <t>LOW</t>
        </is>
      </c>
      <c r="C61" s="20" t="inlineStr">
        <is>
          <t>low</t>
        </is>
      </c>
      <c r="D61" s="41">
        <f>HYPERLINK("https://github.com/amy-bo/electroPioreactor/blob/CO2-modular/Media/protocols/sinter-porosity.md","sinter-porosity.md →")</f>
        <v/>
      </c>
      <c r="E61" s="20" t="n"/>
      <c r="F61" s="21" t="inlineStr">
        <is>
          <t>bubble size; currently grade 0 from Gerrit's disc</t>
        </is>
      </c>
    </row>
    <row r="62">
      <c r="A62" s="20" t="inlineStr">
        <is>
          <t>Record lab ambient pressure</t>
        </is>
      </c>
      <c r="B62" s="20" t="inlineStr">
        <is>
          <t>LOW</t>
        </is>
      </c>
      <c r="C62" s="20" t="inlineStr">
        <is>
          <t>low</t>
        </is>
      </c>
      <c r="D62" s="41">
        <f>HYPERLINK("https://github.com/amy-bo/electroPioreactor/blob/CO2-modular/Media/protocols/README.md","README.md →")</f>
        <v/>
      </c>
      <c r="E62" s="20" t="n"/>
      <c r="F62" s="21" t="inlineStr">
        <is>
          <t>Henry solubilities + gas volumes</t>
        </is>
      </c>
    </row>
    <row r="63">
      <c r="A63" s="20" t="n"/>
      <c r="B63" s="20" t="n"/>
      <c r="C63" s="20" t="n"/>
      <c r="D63" s="127" t="n"/>
      <c r="E63" s="20" t="n"/>
      <c r="F63" s="20" t="n"/>
    </row>
    <row r="64">
      <c r="A64" s="20" t="n"/>
      <c r="B64" s="20" t="n"/>
      <c r="C64" s="20" t="n"/>
      <c r="D64" s="20" t="n"/>
      <c r="E64" s="20" t="n"/>
      <c r="F64" s="20" t="n"/>
    </row>
    <row r="65">
      <c r="A65" s="143" t="n"/>
      <c r="B65" s="20" t="n"/>
      <c r="C65" s="20" t="n"/>
      <c r="D65" s="20" t="n"/>
      <c r="E65" s="20" t="n"/>
      <c r="F65" s="20" t="n"/>
    </row>
    <row r="66">
      <c r="A66" s="20" t="n"/>
      <c r="B66" s="20" t="n"/>
      <c r="C66" s="20" t="n"/>
      <c r="D66" s="33" t="n"/>
      <c r="E66" s="20" t="n"/>
      <c r="F66" s="20" t="n"/>
    </row>
    <row r="67">
      <c r="A67" s="20" t="n"/>
      <c r="B67" s="20" t="n"/>
      <c r="C67" s="20" t="n"/>
      <c r="D67" s="33" t="n"/>
      <c r="E67" s="20" t="n"/>
      <c r="F67" s="20" t="n"/>
    </row>
    <row r="68">
      <c r="A68" s="20" t="n"/>
      <c r="B68" s="20" t="n"/>
      <c r="C68" s="20" t="n"/>
      <c r="D68" s="33" t="n"/>
      <c r="E68" s="20" t="n"/>
      <c r="F68" s="20" t="n"/>
    </row>
  </sheetData>
  <conditionalFormatting sqref="B54:B60">
    <cfRule type="expression" priority="15" dxfId="13" stopIfTrue="1">
      <formula>EXACT(B54,"HIGH")</formula>
    </cfRule>
    <cfRule type="expression" priority="16" dxfId="14" stopIfTrue="1">
      <formula>EXACT(B54,"MED")</formula>
    </cfRule>
    <cfRule type="expression" priority="17" dxfId="15" stopIfTrue="1">
      <formula>EXACT(B54,"LOW")</formula>
    </cfRule>
  </conditionalFormatting>
  <conditionalFormatting sqref="C54:C60">
    <cfRule type="expression" priority="18" dxfId="13" stopIfTrue="1">
      <formula>EXACT(C54,"low")</formula>
    </cfRule>
    <cfRule type="expression" priority="19" dxfId="14" stopIfTrue="1">
      <formula>EXACT(C54,"med")</formula>
    </cfRule>
    <cfRule type="expression" priority="20" dxfId="15" stopIfTrue="1">
      <formula>EXACT(C54,"high")</formula>
    </cfRule>
  </conditionalFormatting>
  <conditionalFormatting sqref="D13:D16">
    <cfRule type="expression" priority="14" dxfId="15" stopIfTrue="1">
      <formula>ISNUMBER(SEARCH("calibrate this",D13))</formula>
    </cfRule>
  </conditionalFormatting>
  <conditionalFormatting sqref="D19:D33">
    <cfRule type="expression" priority="11" dxfId="15" stopIfTrue="1">
      <formula>OR(ISNUMBER(SEARCH("INCONSISTENT",D19)),ISNUMBER(SEARCH("OVER",D19)),ISNUMBER(SEARCH("BELOW",D19)),ISNUMBER(SEARCH("EXCEED",D19)),ISNUMBER(SEARCH("NO CALIB",D19)),ISNUMBER(SEARCH("calibrate this",D19)),ISNUMBER(SEARCH("RISK",D19)),ISNUMBER(SEARCH("EXPLOSIVE",D19)),ISNUMBER(SEARCH("OOR",D19)),ISNUMBER(SEARCH("insufficient",D19)),ISNUMBER(SEARCH("TIP SPEED",D19)),ISNUMBER(SEARCH("UNDER",D19)),EXACT(D19,"OUT"),EXACT(D19,"LOW"))</formula>
    </cfRule>
    <cfRule type="expression" priority="12" dxfId="14" stopIfTrue="1">
      <formula>OR(ISNUMBER(SEARCH("above optimum",D19)),ISNUMBER(SEARCH("watch",D19)),ISNUMBER(SEARCH("NEAREST",D19)),ISNUMBER(SEARCH("unknown",D19)),ISNUMBER(SEARCH("TIGHT",D19)))</formula>
    </cfRule>
    <cfRule type="expression" priority="13" dxfId="13" stopIfTrue="1">
      <formula>OR(EXACT(D19,"OK"),ISNUMBER(SEARCH("calibrated:",D19)),ISNUMBER(SEARCH("under optimum",D19)),ISNUMBER(SEARCH("above min",D19)),ISNUMBER(SEARCH("CARBON-limited",D19)),ISNUMBER(SEARCH("Static",D19)),ISNUMBER(SEARCH("Dynamic",D19)))</formula>
    </cfRule>
  </conditionalFormatting>
  <dataValidations count="4">
    <dataValidation sqref="D2" showDropDown="0" showInputMessage="0" showErrorMessage="0" allowBlank="1" type="list">
      <formula1>=Geometry!$A$59:$A$80</formula1>
    </dataValidation>
    <dataValidation sqref="D3" showDropDown="0" showInputMessage="0" showErrorMessage="0" allowBlank="1" type="list">
      <formula1>=Electrochemistry!$A$35:$A$37</formula1>
    </dataValidation>
    <dataValidation sqref="D4" showDropDown="0" showInputMessage="0" showErrorMessage="0" allowBlank="1" type="list">
      <formula1>=Biology!$A$52:$A$57</formula1>
    </dataValidation>
    <dataValidation sqref="D5" showDropDown="0" showInputMessage="0" showErrorMessage="0" allowBlank="1" type="list">
      <formula1>=Biology!$A$61:$A$61</formula1>
    </dataValidation>
  </dataValidations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tabColor theme="7"/>
    <outlinePr summaryBelow="1" summaryRight="1"/>
    <pageSetUpPr/>
  </sheetPr>
  <dimension ref="A1:I90"/>
  <sheetViews>
    <sheetView topLeftCell="A70" zoomScale="174" workbookViewId="0">
      <selection activeCell="A1" sqref="A1"/>
    </sheetView>
  </sheetViews>
  <sheetFormatPr baseColWidth="10" defaultColWidth="8.83203125" defaultRowHeight="15"/>
  <cols>
    <col width="30" customWidth="1" min="1" max="1"/>
    <col width="15" customWidth="1" min="2" max="2"/>
    <col width="60" customWidth="1" min="5" max="5"/>
  </cols>
  <sheetData>
    <row r="1" ht="16" customHeight="1">
      <c r="A1" s="144" t="inlineStr">
        <is>
          <t>GEOMETRY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</row>
    <row r="2">
      <c r="A2" s="16" t="inlineStr">
        <is>
          <t>Parameter</t>
        </is>
      </c>
      <c r="B2" s="16" t="inlineStr">
        <is>
          <t>Name</t>
        </is>
      </c>
      <c r="C2" s="16" t="inlineStr">
        <is>
          <t>Unit</t>
        </is>
      </c>
      <c r="D2" s="16" t="inlineStr">
        <is>
          <t>Value</t>
        </is>
      </c>
      <c r="E2" s="16" t="inlineStr">
        <is>
          <t>Source / assumption</t>
        </is>
      </c>
      <c r="F2" s="20" t="n"/>
      <c r="G2" s="20" t="n"/>
      <c r="H2" s="20" t="n"/>
      <c r="I2" s="20" t="n"/>
    </row>
    <row r="3">
      <c r="A3" s="17" t="n"/>
      <c r="B3" s="18" t="n"/>
      <c r="C3" s="19" t="n"/>
      <c r="D3" s="145" t="n"/>
      <c r="E3" s="44" t="n"/>
      <c r="F3" s="20" t="n"/>
      <c r="G3" s="20" t="n"/>
      <c r="H3" s="20" t="n"/>
      <c r="I3" s="20" t="n"/>
    </row>
    <row r="4" ht="16" customHeight="1">
      <c r="A4" s="144" t="inlineStr">
        <is>
          <t>IMPORTS (from other tabs)</t>
        </is>
      </c>
      <c r="B4" s="18" t="n"/>
      <c r="C4" s="19" t="n"/>
      <c r="D4" s="145" t="n"/>
      <c r="E4" s="44" t="n"/>
      <c r="F4" s="20" t="n"/>
      <c r="G4" s="20" t="n"/>
      <c r="H4" s="20" t="n"/>
      <c r="I4" s="20" t="n"/>
    </row>
    <row r="5">
      <c r="A5" s="20" t="inlineStr">
        <is>
          <t>(import) Reactor selection</t>
        </is>
      </c>
      <c r="B5" s="20" t="inlineStr">
        <is>
          <t>reactor_sel</t>
        </is>
      </c>
      <c r="C5" s="20" t="inlineStr">
        <is>
          <t>-</t>
        </is>
      </c>
      <c r="D5" s="45">
        <f>Summary!$D$2</f>
        <v/>
      </c>
      <c r="E5" s="24">
        <f>HYPERLINK("#Summary!D3","→ Summary")</f>
        <v/>
      </c>
      <c r="F5" s="20" t="n"/>
      <c r="G5" s="20" t="n"/>
      <c r="H5" s="20" t="n"/>
      <c r="I5" s="20" t="n"/>
    </row>
    <row r="6">
      <c r="A6" s="20" t="inlineStr">
        <is>
          <t>(import) Media volume (set)</t>
        </is>
      </c>
      <c r="B6" s="20" t="inlineStr">
        <is>
          <t>media_volume</t>
        </is>
      </c>
      <c r="C6" s="20" t="inlineStr">
        <is>
          <t>mL</t>
        </is>
      </c>
      <c r="D6" s="45">
        <f>Summary!$D$9</f>
        <v/>
      </c>
      <c r="E6" s="24">
        <f>HYPERLINK("#Summary!D9","→ Summary")</f>
        <v/>
      </c>
      <c r="F6" s="20" t="n"/>
      <c r="G6" s="20" t="n"/>
      <c r="H6" s="20" t="n"/>
      <c r="I6" s="20" t="n"/>
    </row>
    <row r="7">
      <c r="A7" s="17" t="n"/>
      <c r="B7" s="18" t="n"/>
      <c r="C7" s="19" t="n"/>
      <c r="D7" s="146" t="n"/>
      <c r="E7" s="46" t="n"/>
      <c r="F7" s="20" t="n"/>
      <c r="G7" s="20" t="n"/>
      <c r="H7" s="20" t="n"/>
      <c r="I7" s="20" t="n"/>
    </row>
    <row r="8" ht="26" customHeight="1">
      <c r="A8" s="17" t="inlineStr">
        <is>
          <t xml:space="preserve">  valid version 1</t>
        </is>
      </c>
      <c r="B8" s="18" t="inlineStr">
        <is>
          <t>ver_name_1</t>
        </is>
      </c>
      <c r="C8" s="19" t="inlineStr">
        <is>
          <t>-</t>
        </is>
      </c>
      <c r="D8" s="145" t="inlineStr">
        <is>
          <t>AEP0.1.1</t>
        </is>
      </c>
      <c r="E8" s="147" t="inlineStr">
        <is>
          <t>Superseded by the reactor-type lookup below; not read by any formula</t>
        </is>
      </c>
      <c r="F8" s="20" t="n"/>
      <c r="G8" s="20" t="n"/>
      <c r="H8" s="20" t="n"/>
      <c r="I8" s="20" t="n"/>
    </row>
    <row r="9">
      <c r="A9" s="17" t="inlineStr">
        <is>
          <t xml:space="preserve">  valid version 2</t>
        </is>
      </c>
      <c r="B9" s="18" t="inlineStr">
        <is>
          <t>ver_name_2</t>
        </is>
      </c>
      <c r="C9" s="19" t="inlineStr">
        <is>
          <t>-</t>
        </is>
      </c>
      <c r="D9" s="145" t="inlineStr">
        <is>
          <t>AEP0.2</t>
        </is>
      </c>
      <c r="E9" s="147" t="inlineStr">
        <is>
          <t>Superseded by the reactor-type lookup below; not read by any formula</t>
        </is>
      </c>
      <c r="F9" s="20" t="n"/>
      <c r="G9" s="20" t="n"/>
      <c r="H9" s="20" t="n"/>
      <c r="I9" s="20" t="n"/>
    </row>
    <row r="10" ht="24" customHeight="1">
      <c r="A10" s="17" t="inlineStr">
        <is>
          <t>Vial outer diameter - AEP0.1.1</t>
        </is>
      </c>
      <c r="B10" s="18" t="inlineStr">
        <is>
          <t>vial_OD_1</t>
        </is>
      </c>
      <c r="C10" s="19" t="inlineStr">
        <is>
          <t>mm</t>
        </is>
      </c>
      <c r="D10" s="148" t="n">
        <v>27.48</v>
      </c>
      <c r="E10" s="149" t="inlineStr">
        <is>
          <t>Superseded by the reactor-type lookup below; not read by any formula</t>
        </is>
      </c>
      <c r="F10" s="20" t="n"/>
      <c r="G10" s="20" t="n"/>
      <c r="H10" s="20" t="n"/>
      <c r="I10" s="20" t="n"/>
    </row>
    <row r="11">
      <c r="A11" s="17" t="inlineStr">
        <is>
          <t>Vial outer diameter - AEP0.2</t>
        </is>
      </c>
      <c r="B11" s="18" t="inlineStr">
        <is>
          <t>vial_OD_2</t>
        </is>
      </c>
      <c r="C11" s="19" t="inlineStr">
        <is>
          <t>mm</t>
        </is>
      </c>
      <c r="D11" s="148" t="n">
        <v>27.48</v>
      </c>
      <c r="E11" s="150" t="inlineStr">
        <is>
          <t>Superseded by the reactor-type lookup below; not read by any formula</t>
        </is>
      </c>
      <c r="F11" s="20" t="n"/>
      <c r="G11" s="20" t="n"/>
      <c r="H11" s="20" t="n"/>
      <c r="I11" s="20" t="n"/>
    </row>
    <row r="12">
      <c r="A12" s="17" t="inlineStr">
        <is>
          <t>Internal usable depth - AEP0.1.1</t>
        </is>
      </c>
      <c r="B12" s="18" t="inlineStr">
        <is>
          <t>D_int_1</t>
        </is>
      </c>
      <c r="C12" s="19" t="inlineStr">
        <is>
          <t>mm</t>
        </is>
      </c>
      <c r="D12" s="146" t="n">
        <v>55</v>
      </c>
      <c r="E12" s="151" t="inlineStr">
        <is>
          <t>Superseded by the reactor-type lookup below; not read by any formula</t>
        </is>
      </c>
      <c r="F12" s="20" t="n"/>
      <c r="G12" s="20" t="n"/>
      <c r="H12" s="20" t="n"/>
      <c r="I12" s="20" t="n"/>
    </row>
    <row r="13">
      <c r="A13" s="17" t="inlineStr">
        <is>
          <t>Internal usable depth - AEP0.2</t>
        </is>
      </c>
      <c r="B13" s="18" t="inlineStr">
        <is>
          <t>D_int_2</t>
        </is>
      </c>
      <c r="C13" s="19" t="inlineStr">
        <is>
          <t>mm</t>
        </is>
      </c>
      <c r="D13" s="146" t="n">
        <v>95</v>
      </c>
      <c r="E13" s="151" t="inlineStr">
        <is>
          <t>Superseded by the reactor-type lookup below; not read by any formula</t>
        </is>
      </c>
      <c r="F13" s="20" t="n"/>
      <c r="G13" s="20" t="n"/>
      <c r="H13" s="20" t="n"/>
      <c r="I13" s="20" t="n"/>
    </row>
    <row r="14" ht="24" customHeight="1">
      <c r="A14" s="17" t="inlineStr">
        <is>
          <t>Recommended max working volume - AEP0.1.1</t>
        </is>
      </c>
      <c r="B14" s="18" t="inlineStr">
        <is>
          <t>Vmax_1</t>
        </is>
      </c>
      <c r="C14" s="19" t="inlineStr">
        <is>
          <t>mL</t>
        </is>
      </c>
      <c r="D14" s="146" t="n">
        <v>16</v>
      </c>
      <c r="E14" s="149" t="inlineStr">
        <is>
          <t>Superseded by the reactor-type lookup below; not read by any formula</t>
        </is>
      </c>
      <c r="F14" s="20" t="n"/>
      <c r="G14" s="20" t="n"/>
      <c r="H14" s="20" t="n"/>
      <c r="I14" s="20" t="n"/>
    </row>
    <row r="15" ht="24" customHeight="1">
      <c r="A15" s="17" t="inlineStr">
        <is>
          <t>Recommended max working volume - AEP0.2</t>
        </is>
      </c>
      <c r="B15" s="18" t="inlineStr">
        <is>
          <t>Vmax_2</t>
        </is>
      </c>
      <c r="C15" s="19" t="inlineStr">
        <is>
          <t>mL</t>
        </is>
      </c>
      <c r="D15" s="146" t="n">
        <v>30</v>
      </c>
      <c r="E15" s="149" t="inlineStr">
        <is>
          <t>Superseded by the reactor-type lookup below; not read by any formula</t>
        </is>
      </c>
      <c r="F15" s="20" t="n"/>
      <c r="G15" s="20" t="n"/>
      <c r="H15" s="20" t="n"/>
      <c r="I15" s="20" t="n"/>
    </row>
    <row r="16">
      <c r="A16" s="17" t="inlineStr">
        <is>
          <t>Total internal vial volume - AEP0.1.1</t>
        </is>
      </c>
      <c r="B16" s="18" t="inlineStr">
        <is>
          <t>Vtot_1</t>
        </is>
      </c>
      <c r="C16" s="19" t="inlineStr">
        <is>
          <t>mL</t>
        </is>
      </c>
      <c r="D16" s="146" t="n">
        <v>20</v>
      </c>
      <c r="E16" s="152" t="inlineStr">
        <is>
          <t>Superseded by the reactor-type lookup below; not read by any formula</t>
        </is>
      </c>
      <c r="F16" s="20" t="n"/>
      <c r="G16" s="20" t="n"/>
      <c r="H16" s="20" t="n"/>
      <c r="I16" s="20" t="n"/>
    </row>
    <row r="17">
      <c r="A17" s="17" t="inlineStr">
        <is>
          <t>Total internal vial volume - AEP0.2</t>
        </is>
      </c>
      <c r="B17" s="18" t="inlineStr">
        <is>
          <t>Vtot_2</t>
        </is>
      </c>
      <c r="C17" s="19" t="inlineStr">
        <is>
          <t>mL</t>
        </is>
      </c>
      <c r="D17" s="146" t="n">
        <v>42</v>
      </c>
      <c r="E17" s="152" t="inlineStr">
        <is>
          <t>Superseded by the reactor-type lookup below; not read by any formula</t>
        </is>
      </c>
      <c r="F17" s="20" t="n"/>
      <c r="G17" s="20" t="n"/>
      <c r="H17" s="20" t="n"/>
      <c r="I17" s="20" t="n"/>
    </row>
    <row r="18">
      <c r="A18" s="17" t="inlineStr">
        <is>
          <t>Vial outer diameter</t>
        </is>
      </c>
      <c r="B18" s="18" t="inlineStr">
        <is>
          <t>vial_OD</t>
        </is>
      </c>
      <c r="C18" s="19" t="inlineStr">
        <is>
          <t>mm</t>
        </is>
      </c>
      <c r="D18" s="52">
        <f>VLOOKUP(rx_ver,$A$84:$I$87,7,FALSE)</f>
        <v/>
      </c>
      <c r="E18" s="131" t="inlineStr">
        <is>
          <t>Selected by rx_ver; invalid version returns an error.</t>
        </is>
      </c>
      <c r="F18" s="20" t="n"/>
      <c r="G18" s="20" t="n"/>
      <c r="H18" s="20" t="n"/>
      <c r="I18" s="20" t="n"/>
    </row>
    <row r="19" ht="24" customHeight="1">
      <c r="A19" s="17" t="inlineStr">
        <is>
          <t>Vial wall thickness</t>
        </is>
      </c>
      <c r="B19" s="18" t="inlineStr">
        <is>
          <t>vial_wall</t>
        </is>
      </c>
      <c r="C19" s="19" t="inlineStr">
        <is>
          <t>mm</t>
        </is>
      </c>
      <c r="D19" s="148" t="n">
        <v>1.1</v>
      </c>
      <c r="E19" s="53" t="inlineStr">
        <is>
          <t>Borosilicate vial; Pioreactor publish neither wall nor internal diameter, so wall estimated ~1.1 mm (typical for this glass-vial class).</t>
        </is>
      </c>
      <c r="F19" s="20" t="n"/>
      <c r="G19" s="20" t="n"/>
      <c r="H19" s="20" t="n"/>
      <c r="I19" s="20" t="n"/>
    </row>
    <row r="20">
      <c r="A20" s="17" t="inlineStr">
        <is>
          <t>Vial internal diameter</t>
        </is>
      </c>
      <c r="B20" s="18" t="inlineStr">
        <is>
          <t>vial_ID</t>
        </is>
      </c>
      <c r="C20" s="19" t="inlineStr">
        <is>
          <t>mm</t>
        </is>
      </c>
      <c r="D20" s="54">
        <f>vial_OD-2*vial_wall</f>
        <v/>
      </c>
      <c r="E20" s="131" t="inlineStr">
        <is>
          <t>OD minus two wall thicknesses.</t>
        </is>
      </c>
      <c r="F20" s="20" t="n"/>
      <c r="G20" s="20" t="n"/>
      <c r="H20" s="20" t="n"/>
      <c r="I20" s="20" t="n"/>
    </row>
    <row r="21">
      <c r="A21" s="17" t="inlineStr">
        <is>
          <t>Internal cross-sectional area</t>
        </is>
      </c>
      <c r="B21" s="18" t="inlineStr">
        <is>
          <t>A_x</t>
        </is>
      </c>
      <c r="C21" s="19" t="inlineStr">
        <is>
          <t>mm²</t>
        </is>
      </c>
      <c r="D21" s="55">
        <f>PI()/4*vial_ID^2</f>
        <v/>
      </c>
      <c r="E21" s="131" t="inlineStr">
        <is>
          <t>Uniform-cylinder body approximation (neck excluded - see headspace).</t>
        </is>
      </c>
      <c r="F21" s="20" t="n"/>
      <c r="G21" s="20" t="n"/>
      <c r="H21" s="20" t="n"/>
      <c r="I21" s="20" t="n"/>
    </row>
    <row r="22">
      <c r="A22" s="17" t="inlineStr">
        <is>
          <t>Internal usable depth</t>
        </is>
      </c>
      <c r="B22" s="18" t="inlineStr">
        <is>
          <t>D_int</t>
        </is>
      </c>
      <c r="C22" s="19" t="inlineStr">
        <is>
          <t>mm</t>
        </is>
      </c>
      <c r="D22" s="56">
        <f>VLOOKUP(rx_ver,$A$84:$I$87,4,FALSE)</f>
        <v/>
      </c>
      <c r="E22" s="131" t="inlineStr">
        <is>
          <t>Selected by rx_ver.</t>
        </is>
      </c>
      <c r="F22" s="20" t="n"/>
      <c r="G22" s="20" t="n"/>
      <c r="H22" s="20" t="n"/>
      <c r="I22" s="20" t="n"/>
    </row>
    <row r="23">
      <c r="A23" s="17" t="inlineStr">
        <is>
          <t>Recommended max working volume (datum)</t>
        </is>
      </c>
      <c r="B23" s="18" t="inlineStr">
        <is>
          <t>V_max</t>
        </is>
      </c>
      <c r="C23" s="19" t="inlineStr">
        <is>
          <t>mL</t>
        </is>
      </c>
      <c r="D23" s="56">
        <f>VLOOKUP(rx_ver,$A$84:$I$87,5,FALSE)</f>
        <v/>
      </c>
      <c r="E23" s="131" t="inlineStr">
        <is>
          <t>Selected by rx_ver.</t>
        </is>
      </c>
      <c r="F23" s="20" t="n"/>
      <c r="G23" s="20" t="n"/>
      <c r="H23" s="20" t="n"/>
      <c r="I23" s="20" t="n"/>
    </row>
    <row r="24">
      <c r="A24" s="17" t="inlineStr">
        <is>
          <t>Total internal vial volume</t>
        </is>
      </c>
      <c r="B24" s="18" t="inlineStr">
        <is>
          <t>V_vial_total</t>
        </is>
      </c>
      <c r="C24" s="19" t="inlineStr">
        <is>
          <t>mL</t>
        </is>
      </c>
      <c r="D24" s="56">
        <f>VLOOKUP(rx_ver,$A$84:$I$87,6,FALSE)</f>
        <v/>
      </c>
      <c r="E24" s="131" t="inlineStr">
        <is>
          <t>Selected by rx_ver.</t>
        </is>
      </c>
      <c r="F24" s="20" t="n"/>
      <c r="G24" s="20" t="n"/>
      <c r="H24" s="20" t="n"/>
      <c r="I24" s="20" t="n"/>
    </row>
    <row r="25">
      <c r="A25" s="17" t="inlineStr">
        <is>
          <t>Bare liquid level (datum height)</t>
        </is>
      </c>
      <c r="B25" s="18" t="inlineStr">
        <is>
          <t>h_datum</t>
        </is>
      </c>
      <c r="C25" s="19" t="inlineStr">
        <is>
          <t>mm</t>
        </is>
      </c>
      <c r="D25" s="54">
        <f>V_max*1000/A_x</f>
        <v/>
      </c>
      <c r="E25" s="131" t="inlineStr">
        <is>
          <t>Height the bare max volume reaches with no inserts.</t>
        </is>
      </c>
      <c r="F25" s="20" t="n"/>
      <c r="G25" s="20" t="n"/>
      <c r="H25" s="20" t="n"/>
      <c r="I25" s="20" t="n"/>
    </row>
    <row r="26">
      <c r="A26" s="17" t="inlineStr">
        <is>
          <t>Electrode rod diameter</t>
        </is>
      </c>
      <c r="B26" s="18" t="inlineStr">
        <is>
          <t>rod_d</t>
        </is>
      </c>
      <c r="C26" s="19" t="inlineStr">
        <is>
          <t>mm</t>
        </is>
      </c>
      <c r="D26" s="146" t="n">
        <v>6</v>
      </c>
      <c r="E26" s="44" t="inlineStr">
        <is>
          <t>6 mm rod electrodes.</t>
        </is>
      </c>
      <c r="F26" s="20" t="n"/>
      <c r="G26" s="20" t="n"/>
      <c r="H26" s="20" t="n"/>
      <c r="I26" s="20" t="n"/>
    </row>
    <row r="27">
      <c r="A27" s="17" t="inlineStr">
        <is>
          <t>Number of electrodes</t>
        </is>
      </c>
      <c r="B27" s="18" t="inlineStr">
        <is>
          <t>rod_n</t>
        </is>
      </c>
      <c r="C27" s="19" t="inlineStr">
        <is>
          <t>-</t>
        </is>
      </c>
      <c r="D27" s="145" t="n">
        <v>2</v>
      </c>
      <c r="E27" s="131" t="inlineStr">
        <is>
          <t>Anode + cathode.</t>
        </is>
      </c>
      <c r="F27" s="20" t="n"/>
      <c r="G27" s="20" t="n"/>
      <c r="H27" s="20" t="n"/>
      <c r="I27" s="20" t="n"/>
    </row>
    <row r="28">
      <c r="A28" s="17" t="inlineStr">
        <is>
          <t>Electrode tip clearance above base</t>
        </is>
      </c>
      <c r="B28" s="18" t="inlineStr">
        <is>
          <t>elec_clear</t>
        </is>
      </c>
      <c r="C28" s="19" t="inlineStr">
        <is>
          <t>mm</t>
        </is>
      </c>
      <c r="D28" s="146" t="n">
        <v>22</v>
      </c>
      <c r="E28" s="44" t="inlineStr">
        <is>
          <t>Held constant across builds (OD clear zone). 22 mm ↔ 33 mm insertion in AEP0.1.1. Input.</t>
        </is>
      </c>
      <c r="F28" s="20" t="n"/>
      <c r="G28" s="20" t="n"/>
      <c r="H28" s="20" t="n"/>
      <c r="I28" s="20" t="n"/>
    </row>
    <row r="29">
      <c r="A29" s="153" t="inlineStr">
        <is>
          <t>Electrode insertion depth (derived)</t>
        </is>
      </c>
      <c r="B29" s="18" t="inlineStr">
        <is>
          <t>elec_ins</t>
        </is>
      </c>
      <c r="C29" s="19" t="inlineStr">
        <is>
          <t>mm</t>
        </is>
      </c>
      <c r="D29" s="55">
        <f>D_int-elec_clear</f>
        <v/>
      </c>
      <c r="E29" s="131" t="inlineStr">
        <is>
          <t>Cap underside -&gt; tip. Increases for the taller AEP0.2 to keep clearance constant.</t>
        </is>
      </c>
      <c r="F29" s="20" t="n"/>
      <c r="G29" s="20" t="n"/>
      <c r="H29" s="20" t="n"/>
      <c r="I29" s="20" t="n"/>
    </row>
    <row r="30">
      <c r="A30" s="17" t="inlineStr">
        <is>
          <t>Sparge tube OD</t>
        </is>
      </c>
      <c r="B30" s="18" t="inlineStr">
        <is>
          <t>spg_OD</t>
        </is>
      </c>
      <c r="C30" s="19" t="inlineStr">
        <is>
          <t>mm</t>
        </is>
      </c>
      <c r="D30" s="154" t="n">
        <v>3.175</v>
      </c>
      <c r="E30" s="131" t="inlineStr">
        <is>
          <t>1/8" OD Flexelene 135C.</t>
        </is>
      </c>
      <c r="F30" s="20" t="n"/>
      <c r="G30" s="20" t="n"/>
      <c r="H30" s="20" t="n"/>
      <c r="I30" s="20" t="n"/>
    </row>
    <row r="31">
      <c r="A31" s="17" t="inlineStr">
        <is>
          <t>Sparge tube ID</t>
        </is>
      </c>
      <c r="B31" s="18" t="inlineStr">
        <is>
          <t>spg_ID</t>
        </is>
      </c>
      <c r="C31" s="19" t="inlineStr">
        <is>
          <t>mm</t>
        </is>
      </c>
      <c r="D31" s="155" t="n">
        <v>1.5875</v>
      </c>
      <c r="E31" s="131" t="inlineStr">
        <is>
          <t>1/16" ID.</t>
        </is>
      </c>
      <c r="F31" s="20" t="n"/>
      <c r="G31" s="20" t="n"/>
      <c r="H31" s="20" t="n"/>
      <c r="I31" s="20" t="n"/>
    </row>
    <row r="32">
      <c r="A32" s="17" t="inlineStr">
        <is>
          <t>Sparge release height (= anode tip)</t>
        </is>
      </c>
      <c r="B32" s="18" t="inlineStr">
        <is>
          <t>spg_tip_h</t>
        </is>
      </c>
      <c r="C32" s="19" t="inlineStr">
        <is>
          <t>mm</t>
        </is>
      </c>
      <c r="D32" s="55">
        <f>elec_clear</f>
        <v/>
      </c>
      <c r="E32" s="44" t="inlineStr">
        <is>
          <t>CO₂ released near anode tip.</t>
        </is>
      </c>
      <c r="F32" s="20" t="n"/>
      <c r="G32" s="20" t="n"/>
      <c r="H32" s="20" t="n"/>
      <c r="I32" s="20" t="n"/>
    </row>
    <row r="33">
      <c r="A33" s="17" t="inlineStr">
        <is>
          <t>Efflux tube OD</t>
        </is>
      </c>
      <c r="B33" s="18" t="inlineStr">
        <is>
          <t>eff_OD</t>
        </is>
      </c>
      <c r="C33" s="19" t="inlineStr">
        <is>
          <t>mm</t>
        </is>
      </c>
      <c r="D33" s="154" t="n">
        <v>3.175</v>
      </c>
      <c r="E33" s="131" t="inlineStr">
        <is>
          <t>1/8" OD Flexelene 135C.</t>
        </is>
      </c>
      <c r="F33" s="20" t="n"/>
      <c r="G33" s="20" t="n"/>
      <c r="H33" s="20" t="n"/>
      <c r="I33" s="20" t="n"/>
    </row>
    <row r="34">
      <c r="A34" s="17" t="inlineStr">
        <is>
          <t>Efflux tube ID</t>
        </is>
      </c>
      <c r="B34" s="18" t="inlineStr">
        <is>
          <t>eff_ID</t>
        </is>
      </c>
      <c r="C34" s="19" t="inlineStr">
        <is>
          <t>mm</t>
        </is>
      </c>
      <c r="D34" s="155" t="n">
        <v>1.5875</v>
      </c>
      <c r="E34" s="131" t="inlineStr">
        <is>
          <t>1/16" ID.</t>
        </is>
      </c>
      <c r="F34" s="20" t="n"/>
      <c r="G34" s="20" t="n"/>
      <c r="H34" s="20" t="n"/>
      <c r="I34" s="20" t="n"/>
    </row>
    <row r="35">
      <c r="A35" s="17" t="inlineStr">
        <is>
          <t>Electrode submerged length (@datum)</t>
        </is>
      </c>
      <c r="B35" s="18" t="inlineStr">
        <is>
          <t>elec_sub_L</t>
        </is>
      </c>
      <c r="C35" s="19" t="inlineStr">
        <is>
          <t>mm</t>
        </is>
      </c>
      <c r="D35" s="54">
        <f>MAX(0,h_datum-elec_clear)</f>
        <v/>
      </c>
      <c r="E35" s="131" t="inlineStr">
        <is>
          <t>For displacement bookkeeping.</t>
        </is>
      </c>
      <c r="F35" s="20" t="n"/>
      <c r="G35" s="20" t="n"/>
      <c r="H35" s="20" t="n"/>
      <c r="I35" s="20" t="n"/>
    </row>
    <row r="36">
      <c r="A36" s="17" t="inlineStr">
        <is>
          <t>Electrode displaced volume</t>
        </is>
      </c>
      <c r="B36" s="18" t="inlineStr">
        <is>
          <t>elec_disp</t>
        </is>
      </c>
      <c r="C36" s="19" t="inlineStr">
        <is>
          <t>mL</t>
        </is>
      </c>
      <c r="D36" s="58">
        <f>rod_n*(PI()/4*rod_d^2)*elec_sub_L/1000</f>
        <v/>
      </c>
      <c r="E36" s="131" t="inlineStr">
        <is>
          <t>Submerged rod volume.</t>
        </is>
      </c>
      <c r="F36" s="20" t="n"/>
      <c r="G36" s="20" t="n"/>
      <c r="H36" s="20" t="n"/>
      <c r="I36" s="20" t="n"/>
    </row>
    <row r="37">
      <c r="A37" s="17" t="inlineStr">
        <is>
          <t>Sparge tube displaced volume</t>
        </is>
      </c>
      <c r="B37" s="18" t="inlineStr">
        <is>
          <t>spg_disp</t>
        </is>
      </c>
      <c r="C37" s="19" t="inlineStr">
        <is>
          <t>mL</t>
        </is>
      </c>
      <c r="D37" s="58">
        <f>(PI()/4*spg_OD^2)*MAX(0,h_datum-spg_tip_h)/1000</f>
        <v/>
      </c>
      <c r="E37" s="131" t="inlineStr">
        <is>
          <t>Submerged sparge-tube volume.</t>
        </is>
      </c>
      <c r="F37" s="20" t="n"/>
      <c r="G37" s="20" t="n"/>
      <c r="H37" s="20" t="n"/>
      <c r="I37" s="20" t="n"/>
    </row>
    <row r="38">
      <c r="A38" s="17" t="inlineStr">
        <is>
          <t>Efflux tube submerged length</t>
        </is>
      </c>
      <c r="B38" s="18" t="inlineStr">
        <is>
          <t>eff_sub_L</t>
        </is>
      </c>
      <c r="C38" s="19" t="inlineStr">
        <is>
          <t>mm</t>
        </is>
      </c>
      <c r="D38" s="58">
        <f>(eff_OD+eff_ID)/2</f>
        <v/>
      </c>
      <c r="E38" s="44" t="inlineStr">
        <is>
          <t>45 deg cut; level held at top of the ID opening, so wall is wetted from tip up to (OD+ID)/2.</t>
        </is>
      </c>
      <c r="F38" s="20" t="n"/>
      <c r="G38" s="20" t="n"/>
      <c r="H38" s="20" t="n"/>
      <c r="I38" s="20" t="n"/>
    </row>
    <row r="39">
      <c r="A39" s="17" t="inlineStr">
        <is>
          <t>Efflux tube displaced volume</t>
        </is>
      </c>
      <c r="B39" s="18" t="inlineStr">
        <is>
          <t>eff_disp</t>
        </is>
      </c>
      <c r="C39" s="19" t="inlineStr">
        <is>
          <t>mL</t>
        </is>
      </c>
      <c r="D39" s="59">
        <f>(PI()/4*(eff_OD^2-eff_ID^2))*eff_sub_L/1000</f>
        <v/>
      </c>
      <c r="E39" s="44" t="inlineStr">
        <is>
          <t>Annular wall only (bore is open to withdrawal). 45 deg approximation.</t>
        </is>
      </c>
      <c r="F39" s="20" t="n"/>
      <c r="G39" s="20" t="n"/>
      <c r="H39" s="20" t="n"/>
      <c r="I39" s="20" t="n"/>
    </row>
    <row r="40">
      <c r="A40" s="17" t="inlineStr">
        <is>
          <t>Total displaced volume</t>
        </is>
      </c>
      <c r="B40" s="18" t="inlineStr">
        <is>
          <t>disp_tot</t>
        </is>
      </c>
      <c r="C40" s="19" t="inlineStr">
        <is>
          <t>mL</t>
        </is>
      </c>
      <c r="D40" s="58">
        <f>elec_disp+spg_disp+eff_disp</f>
        <v/>
      </c>
      <c r="E40" s="131" t="inlineStr">
        <is>
          <t>Sum of submerged inserts.</t>
        </is>
      </c>
      <c r="F40" s="20" t="n"/>
      <c r="G40" s="20" t="n"/>
      <c r="H40" s="20" t="n"/>
      <c r="I40" s="20" t="n"/>
    </row>
    <row r="41">
      <c r="A41" s="153" t="inlineStr">
        <is>
          <t>LIQUID VOLUME TO CHARGE</t>
        </is>
      </c>
      <c r="B41" s="18" t="inlineStr">
        <is>
          <t>V_charge</t>
        </is>
      </c>
      <c r="C41" s="19" t="inlineStr">
        <is>
          <t>mL</t>
        </is>
      </c>
      <c r="D41" s="60">
        <f>IF(media_volume&gt;0,media_volume,ROUND(V_max-disp_tot,0))</f>
        <v/>
      </c>
      <c r="E41" s="131" t="inlineStr">
        <is>
          <t>Integer mL to charge so the level matches the bare datum despite inserts.</t>
        </is>
      </c>
      <c r="F41" s="20" t="n"/>
      <c r="G41" s="20" t="n"/>
      <c r="H41" s="20" t="n"/>
      <c r="I41" s="20" t="n"/>
    </row>
    <row r="42">
      <c r="A42" s="153" t="inlineStr">
        <is>
          <t>Resulting liquid level</t>
        </is>
      </c>
      <c r="B42" s="18" t="inlineStr">
        <is>
          <t>h_actual</t>
        </is>
      </c>
      <c r="C42" s="19" t="inlineStr">
        <is>
          <t>mm</t>
        </is>
      </c>
      <c r="D42" s="54">
        <f>(V_charge+disp_tot)*1000/A_x</f>
        <v/>
      </c>
      <c r="E42" s="131" t="inlineStr">
        <is>
          <t>Level achieved by the integer charge (displacement taken at datum; sub-mm error).</t>
        </is>
      </c>
      <c r="F42" s="20" t="n"/>
      <c r="G42" s="20" t="n"/>
      <c r="H42" s="20" t="n"/>
      <c r="I42" s="20" t="n"/>
    </row>
    <row r="43">
      <c r="A43" s="153" t="inlineStr">
        <is>
          <t>Sparge depth / bubble path length</t>
        </is>
      </c>
      <c r="B43" s="18" t="inlineStr">
        <is>
          <t>sparge_depth</t>
        </is>
      </c>
      <c r="C43" s="19" t="inlineStr">
        <is>
          <t>mm</t>
        </is>
      </c>
      <c r="D43" s="54">
        <f>MAX(0,h_actual-spg_tip_h)</f>
        <v/>
      </c>
      <c r="E43" s="131" t="inlineStr">
        <is>
          <t>Release point to surface.</t>
        </is>
      </c>
      <c r="F43" s="20" t="n"/>
      <c r="G43" s="20" t="n"/>
      <c r="H43" s="20" t="n"/>
      <c r="I43" s="20" t="n"/>
    </row>
    <row r="44">
      <c r="A44" s="153" t="inlineStr">
        <is>
          <t>Gas-liquid interfacial area</t>
        </is>
      </c>
      <c r="B44" s="18" t="inlineStr">
        <is>
          <t>interface_A</t>
        </is>
      </c>
      <c r="C44" s="19" t="inlineStr">
        <is>
          <t>mm²</t>
        </is>
      </c>
      <c r="D44" s="55">
        <f>A_x-(rod_n*(PI()/4*rod_d^2)+(PI()/4*spg_OD^2)+(PI()/4*eff_OD^2))</f>
        <v/>
      </c>
      <c r="E44" s="44" t="inlineStr">
        <is>
          <t>Free surface = cross-section minus inserts piercing it.</t>
        </is>
      </c>
      <c r="F44" s="20" t="n"/>
      <c r="G44" s="20" t="n"/>
      <c r="H44" s="20" t="n"/>
      <c r="I44" s="20" t="n"/>
    </row>
    <row r="45">
      <c r="A45" s="17" t="inlineStr">
        <is>
          <t>Extra headspace tube OD</t>
        </is>
      </c>
      <c r="B45" s="18" t="inlineStr">
        <is>
          <t>xtube_OD</t>
        </is>
      </c>
      <c r="C45" s="19" t="inlineStr">
        <is>
          <t>mm</t>
        </is>
      </c>
      <c r="D45" s="58">
        <f>eff_OD</f>
        <v/>
      </c>
      <c r="E45" s="44" t="inlineStr">
        <is>
          <t>3 further 1/8" tubes (gas-out, etc.) through the cap.</t>
        </is>
      </c>
      <c r="F45" s="20" t="n"/>
      <c r="G45" s="20" t="n"/>
      <c r="H45" s="20" t="n"/>
      <c r="I45" s="20" t="n"/>
    </row>
    <row r="46">
      <c r="A46" s="17" t="inlineStr">
        <is>
          <t>Number of extra headspace tubes</t>
        </is>
      </c>
      <c r="B46" s="18" t="inlineStr">
        <is>
          <t>xtube_n</t>
        </is>
      </c>
      <c r="C46" s="19" t="inlineStr">
        <is>
          <t>-</t>
        </is>
      </c>
      <c r="D46" s="145" t="n">
        <v>3</v>
      </c>
      <c r="E46" s="44" t="inlineStr">
        <is>
          <t>Protrude through the cap into headspace. 1x media in, 2x gas out</t>
        </is>
      </c>
      <c r="F46" s="20" t="n"/>
      <c r="G46" s="20" t="n"/>
      <c r="H46" s="20" t="n"/>
      <c r="I46" s="20" t="n"/>
    </row>
    <row r="47">
      <c r="A47" s="17" t="inlineStr">
        <is>
          <t>Extra tube protrusion</t>
        </is>
      </c>
      <c r="B47" s="18" t="inlineStr">
        <is>
          <t>xtube_pro</t>
        </is>
      </c>
      <c r="C47" s="19" t="inlineStr">
        <is>
          <t>mm</t>
        </is>
      </c>
      <c r="D47" s="146" t="n">
        <v>5</v>
      </c>
      <c r="E47" s="53" t="inlineStr">
        <is>
          <t>Each protrudes ~5 mm below cap (45 deg cut). Input.</t>
        </is>
      </c>
      <c r="F47" s="20" t="n"/>
      <c r="G47" s="20" t="n"/>
      <c r="H47" s="20" t="n"/>
      <c r="I47" s="20" t="n"/>
    </row>
    <row r="48">
      <c r="A48" s="17" t="inlineStr">
        <is>
          <t>Total in-vial insert volume</t>
        </is>
      </c>
      <c r="B48" s="18" t="inlineStr">
        <is>
          <t>V_inserts</t>
        </is>
      </c>
      <c r="C48" s="19" t="inlineStr">
        <is>
          <t>mL</t>
        </is>
      </c>
      <c r="D48" s="58">
        <f>(rod_n*(PI()/4*rod_d^2)*elec_ins+(PI()/4*spg_OD^2)*spg_len+(PI()/4*(eff_OD^2-eff_ID^2))*(D_int-h_actual)+xtube_n*(PI()/4*xtube_OD^2)*xtube_pro)/1000</f>
        <v/>
      </c>
      <c r="E48" s="44" t="inlineStr">
        <is>
          <t>In-vial inserts: electrodes &amp; sparge solid; efflux annular (open bore); extra tubes solid.</t>
        </is>
      </c>
      <c r="F48" s="20" t="n"/>
      <c r="G48" s="20" t="n"/>
      <c r="H48" s="20" t="n"/>
      <c r="I48" s="20" t="n"/>
    </row>
    <row r="49">
      <c r="A49" s="153" t="inlineStr">
        <is>
          <t>Headspace gas volume</t>
        </is>
      </c>
      <c r="B49" s="18" t="inlineStr">
        <is>
          <t>headspace_V</t>
        </is>
      </c>
      <c r="C49" s="19" t="inlineStr">
        <is>
          <t>mL</t>
        </is>
      </c>
      <c r="D49" s="54">
        <f>V_vial_total-V_charge-V_inserts</f>
        <v/>
      </c>
      <c r="E49" s="44" t="inlineStr">
        <is>
          <t>Total vial volume - liquid charged - inserts (captures neck narrowing).</t>
        </is>
      </c>
      <c r="F49" s="20" t="n"/>
      <c r="G49" s="20" t="n"/>
      <c r="H49" s="20" t="n"/>
      <c r="I49" s="20" t="n"/>
    </row>
    <row r="50">
      <c r="A50" s="17" t="inlineStr">
        <is>
          <t>Sparge tube in-vial length</t>
        </is>
      </c>
      <c r="B50" s="18" t="inlineStr">
        <is>
          <t>spg_len</t>
        </is>
      </c>
      <c r="C50" s="19" t="inlineStr">
        <is>
          <t>mm</t>
        </is>
      </c>
      <c r="D50" s="61">
        <f>D_int-spg_tip_h</f>
        <v/>
      </c>
      <c r="E50" s="131" t="inlineStr">
        <is>
          <t>Cap underside to release point; tracks spg_tip_h.</t>
        </is>
      </c>
      <c r="F50" s="20" t="n"/>
      <c r="G50" s="20" t="n"/>
      <c r="H50" s="20" t="n"/>
      <c r="I50" s="20" t="n"/>
    </row>
    <row r="51">
      <c r="A51" s="20" t="inlineStr">
        <is>
          <t>Reactor type (resolved from reactor)</t>
        </is>
      </c>
      <c r="B51" s="20" t="inlineStr">
        <is>
          <t>rx_ver</t>
        </is>
      </c>
      <c r="C51" s="20" t="n"/>
      <c r="D51" s="25">
        <f>VLOOKUP(reactor_sel,$A$59:$B$80,2,FALSE)</f>
        <v/>
      </c>
      <c r="E51" s="20" t="n"/>
      <c r="F51" s="20" t="n"/>
      <c r="G51" s="20" t="n"/>
      <c r="H51" s="20" t="n"/>
      <c r="I51" s="20" t="n"/>
    </row>
    <row r="52">
      <c r="A52" s="20" t="inlineStr">
        <is>
          <t>Stir-bar length (from reactor type)</t>
        </is>
      </c>
      <c r="B52" s="20" t="inlineStr">
        <is>
          <t>stir_bar_L</t>
        </is>
      </c>
      <c r="C52" s="20" t="n"/>
      <c r="D52" s="25">
        <f>VLOOKUP(rx_ver,$A$84:$I$87,8,FALSE)</f>
        <v/>
      </c>
      <c r="E52" s="20" t="n"/>
      <c r="F52" s="20" t="n"/>
      <c r="G52" s="20" t="n"/>
      <c r="H52" s="20" t="n"/>
      <c r="I52" s="20" t="n"/>
    </row>
    <row r="53">
      <c r="A53" s="141" t="inlineStr">
        <is>
          <t>40 mL OD = 20 mL diameter (Pioreactor source); depths/volumes confirm by measurement.</t>
        </is>
      </c>
      <c r="B53" s="20" t="n"/>
      <c r="C53" s="20" t="n"/>
      <c r="D53" s="20" t="n"/>
      <c r="E53" s="20" t="n"/>
      <c r="F53" s="20" t="n"/>
      <c r="G53" s="20" t="n"/>
      <c r="H53" s="20" t="n"/>
      <c r="I53" s="20" t="n"/>
    </row>
    <row r="54">
      <c r="A54" s="20" t="inlineStr">
        <is>
          <t>Media vs max working volume</t>
        </is>
      </c>
      <c r="B54" s="20" t="inlineStr">
        <is>
          <t>media_vol_warn</t>
        </is>
      </c>
      <c r="C54" s="20" t="n"/>
      <c r="D54" s="25">
        <f>IF(V_charge&gt;V_max,"MEDIA &gt; MAX WORKING VOLUME","OK")</f>
        <v/>
      </c>
      <c r="E54" s="20" t="n"/>
      <c r="F54" s="20" t="n"/>
      <c r="G54" s="20" t="n"/>
      <c r="H54" s="20" t="n"/>
      <c r="I54" s="20" t="n"/>
    </row>
    <row r="55">
      <c r="A55" s="20" t="inlineStr">
        <is>
          <t>Liquid level vs usable depth</t>
        </is>
      </c>
      <c r="B55" s="20" t="inlineStr">
        <is>
          <t>depth_warn</t>
        </is>
      </c>
      <c r="C55" s="20" t="n"/>
      <c r="D55" s="25">
        <f>IF(h_actual&gt;D_int,"LIQUID OVER USABLE DEPTH","OK")</f>
        <v/>
      </c>
      <c r="E55" s="20" t="n"/>
      <c r="F55" s="20" t="n"/>
      <c r="G55" s="20" t="n"/>
      <c r="H55" s="20" t="n"/>
      <c r="I55" s="20" t="n"/>
    </row>
    <row r="56">
      <c r="A56" s="20" t="n"/>
      <c r="B56" s="20" t="n"/>
      <c r="C56" s="20" t="n"/>
      <c r="D56" s="20" t="n"/>
      <c r="E56" s="20" t="n"/>
      <c r="F56" s="20" t="n"/>
      <c r="G56" s="20" t="n"/>
      <c r="H56" s="20" t="n"/>
      <c r="I56" s="20" t="n"/>
    </row>
    <row r="57">
      <c r="A57" s="143" t="inlineStr">
        <is>
          <t>REACTOR LOOKUP  (reactor ID → type)</t>
        </is>
      </c>
      <c r="B57" s="20" t="n"/>
      <c r="C57" s="20" t="n"/>
      <c r="D57" s="20" t="n"/>
      <c r="E57" s="20" t="n"/>
      <c r="F57" s="20" t="n"/>
      <c r="G57" s="20" t="n"/>
      <c r="H57" s="20" t="n"/>
      <c r="I57" s="20" t="n"/>
    </row>
    <row r="58">
      <c r="A58" s="143" t="inlineStr">
        <is>
          <t>Reactor</t>
        </is>
      </c>
      <c r="B58" s="143" t="inlineStr">
        <is>
          <t>Type</t>
        </is>
      </c>
      <c r="C58" s="20" t="n"/>
      <c r="D58" s="20" t="n"/>
      <c r="E58" s="20" t="n"/>
      <c r="F58" s="20" t="n"/>
      <c r="G58" s="20" t="n"/>
      <c r="H58" s="20" t="n"/>
      <c r="I58" s="20" t="n"/>
    </row>
    <row r="59">
      <c r="A59" s="20" t="inlineStr">
        <is>
          <t>imp01</t>
        </is>
      </c>
      <c r="B59" s="20" t="inlineStr">
        <is>
          <t>AEP0.1.1</t>
        </is>
      </c>
      <c r="C59" s="20" t="n"/>
      <c r="D59" s="20" t="n"/>
      <c r="E59" s="20" t="n"/>
      <c r="F59" s="20" t="n"/>
      <c r="G59" s="20" t="n"/>
      <c r="H59" s="20" t="n"/>
      <c r="I59" s="20" t="n"/>
    </row>
    <row r="60">
      <c r="A60" s="20" t="inlineStr">
        <is>
          <t>imp02</t>
        </is>
      </c>
      <c r="B60" s="20" t="inlineStr">
        <is>
          <t>AEP0.1.1</t>
        </is>
      </c>
      <c r="C60" s="20" t="n"/>
      <c r="D60" s="20" t="n"/>
      <c r="E60" s="20" t="n"/>
      <c r="F60" s="20" t="n"/>
      <c r="G60" s="20" t="n"/>
      <c r="H60" s="20" t="n"/>
      <c r="I60" s="20" t="n"/>
    </row>
    <row r="61">
      <c r="A61" s="20" t="inlineStr">
        <is>
          <t>imp03</t>
        </is>
      </c>
      <c r="B61" s="20" t="inlineStr">
        <is>
          <t>AEP0.1.1</t>
        </is>
      </c>
      <c r="C61" s="20" t="n"/>
      <c r="D61" s="20" t="n"/>
      <c r="E61" s="20" t="n"/>
      <c r="F61" s="20" t="n"/>
      <c r="G61" s="20" t="n"/>
      <c r="H61" s="20" t="n"/>
      <c r="I61" s="20" t="n"/>
    </row>
    <row r="62">
      <c r="A62" s="20" t="inlineStr">
        <is>
          <t>imp04</t>
        </is>
      </c>
      <c r="B62" s="20" t="inlineStr">
        <is>
          <t>AEP0.1.1</t>
        </is>
      </c>
      <c r="C62" s="20" t="n"/>
      <c r="D62" s="20" t="n"/>
      <c r="E62" s="20" t="n"/>
      <c r="F62" s="20" t="n"/>
      <c r="G62" s="20" t="n"/>
      <c r="H62" s="20" t="n"/>
      <c r="I62" s="20" t="n"/>
    </row>
    <row r="63">
      <c r="A63" s="20" t="inlineStr">
        <is>
          <t>imp05</t>
        </is>
      </c>
      <c r="B63" s="20" t="inlineStr">
        <is>
          <t>AEP0.1.1</t>
        </is>
      </c>
      <c r="C63" s="20" t="n"/>
      <c r="D63" s="20" t="n"/>
      <c r="E63" s="20" t="n"/>
      <c r="F63" s="20" t="n"/>
      <c r="G63" s="20" t="n"/>
      <c r="H63" s="20" t="n"/>
      <c r="I63" s="20" t="n"/>
    </row>
    <row r="64">
      <c r="A64" s="20" t="inlineStr">
        <is>
          <t>imp06</t>
        </is>
      </c>
      <c r="B64" s="20" t="inlineStr">
        <is>
          <t>AEP0.1.1</t>
        </is>
      </c>
      <c r="C64" s="20" t="n"/>
      <c r="D64" s="20" t="n"/>
      <c r="E64" s="20" t="n"/>
      <c r="F64" s="20" t="n"/>
      <c r="G64" s="20" t="n"/>
      <c r="H64" s="20" t="n"/>
      <c r="I64" s="20" t="n"/>
    </row>
    <row r="65">
      <c r="A65" s="20" t="inlineStr">
        <is>
          <t>ed01</t>
        </is>
      </c>
      <c r="B65" s="20" t="inlineStr">
        <is>
          <t>AEP0.1.1</t>
        </is>
      </c>
      <c r="C65" s="20" t="n"/>
      <c r="D65" s="20" t="n"/>
      <c r="E65" s="20" t="n"/>
      <c r="F65" s="20" t="n"/>
      <c r="G65" s="20" t="n"/>
      <c r="H65" s="20" t="n"/>
      <c r="I65" s="20" t="n"/>
    </row>
    <row r="66">
      <c r="A66" s="20" t="inlineStr">
        <is>
          <t>ed02</t>
        </is>
      </c>
      <c r="B66" s="20" t="inlineStr">
        <is>
          <t>AEP0.1.1</t>
        </is>
      </c>
      <c r="C66" s="20" t="n"/>
      <c r="D66" s="20" t="n"/>
      <c r="E66" s="20" t="n"/>
      <c r="F66" s="20" t="n"/>
      <c r="G66" s="20" t="n"/>
      <c r="H66" s="20" t="n"/>
      <c r="I66" s="20" t="n"/>
    </row>
    <row r="67">
      <c r="A67" s="20" t="inlineStr">
        <is>
          <t>ed03</t>
        </is>
      </c>
      <c r="B67" s="20" t="inlineStr">
        <is>
          <t>AEP0.1.1</t>
        </is>
      </c>
      <c r="C67" s="20" t="n"/>
      <c r="D67" s="20" t="n"/>
      <c r="E67" s="20" t="n"/>
      <c r="F67" s="20" t="n"/>
      <c r="G67" s="20" t="n"/>
      <c r="H67" s="20" t="n"/>
      <c r="I67" s="20" t="n"/>
    </row>
    <row r="68">
      <c r="A68" s="20" t="inlineStr">
        <is>
          <t>ed04</t>
        </is>
      </c>
      <c r="B68" s="20" t="inlineStr">
        <is>
          <t>MEP0.3</t>
        </is>
      </c>
      <c r="C68" s="20" t="n"/>
      <c r="D68" s="20" t="n"/>
      <c r="E68" s="20" t="n"/>
      <c r="F68" s="20" t="n"/>
      <c r="G68" s="20" t="n"/>
      <c r="H68" s="20" t="n"/>
      <c r="I68" s="20" t="n"/>
    </row>
    <row r="69">
      <c r="A69" s="20" t="inlineStr">
        <is>
          <t>ed05</t>
        </is>
      </c>
      <c r="B69" s="20" t="inlineStr">
        <is>
          <t>MEP0.3</t>
        </is>
      </c>
      <c r="C69" s="20" t="n"/>
      <c r="D69" s="20" t="n"/>
      <c r="E69" s="20" t="n"/>
      <c r="F69" s="20" t="n"/>
      <c r="G69" s="20" t="n"/>
      <c r="H69" s="20" t="n"/>
      <c r="I69" s="20" t="n"/>
    </row>
    <row r="70">
      <c r="A70" s="20" t="inlineStr">
        <is>
          <t>ed06</t>
        </is>
      </c>
      <c r="B70" s="20" t="inlineStr">
        <is>
          <t>AEP0.2</t>
        </is>
      </c>
      <c r="C70" s="20" t="n"/>
      <c r="D70" s="20" t="n"/>
      <c r="E70" s="20" t="n"/>
      <c r="F70" s="20" t="n"/>
      <c r="G70" s="20" t="n"/>
      <c r="H70" s="20" t="n"/>
      <c r="I70" s="20" t="n"/>
    </row>
    <row r="71">
      <c r="A71" s="20" t="inlineStr">
        <is>
          <t>ed07</t>
        </is>
      </c>
      <c r="B71" s="20" t="inlineStr">
        <is>
          <t>AEP0.2</t>
        </is>
      </c>
      <c r="C71" s="20" t="n"/>
      <c r="D71" s="20" t="n"/>
      <c r="E71" s="20" t="n"/>
      <c r="F71" s="20" t="n"/>
      <c r="G71" s="20" t="n"/>
      <c r="H71" s="20" t="n"/>
      <c r="I71" s="20" t="n"/>
    </row>
    <row r="72">
      <c r="A72" s="20" t="inlineStr">
        <is>
          <t>ed08</t>
        </is>
      </c>
      <c r="B72" s="20" t="inlineStr">
        <is>
          <t>AEP0.2</t>
        </is>
      </c>
      <c r="C72" s="20" t="n"/>
      <c r="D72" s="20" t="n"/>
      <c r="E72" s="20" t="n"/>
      <c r="F72" s="20" t="n"/>
      <c r="G72" s="20" t="n"/>
      <c r="H72" s="20" t="n"/>
      <c r="I72" s="20" t="n"/>
    </row>
    <row r="73">
      <c r="A73" s="20" t="inlineStr">
        <is>
          <t>imp07</t>
        </is>
      </c>
      <c r="B73" s="20" t="inlineStr">
        <is>
          <t>AEP0.2</t>
        </is>
      </c>
      <c r="C73" s="20" t="n"/>
      <c r="D73" s="20" t="n"/>
      <c r="E73" s="20" t="n"/>
      <c r="F73" s="20" t="n"/>
      <c r="G73" s="20" t="n"/>
      <c r="H73" s="20" t="n"/>
      <c r="I73" s="20" t="n"/>
    </row>
    <row r="74">
      <c r="A74" s="20" t="inlineStr">
        <is>
          <t>imp08</t>
        </is>
      </c>
      <c r="B74" s="20" t="inlineStr">
        <is>
          <t>AEP0.2</t>
        </is>
      </c>
      <c r="C74" s="20" t="n"/>
      <c r="D74" s="20" t="n"/>
      <c r="E74" s="20" t="n"/>
      <c r="F74" s="20" t="n"/>
      <c r="G74" s="20" t="n"/>
      <c r="H74" s="20" t="n"/>
      <c r="I74" s="20" t="n"/>
    </row>
    <row r="75">
      <c r="A75" s="20" t="inlineStr">
        <is>
          <t>imp09</t>
        </is>
      </c>
      <c r="B75" s="20" t="inlineStr">
        <is>
          <t>AEP0.2</t>
        </is>
      </c>
      <c r="C75" s="20" t="n"/>
      <c r="D75" s="20" t="n"/>
      <c r="E75" s="20" t="n"/>
      <c r="F75" s="20" t="n"/>
      <c r="G75" s="20" t="n"/>
      <c r="H75" s="20" t="n"/>
      <c r="I75" s="20" t="n"/>
    </row>
    <row r="76">
      <c r="A76" s="20" t="inlineStr">
        <is>
          <t>imp10</t>
        </is>
      </c>
      <c r="B76" s="20" t="inlineStr">
        <is>
          <t>AEP0.2</t>
        </is>
      </c>
      <c r="C76" s="20" t="n"/>
      <c r="D76" s="20" t="n"/>
      <c r="E76" s="20" t="n"/>
      <c r="F76" s="20" t="n"/>
      <c r="G76" s="20" t="n"/>
      <c r="H76" s="20" t="n"/>
      <c r="I76" s="20" t="n"/>
    </row>
    <row r="77">
      <c r="A77" s="20" t="inlineStr">
        <is>
          <t>imp11</t>
        </is>
      </c>
      <c r="B77" s="20" t="inlineStr">
        <is>
          <t>AEP0.2</t>
        </is>
      </c>
      <c r="C77" s="20" t="n"/>
      <c r="D77" s="20" t="n"/>
      <c r="E77" s="20" t="n"/>
      <c r="F77" s="20" t="n"/>
      <c r="G77" s="20" t="n"/>
      <c r="H77" s="20" t="n"/>
      <c r="I77" s="20" t="n"/>
    </row>
    <row r="78">
      <c r="A78" s="20" t="inlineStr">
        <is>
          <t>imp12</t>
        </is>
      </c>
      <c r="B78" s="20" t="inlineStr">
        <is>
          <t>AEP0.2</t>
        </is>
      </c>
      <c r="C78" s="20" t="n"/>
      <c r="D78" s="20" t="n"/>
      <c r="E78" s="20" t="n"/>
      <c r="F78" s="20" t="n"/>
      <c r="G78" s="20" t="n"/>
      <c r="H78" s="20" t="n"/>
      <c r="I78" s="20" t="n"/>
    </row>
    <row r="79">
      <c r="A79" s="20" t="inlineStr">
        <is>
          <t>nm01</t>
        </is>
      </c>
      <c r="B79" s="20" t="inlineStr">
        <is>
          <t>AEP0.2a</t>
        </is>
      </c>
      <c r="C79" s="20" t="n"/>
      <c r="D79" s="20" t="n"/>
      <c r="E79" s="20" t="n"/>
      <c r="F79" s="20" t="n"/>
      <c r="G79" s="20" t="n"/>
      <c r="H79" s="20" t="n"/>
      <c r="I79" s="20" t="n"/>
    </row>
    <row r="80">
      <c r="A80" s="20" t="inlineStr">
        <is>
          <t>nm02</t>
        </is>
      </c>
      <c r="B80" s="20" t="inlineStr">
        <is>
          <t>AEP0.2</t>
        </is>
      </c>
      <c r="C80" s="20" t="n"/>
      <c r="D80" s="20" t="n"/>
      <c r="E80" s="20" t="n"/>
      <c r="F80" s="20" t="n"/>
      <c r="G80" s="20" t="n"/>
      <c r="H80" s="20" t="n"/>
      <c r="I80" s="20" t="n"/>
    </row>
    <row r="81">
      <c r="A81" s="20" t="n"/>
      <c r="B81" s="20" t="n"/>
      <c r="C81" s="20" t="n"/>
      <c r="D81" s="20" t="n"/>
      <c r="E81" s="20" t="n"/>
      <c r="F81" s="20" t="n"/>
      <c r="G81" s="20" t="n"/>
      <c r="H81" s="20" t="n"/>
      <c r="I81" s="20" t="n"/>
    </row>
    <row r="82">
      <c r="A82" s="143" t="inlineStr">
        <is>
          <t>REACTOR-TYPE LOOKUP  (geometry &amp; stir bar; pulled by type)</t>
        </is>
      </c>
      <c r="B82" s="20" t="n"/>
      <c r="C82" s="20" t="n"/>
      <c r="D82" s="20" t="n"/>
      <c r="E82" s="20" t="n"/>
      <c r="F82" s="20" t="n"/>
      <c r="G82" s="20" t="n"/>
      <c r="H82" s="20" t="n"/>
      <c r="I82" s="20" t="n"/>
    </row>
    <row r="83">
      <c r="A83" s="143" t="inlineStr">
        <is>
          <t>Type</t>
        </is>
      </c>
      <c r="B83" s="143" t="inlineStr">
        <is>
          <t>Pioreactor</t>
        </is>
      </c>
      <c r="C83" s="143" t="inlineStr">
        <is>
          <t>vial (mL)</t>
        </is>
      </c>
      <c r="D83" s="143" t="inlineStr">
        <is>
          <t>usable depth (mm)</t>
        </is>
      </c>
      <c r="E83" s="143" t="inlineStr">
        <is>
          <t>max working (mL)</t>
        </is>
      </c>
      <c r="F83" s="143" t="inlineStr">
        <is>
          <t>total vial (mL)</t>
        </is>
      </c>
      <c r="G83" s="143" t="inlineStr">
        <is>
          <t>vial OD (mm)</t>
        </is>
      </c>
      <c r="H83" s="143" t="inlineStr">
        <is>
          <t>stir bar L (mm)</t>
        </is>
      </c>
      <c r="I83" s="143" t="inlineStr">
        <is>
          <t>stir bar dia (mm)</t>
        </is>
      </c>
    </row>
    <row r="84">
      <c r="A84" s="20" t="inlineStr">
        <is>
          <t>AEP0.1.1</t>
        </is>
      </c>
      <c r="B84" s="20" t="inlineStr">
        <is>
          <t>1.1</t>
        </is>
      </c>
      <c r="C84" s="20" t="n">
        <v>20</v>
      </c>
      <c r="D84" s="20" t="n">
        <v>55</v>
      </c>
      <c r="E84" s="20" t="n">
        <v>16</v>
      </c>
      <c r="F84" s="20" t="n">
        <v>20</v>
      </c>
      <c r="G84" s="20" t="n">
        <v>27.48</v>
      </c>
      <c r="H84" s="20" t="n">
        <v>12</v>
      </c>
      <c r="I84" s="20" t="n">
        <v>3</v>
      </c>
    </row>
    <row r="85">
      <c r="A85" s="20" t="inlineStr">
        <is>
          <t>MEP0.3</t>
        </is>
      </c>
      <c r="B85" s="20" t="inlineStr">
        <is>
          <t>1.1</t>
        </is>
      </c>
      <c r="C85" s="20" t="n">
        <v>20</v>
      </c>
      <c r="D85" s="20" t="n">
        <v>55</v>
      </c>
      <c r="E85" s="20" t="n">
        <v>16</v>
      </c>
      <c r="F85" s="20" t="n">
        <v>20</v>
      </c>
      <c r="G85" s="20" t="n">
        <v>27.48</v>
      </c>
      <c r="H85" s="20" t="n">
        <v>12</v>
      </c>
      <c r="I85" s="20" t="n">
        <v>3</v>
      </c>
    </row>
    <row r="86">
      <c r="A86" s="20" t="inlineStr">
        <is>
          <t>AEP0.2</t>
        </is>
      </c>
      <c r="B86" s="20" t="inlineStr">
        <is>
          <t>1.5</t>
        </is>
      </c>
      <c r="C86" s="20" t="n">
        <v>40</v>
      </c>
      <c r="D86" s="20" t="n">
        <v>95</v>
      </c>
      <c r="E86" s="20" t="n">
        <v>30</v>
      </c>
      <c r="F86" s="20" t="n">
        <v>42</v>
      </c>
      <c r="G86" s="20" t="n">
        <v>27.48</v>
      </c>
      <c r="H86" s="20" t="n">
        <v>15</v>
      </c>
      <c r="I86" s="20" t="n">
        <v>6</v>
      </c>
    </row>
    <row r="87">
      <c r="A87" s="20" t="inlineStr">
        <is>
          <t>AEP0.2a</t>
        </is>
      </c>
      <c r="B87" s="20" t="inlineStr">
        <is>
          <t>1.5</t>
        </is>
      </c>
      <c r="C87" s="20" t="n">
        <v>40</v>
      </c>
      <c r="D87" s="20" t="n">
        <v>95</v>
      </c>
      <c r="E87" s="20" t="n">
        <v>30</v>
      </c>
      <c r="F87" s="20" t="n">
        <v>42</v>
      </c>
      <c r="G87" s="20" t="n">
        <v>27.48</v>
      </c>
      <c r="H87" s="20" t="n">
        <v>15</v>
      </c>
      <c r="I87" s="20" t="n">
        <v>6</v>
      </c>
    </row>
    <row r="88">
      <c r="A88" s="20" t="n"/>
      <c r="B88" s="20" t="n"/>
      <c r="C88" s="20" t="n"/>
      <c r="D88" s="20" t="n"/>
      <c r="E88" s="20" t="n"/>
      <c r="F88" s="20" t="n"/>
      <c r="G88" s="20" t="n"/>
      <c r="H88" s="20" t="n"/>
      <c r="I88" s="20" t="n"/>
    </row>
    <row r="89">
      <c r="A89" s="143" t="inlineStr">
        <is>
          <t>VIAL GEOMETRY CONSISTENCY CHECK</t>
        </is>
      </c>
      <c r="B89" s="20" t="n"/>
      <c r="C89" s="20" t="n"/>
      <c r="D89" s="20" t="n"/>
      <c r="E89" s="20" t="n"/>
      <c r="F89" s="20" t="n"/>
      <c r="G89" s="20" t="n"/>
      <c r="H89" s="20" t="n"/>
      <c r="I89" s="20" t="n"/>
    </row>
    <row r="90">
      <c r="A90" s="20" t="inlineStr">
        <is>
          <t>Vial geometry consistency check</t>
        </is>
      </c>
      <c r="B90" s="20" t="inlineStr">
        <is>
          <t>geom_check</t>
        </is>
      </c>
      <c r="C90" s="20" t="n"/>
      <c r="D90" s="25">
        <f>IF(ABS(A_x*D_int/1000-V_vial_total)&gt;3,"VIAL GEOMETRY INCONSISTENT - measure true fill volume &amp; bore depth","OK")</f>
        <v/>
      </c>
      <c r="E90" s="20" t="n"/>
      <c r="F90" s="141" t="inlineStr">
        <is>
          <t>Fires INCONSISTENT for the 20 mL vial because the bare cylinder (A_x x usable depth ~28 mL) overestimates the true 20 mL vial (it tapers/necks, not a full cylinder to 55 mm). Expected tolerance artifact, not a data error - resolved by measuring true bore depth (protocols/vial-geometry.md).</t>
        </is>
      </c>
      <c r="G90" s="20" t="n"/>
      <c r="H90" s="20" t="n"/>
      <c r="I90" s="20" t="n"/>
    </row>
  </sheetData>
  <conditionalFormatting sqref="D86:D87">
    <cfRule type="expression" priority="1" dxfId="1">
      <formula>OR(ISNUMBER(SEARCH("RISK",D86)),ISNUMBER(SEARCH("OVER",D86)),ISNUMBER(SEARCH("BELOW",D86)),ISNUMBER(SEARCH("EXCEED",D86)),ISNUMBER(SEARCH("NO CALIB",D86)),ISNUMBER(SEARCH("NEAREST",D86)),ISNUMBER(SEARCH("EXPLOSIVE",D86)),ISNUMBER(SEARCH("LOW",D86)),ISNUMBER(SEARCH("TIGHT",D86)),ISNUMBER(SEARCH("insufficient",D86)))</formula>
    </cfRule>
    <cfRule type="expression" priority="2" dxfId="0">
      <formula>OR(ISNUMBER(SEARCH("OK",D86)),ISNUMBER(SEARCH("calibrated",D86)),ISNUMBER(SEARCH("under optimum",D86)),ISNUMBER(SEARCH("above min",D86)),ISNUMBER(SEARCH("exact",D86)))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8"/>
    <outlinePr summaryBelow="1" summaryRight="1"/>
    <pageSetUpPr/>
  </sheetPr>
  <dimension ref="A1:I39"/>
  <sheetViews>
    <sheetView topLeftCell="A19" zoomScale="181" workbookViewId="0">
      <selection activeCell="G34" sqref="G34"/>
    </sheetView>
  </sheetViews>
  <sheetFormatPr baseColWidth="10" defaultColWidth="8.83203125" defaultRowHeight="15"/>
  <cols>
    <col width="30" customWidth="1" min="1" max="1"/>
    <col width="15" customWidth="1" min="2" max="2"/>
    <col width="11.6640625" bestFit="1" customWidth="1" min="4" max="4"/>
    <col width="60" customWidth="1" min="5" max="5"/>
  </cols>
  <sheetData>
    <row r="1" ht="16" customHeight="1">
      <c r="A1" s="144" t="inlineStr">
        <is>
          <t>ELECTROCHEMISTRY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</row>
    <row r="2">
      <c r="A2" s="16" t="inlineStr">
        <is>
          <t>Parameter</t>
        </is>
      </c>
      <c r="B2" s="16" t="inlineStr">
        <is>
          <t>Name</t>
        </is>
      </c>
      <c r="C2" s="16" t="inlineStr">
        <is>
          <t>Unit</t>
        </is>
      </c>
      <c r="D2" s="16" t="inlineStr">
        <is>
          <t>Value</t>
        </is>
      </c>
      <c r="E2" s="16" t="inlineStr">
        <is>
          <t>Source / assumption</t>
        </is>
      </c>
      <c r="F2" s="20" t="n"/>
      <c r="G2" s="20" t="n"/>
      <c r="H2" s="20" t="n"/>
      <c r="I2" s="20" t="n"/>
    </row>
    <row r="3">
      <c r="A3" s="17" t="n"/>
      <c r="B3" s="18" t="n"/>
      <c r="C3" s="19" t="n"/>
      <c r="D3" s="64" t="n"/>
      <c r="E3" s="44" t="n"/>
      <c r="F3" s="20" t="n"/>
      <c r="G3" s="20" t="n"/>
      <c r="H3" s="20" t="n"/>
      <c r="I3" s="20" t="n"/>
    </row>
    <row r="4" ht="16" customHeight="1">
      <c r="A4" s="144" t="inlineStr">
        <is>
          <t>IMPORTS (from other tabs)</t>
        </is>
      </c>
      <c r="B4" s="18" t="n"/>
      <c r="C4" s="19" t="n"/>
      <c r="D4" s="65" t="n"/>
      <c r="E4" s="66" t="n"/>
      <c r="F4" s="20" t="n"/>
      <c r="G4" s="20" t="n"/>
      <c r="H4" s="20" t="n"/>
      <c r="I4" s="20" t="n"/>
    </row>
    <row r="5">
      <c r="A5" s="20" t="inlineStr">
        <is>
          <t>(import) Temperature (absolute)</t>
        </is>
      </c>
      <c r="B5" s="20" t="inlineStr">
        <is>
          <t>T_K</t>
        </is>
      </c>
      <c r="C5" s="20" t="inlineStr">
        <is>
          <t>K</t>
        </is>
      </c>
      <c r="D5" s="27">
        <f>Biology!$D$18</f>
        <v/>
      </c>
      <c r="E5" s="24">
        <f>HYPERLINK("#Biology!D18","→ Biology")</f>
        <v/>
      </c>
      <c r="F5" s="20" t="n"/>
      <c r="G5" s="20" t="n"/>
      <c r="H5" s="20" t="n"/>
      <c r="I5" s="20" t="n"/>
    </row>
    <row r="6">
      <c r="A6" s="20" t="inlineStr">
        <is>
          <t>(import) Surface pressure</t>
        </is>
      </c>
      <c r="B6" s="20" t="inlineStr">
        <is>
          <t>P_atm</t>
        </is>
      </c>
      <c r="C6" s="20" t="inlineStr">
        <is>
          <t>Pa</t>
        </is>
      </c>
      <c r="D6" s="27">
        <f>Biology!$D$19</f>
        <v/>
      </c>
      <c r="E6" s="24">
        <f>HYPERLINK("#Biology!D19","→ Biology")</f>
        <v/>
      </c>
      <c r="F6" s="20" t="n"/>
      <c r="G6" s="20" t="n"/>
      <c r="H6" s="20" t="n"/>
      <c r="I6" s="20" t="n"/>
    </row>
    <row r="7">
      <c r="A7" s="20" t="inlineStr">
        <is>
          <t>(import) Ideal gas constant</t>
        </is>
      </c>
      <c r="B7" s="20" t="inlineStr">
        <is>
          <t>R_gas</t>
        </is>
      </c>
      <c r="C7" s="20" t="inlineStr">
        <is>
          <t>J/mol/K</t>
        </is>
      </c>
      <c r="D7" s="23">
        <f>'Mass Transfer'!$D$101</f>
        <v/>
      </c>
      <c r="E7" s="24">
        <f>HYPERLINK("#'Mass Transfer'!D101","→ Mass Transfer")</f>
        <v/>
      </c>
      <c r="F7" s="20" t="n"/>
      <c r="G7" s="20" t="n"/>
      <c r="H7" s="20" t="n"/>
      <c r="I7" s="20" t="n"/>
    </row>
    <row r="8">
      <c r="A8" s="20" t="inlineStr">
        <is>
          <t>(import) Electrode selection</t>
        </is>
      </c>
      <c r="B8" s="20" t="inlineStr">
        <is>
          <t>electrode_sel</t>
        </is>
      </c>
      <c r="C8" s="20" t="n"/>
      <c r="D8" s="45">
        <f>Summary!$D$3</f>
        <v/>
      </c>
      <c r="E8" s="24">
        <f>HYPERLINK("#Summary!D4","→ Summary")</f>
        <v/>
      </c>
      <c r="F8" s="20" t="n"/>
      <c r="G8" s="20" t="n"/>
      <c r="H8" s="20" t="n"/>
      <c r="I8" s="20" t="n"/>
    </row>
    <row r="9">
      <c r="A9" s="17" t="n"/>
      <c r="B9" s="18" t="n"/>
      <c r="C9" s="19" t="n"/>
      <c r="D9" s="67" t="n"/>
      <c r="E9" s="131" t="n"/>
      <c r="F9" s="20" t="n"/>
      <c r="G9" s="20" t="n"/>
      <c r="H9" s="20" t="n"/>
      <c r="I9" s="20" t="n"/>
    </row>
    <row r="10">
      <c r="A10" s="17" t="inlineStr">
        <is>
          <t>LED intensity setpoint (Pioreactor LED_D)</t>
        </is>
      </c>
      <c r="B10" s="18" t="inlineStr">
        <is>
          <t>intensity</t>
        </is>
      </c>
      <c r="C10" s="19" t="inlineStr">
        <is>
          <t>%</t>
        </is>
      </c>
      <c r="D10" s="68">
        <f>Summary!$D$6</f>
        <v/>
      </c>
      <c r="E10" s="44" t="inlineStr">
        <is>
          <t>Electrode drive via LED_D channel. Input.</t>
        </is>
      </c>
      <c r="F10" s="20" t="n"/>
      <c r="G10" s="20" t="n"/>
      <c r="H10" s="20" t="n"/>
      <c r="I10" s="20" t="n"/>
    </row>
    <row r="11" ht="36" customHeight="1">
      <c r="A11" s="17" t="inlineStr">
        <is>
          <t>Gerrit's Law - slope</t>
        </is>
      </c>
      <c r="B11" s="18" t="inlineStr">
        <is>
          <t>gerrit_slope</t>
        </is>
      </c>
      <c r="C11" s="19" t="inlineStr">
        <is>
          <t>mA/%</t>
        </is>
      </c>
      <c r="D11" s="65" t="n">
        <v>1.03</v>
      </c>
      <c r="E11" s="149" t="inlineStr">
        <is>
          <t>Gerrit's Law fit (slope) - from LED-current calibration; see protocol gerrit-current.md</t>
        </is>
      </c>
      <c r="F11" s="20" t="n"/>
      <c r="G11" s="20" t="n"/>
      <c r="H11" s="20" t="n"/>
      <c r="I11" s="20" t="n"/>
    </row>
    <row r="12">
      <c r="A12" s="17" t="inlineStr">
        <is>
          <t>Gerrit's Law - intercept</t>
        </is>
      </c>
      <c r="B12" s="18" t="inlineStr">
        <is>
          <t>gerrit_int</t>
        </is>
      </c>
      <c r="C12" s="19" t="inlineStr">
        <is>
          <t>mA</t>
        </is>
      </c>
      <c r="D12" s="70" t="n">
        <v>2.6</v>
      </c>
      <c r="E12" s="149" t="inlineStr">
        <is>
          <t>Gerrit's Law fit (intercept); calibration-derived constant</t>
        </is>
      </c>
      <c r="F12" s="20" t="n"/>
      <c r="G12" s="20" t="n"/>
      <c r="H12" s="20" t="n"/>
      <c r="I12" s="20" t="n"/>
    </row>
    <row r="13">
      <c r="A13" s="17" t="inlineStr">
        <is>
          <t>Gerrit's Law - min valid intensity</t>
        </is>
      </c>
      <c r="B13" s="18" t="inlineStr">
        <is>
          <t>gerrit_min</t>
        </is>
      </c>
      <c r="C13" s="19" t="inlineStr">
        <is>
          <t>%</t>
        </is>
      </c>
      <c r="D13" s="71" t="n">
        <v>3</v>
      </c>
      <c r="E13" s="66" t="inlineStr">
        <is>
          <t>Fit validated from 3%.</t>
        </is>
      </c>
      <c r="F13" s="20" t="n"/>
      <c r="G13" s="20" t="n"/>
      <c r="H13" s="20" t="n"/>
      <c r="I13" s="20" t="n"/>
    </row>
    <row r="14">
      <c r="A14" s="17" t="inlineStr">
        <is>
          <t>Gerrit's Law - max valid intensity</t>
        </is>
      </c>
      <c r="B14" s="18" t="inlineStr">
        <is>
          <t>gerrit_max</t>
        </is>
      </c>
      <c r="C14" s="19" t="inlineStr">
        <is>
          <t>%</t>
        </is>
      </c>
      <c r="D14" s="71" t="n">
        <v>25</v>
      </c>
      <c r="E14" s="66" t="inlineStr">
        <is>
          <t>Fit validated to 25%; above this constant-current may fail as cell V nears the 5 V rail.</t>
        </is>
      </c>
      <c r="F14" s="20" t="n"/>
      <c r="G14" s="20" t="n"/>
      <c r="H14" s="20" t="n"/>
      <c r="I14" s="20" t="n"/>
    </row>
    <row r="15">
      <c r="A15" s="17" t="inlineStr">
        <is>
          <t>Faraday constant</t>
        </is>
      </c>
      <c r="B15" s="18" t="inlineStr">
        <is>
          <t>F_const</t>
        </is>
      </c>
      <c r="C15" s="19" t="inlineStr">
        <is>
          <t>C/mol</t>
        </is>
      </c>
      <c r="D15" s="72" t="n">
        <v>96485.33212000001</v>
      </c>
      <c r="E15" s="134" t="inlineStr">
        <is>
          <t>NIST CODATA (exact, SI 2019).</t>
        </is>
      </c>
      <c r="F15" s="20" t="n"/>
      <c r="G15" s="20" t="n"/>
      <c r="H15" s="20" t="n"/>
      <c r="I15" s="20" t="n"/>
    </row>
    <row r="16">
      <c r="A16" s="17" t="inlineStr">
        <is>
          <t>Electrons per H₂</t>
        </is>
      </c>
      <c r="B16" s="18" t="inlineStr">
        <is>
          <t>z_e_H2</t>
        </is>
      </c>
      <c r="C16" s="19" t="inlineStr">
        <is>
          <t>-</t>
        </is>
      </c>
      <c r="D16" s="67" t="n">
        <v>2</v>
      </c>
      <c r="E16" s="131" t="inlineStr">
        <is>
          <t>2H⁺ + 2e⁻ -&gt; H₂.</t>
        </is>
      </c>
      <c r="F16" s="20" t="n"/>
      <c r="G16" s="20" t="n"/>
      <c r="H16" s="20" t="n"/>
      <c r="I16" s="20" t="n"/>
    </row>
    <row r="17">
      <c r="A17" s="17" t="inlineStr">
        <is>
          <t>Electrons per O₂</t>
        </is>
      </c>
      <c r="B17" s="18" t="inlineStr">
        <is>
          <t>z_e_O2</t>
        </is>
      </c>
      <c r="C17" s="19" t="inlineStr">
        <is>
          <t>-</t>
        </is>
      </c>
      <c r="D17" s="67" t="n">
        <v>4</v>
      </c>
      <c r="E17" s="131" t="inlineStr">
        <is>
          <t>2H₂O -&gt; O₂ + 4H⁺ + 4e⁻.</t>
        </is>
      </c>
      <c r="F17" s="20" t="n"/>
      <c r="G17" s="20" t="n"/>
      <c r="H17" s="20" t="n"/>
      <c r="I17" s="20" t="n"/>
    </row>
    <row r="18" ht="24" customHeight="1">
      <c r="A18" s="17" t="inlineStr">
        <is>
          <t>Faradaic efficiency – H₂ at cathode (HER share)</t>
        </is>
      </c>
      <c r="B18" s="18" t="inlineStr">
        <is>
          <t>etaF</t>
        </is>
      </c>
      <c r="C18" s="19" t="inlineStr">
        <is>
          <t>-</t>
        </is>
      </c>
      <c r="D18" s="148" t="n">
        <v>1</v>
      </c>
      <c r="E18" s="73" t="inlineStr">
        <is>
          <t>Cathodic H₂ faradaic efficiency. Neutral-pH HER peaks ~97% and competes with O₂ reduction, so true FE is likely &lt;1 and unmeasured (Clary 2020, PNAS 117:32947). 1.0 = optimistic; measure by gas collection.</t>
        </is>
      </c>
      <c r="F18" s="20" t="n"/>
      <c r="G18" s="20" t="n"/>
      <c r="H18" s="20" t="n"/>
      <c r="I18" s="20" t="n"/>
    </row>
    <row r="19" ht="24" customHeight="1">
      <c r="A19" s="17" t="inlineStr">
        <is>
          <t>Electrolysis current (Gerrit's Law)</t>
        </is>
      </c>
      <c r="B19" s="18" t="inlineStr">
        <is>
          <t>I_app</t>
        </is>
      </c>
      <c r="C19" s="19" t="inlineStr">
        <is>
          <t>A</t>
        </is>
      </c>
      <c r="D19" s="59">
        <f>(gerrit_slope*intensity+gerrit_int)/1000</f>
        <v/>
      </c>
      <c r="E19" s="66" t="inlineStr">
        <is>
          <t>I(mA) = slope x intensity + intercept; /1000 -&gt; A.</t>
        </is>
      </c>
      <c r="F19" s="20" t="n"/>
      <c r="G19" s="20" t="n"/>
      <c r="H19" s="20" t="n"/>
      <c r="I19" s="20" t="n"/>
    </row>
    <row r="20" ht="24" customHeight="1">
      <c r="A20" s="17" t="inlineStr">
        <is>
          <t>Gerrit's Law validity flag</t>
        </is>
      </c>
      <c r="B20" s="18" t="inlineStr">
        <is>
          <t>I_valid</t>
        </is>
      </c>
      <c r="C20" s="19" t="inlineStr">
        <is>
          <t>-</t>
        </is>
      </c>
      <c r="D20" s="74">
        <f>IF(AND(intensity&gt;=gerrit_min,intensity&lt;=gerrit_max),"OK","OUT")</f>
        <v/>
      </c>
      <c r="E20" s="66" t="inlineStr">
        <is>
          <t>Linear fit only validated over the stated range.</t>
        </is>
      </c>
      <c r="F20" s="20" t="n"/>
      <c r="G20" s="20" t="n"/>
      <c r="H20" s="20" t="n"/>
      <c r="I20" s="20" t="n"/>
    </row>
    <row r="21">
      <c r="A21" s="17" t="inlineStr">
        <is>
          <t>H₂ generation rate</t>
        </is>
      </c>
      <c r="B21" s="18" t="inlineStr">
        <is>
          <t>rH2_gen</t>
        </is>
      </c>
      <c r="C21" s="19" t="inlineStr">
        <is>
          <t>mol/h</t>
        </is>
      </c>
      <c r="D21" s="61">
        <f>I_app*etaF/(z_e_H2*F_const)*3600</f>
        <v/>
      </c>
      <c r="E21" s="131" t="inlineStr">
        <is>
          <t>Faraday: I x etaF /(z F).</t>
        </is>
      </c>
      <c r="F21" s="20" t="n"/>
      <c r="G21" s="20" t="n"/>
      <c r="H21" s="20" t="n"/>
      <c r="I21" s="20" t="n"/>
    </row>
    <row r="22">
      <c r="A22" s="17" t="inlineStr">
        <is>
          <t>O₂ generation rate (anodic, gross)</t>
        </is>
      </c>
      <c r="B22" s="18" t="inlineStr">
        <is>
          <t>rO2_gen</t>
        </is>
      </c>
      <c r="C22" s="19" t="inlineStr">
        <is>
          <t>mol/h</t>
        </is>
      </c>
      <c r="D22" s="61">
        <f>I_app*etaF_OER/(z_e_O2*F_const)*3600</f>
        <v/>
      </c>
      <c r="E22" s="131" t="inlineStr">
        <is>
          <t>Anodic OER, gross. Uses etaF_OER (anodic), not the cathodic etaF. H₂:O₂(anodic) = 2:1.</t>
        </is>
      </c>
      <c r="F22" s="20" t="n"/>
      <c r="G22" s="20" t="n"/>
      <c r="H22" s="20" t="n"/>
      <c r="I22" s="20" t="n"/>
    </row>
    <row r="23">
      <c r="A23" s="17" t="inlineStr">
        <is>
          <t>H₂ generation rate (volumetric)</t>
        </is>
      </c>
      <c r="B23" s="18" t="inlineStr">
        <is>
          <t>V_H2_gen</t>
        </is>
      </c>
      <c r="C23" s="19" t="inlineStr">
        <is>
          <t>mL/min</t>
        </is>
      </c>
      <c r="D23" s="61">
        <f>rH2_gen/60*R_gas*T_K/P_atm*1000000</f>
        <v/>
      </c>
      <c r="E23" s="131" t="inlineStr">
        <is>
          <t>Ideal gas at surface T,P. Collect gas over water to check against this.</t>
        </is>
      </c>
      <c r="F23" s="20" t="n"/>
      <c r="G23" s="20" t="n"/>
      <c r="H23" s="20" t="n"/>
      <c r="I23" s="20" t="n"/>
    </row>
    <row r="24">
      <c r="A24" s="17" t="inlineStr">
        <is>
          <t>O₂ generation rate (volumetric)</t>
        </is>
      </c>
      <c r="B24" s="18" t="inlineStr">
        <is>
          <t>V_O2_gen</t>
        </is>
      </c>
      <c r="C24" s="19" t="inlineStr">
        <is>
          <t>mL/min</t>
        </is>
      </c>
      <c r="D24" s="61">
        <f>rO2_gen/60*R_gas*T_K/P_atm*1000000</f>
        <v/>
      </c>
      <c r="E24" s="131" t="inlineStr">
        <is>
          <t>Anodic gross O₂.</t>
        </is>
      </c>
      <c r="F24" s="20" t="n"/>
      <c r="G24" s="20" t="n"/>
      <c r="H24" s="20" t="n"/>
      <c r="I24" s="20" t="n"/>
    </row>
    <row r="25" ht="24" customHeight="1">
      <c r="A25" s="17" t="inlineStr">
        <is>
          <t>Total gas generation rate</t>
        </is>
      </c>
      <c r="B25" s="18" t="inlineStr">
        <is>
          <t>V_gas_total</t>
        </is>
      </c>
      <c r="C25" s="19" t="inlineStr">
        <is>
          <t>mL/min</t>
        </is>
      </c>
      <c r="D25" s="61">
        <f>V_H2_gen+V_O2_gen</f>
        <v/>
      </c>
      <c r="E25" s="131" t="inlineStr">
        <is>
          <t>Total electrolytic gas (H₂+O₂) — abiotic check: collect over water, no cells, to verify Gerrit/etaF. Less if etaF&lt;1.</t>
        </is>
      </c>
      <c r="F25" s="20" t="n"/>
      <c r="G25" s="20" t="n"/>
      <c r="H25" s="20" t="n"/>
      <c r="I25" s="20" t="n"/>
    </row>
    <row r="26">
      <c r="A26" s="17" t="inlineStr">
        <is>
          <t>Anodic O₂ faradaic efficiency</t>
        </is>
      </c>
      <c r="B26" s="18" t="inlineStr">
        <is>
          <t>etaF_OER</t>
        </is>
      </c>
      <c r="C26" s="19" t="inlineStr">
        <is>
          <t>-</t>
        </is>
      </c>
      <c r="D26" s="148" t="n">
        <v>1</v>
      </c>
      <c r="E26" s="156" t="inlineStr">
        <is>
          <t>Assumes chloride-free medium (no competing Cl2 evolution at the anode)</t>
        </is>
      </c>
      <c r="F26" s="20" t="n"/>
      <c r="G26" s="20" t="n"/>
      <c r="H26" s="20" t="n"/>
      <c r="I26" s="20" t="n"/>
    </row>
    <row r="27" ht="24" customHeight="1">
      <c r="A27" s="17" t="inlineStr">
        <is>
          <t>Electrons per O₂ reduced (cathode)</t>
        </is>
      </c>
      <c r="B27" s="18" t="inlineStr">
        <is>
          <t>z_e_ORR</t>
        </is>
      </c>
      <c r="C27" s="19" t="inlineStr">
        <is>
          <t>-</t>
        </is>
      </c>
      <c r="D27" s="52">
        <f>VLOOKUP(electrode_sel,$A$35:$I$37,9,FALSE)</f>
        <v/>
      </c>
      <c r="E27" s="156" t="inlineStr">
        <is>
          <t>Electrode lookup fixes ORR at 2 e- (peroxide pathway, SS cathode, neutral pH) for every current electrode; a 4 e- (to-water) electrode would need its own table row.</t>
        </is>
      </c>
      <c r="F27" s="20" t="n"/>
      <c r="G27" s="20" t="n"/>
      <c r="H27" s="20" t="n"/>
      <c r="I27" s="20" t="n"/>
    </row>
    <row r="28">
      <c r="A28" s="17" t="inlineStr">
        <is>
          <t>O₂ consumed at cathode (ORR)</t>
        </is>
      </c>
      <c r="B28" s="18" t="inlineStr">
        <is>
          <t>O2_cathode_ORR</t>
        </is>
      </c>
      <c r="C28" s="19" t="inlineStr">
        <is>
          <t>mol/h</t>
        </is>
      </c>
      <c r="D28" s="61">
        <f>I_app*(1-etaF)/(z_e_ORR*F_const)*3600</f>
        <v/>
      </c>
      <c r="E28" s="131" t="inlineStr">
        <is>
          <t>Cathodic current not making H₂ (1−etaF) reduces dissolved O₂. 0 at etaF=1.</t>
        </is>
      </c>
      <c r="F28" s="20" t="n"/>
      <c r="G28" s="20" t="n"/>
      <c r="H28" s="20" t="n"/>
      <c r="I28" s="20" t="n"/>
    </row>
    <row r="29">
      <c r="A29" s="17" t="inlineStr">
        <is>
          <t>Net O₂ to dissolved pool</t>
        </is>
      </c>
      <c r="B29" s="18" t="inlineStr">
        <is>
          <t>O2_net_gen</t>
        </is>
      </c>
      <c r="C29" s="19" t="inlineStr">
        <is>
          <t>mol/h</t>
        </is>
      </c>
      <c r="D29" s="61">
        <f>rO2_gen-O2_cathode_ORR</f>
        <v/>
      </c>
      <c r="E29" s="131" t="inlineStr">
        <is>
          <t>Anodic O₂ minus cathodic consumption — the O₂ the dissolved pool receives.</t>
        </is>
      </c>
      <c r="F29" s="20" t="n"/>
      <c r="G29" s="20" t="n"/>
      <c r="H29" s="20" t="n"/>
      <c r="I29" s="20" t="n"/>
    </row>
    <row r="30">
      <c r="A30" s="141" t="inlineStr">
        <is>
          <t>z_e_ORR=2 assumed (peroxide, non-Pt SS cathode, neutral pH); etaF unmeasured - both live here per electrode.</t>
        </is>
      </c>
      <c r="B30" s="20" t="n"/>
      <c r="C30" s="20" t="n"/>
      <c r="D30" s="20" t="n"/>
      <c r="E30" s="20" t="n"/>
      <c r="F30" s="20" t="n"/>
      <c r="G30" s="20" t="n"/>
      <c r="H30" s="20" t="n"/>
      <c r="I30" s="20" t="n"/>
    </row>
    <row r="31">
      <c r="A31" s="20" t="inlineStr">
        <is>
          <t>Sparger (from electrode)</t>
        </is>
      </c>
      <c r="B31" s="20" t="inlineStr">
        <is>
          <t>sparger_e</t>
        </is>
      </c>
      <c r="C31" s="20" t="n"/>
      <c r="D31" s="25">
        <f>VLOOKUP(electrode_sel,$A$35:$I$37,4,FALSE)</f>
        <v/>
      </c>
      <c r="E31" s="20" t="n"/>
      <c r="F31" s="20" t="n"/>
      <c r="G31" s="20" t="n"/>
      <c r="H31" s="20" t="n"/>
      <c r="I31" s="20" t="n"/>
    </row>
    <row r="32">
      <c r="A32" s="20" t="inlineStr">
        <is>
          <t>Sinter porosity grade (from electrode)</t>
        </is>
      </c>
      <c r="B32" s="20" t="inlineStr">
        <is>
          <t>por_grade_e</t>
        </is>
      </c>
      <c r="C32" s="20" t="n"/>
      <c r="D32" s="25">
        <f>IF(ISNUMBER(VLOOKUP(electrode_sel,$A$35:$I$37,5,FALSE)),VLOOKUP(electrode_sel,$A$35:$I$37,5,FALSE),0)</f>
        <v/>
      </c>
      <c r="E32" s="141" t="inlineStr">
        <is>
          <t>Porosity 0 = Gerrit's sourced sintered disc (SD8/0/P 8mm, fallback SD10/0/P 10mm; Scientific Glass Labs, 2026-05)</t>
        </is>
      </c>
      <c r="F32" s="20" t="n"/>
      <c r="G32" s="20" t="n"/>
      <c r="H32" s="77" t="n"/>
      <c r="I32" s="20" t="n"/>
    </row>
    <row r="33">
      <c r="A33" s="143" t="inlineStr">
        <is>
          <t>ELECTRODE LOOKUP  (selecting the electrode sets sparger, porosity, cathode)</t>
        </is>
      </c>
      <c r="B33" s="20" t="n"/>
      <c r="C33" s="20" t="n"/>
      <c r="D33" s="20" t="n"/>
      <c r="E33" s="20" t="n"/>
      <c r="F33" s="20" t="n"/>
      <c r="G33" s="20" t="n"/>
      <c r="H33" s="20" t="n"/>
      <c r="I33" s="20" t="n"/>
    </row>
    <row r="34">
      <c r="A34" s="143" t="inlineStr">
        <is>
          <t>Electrode</t>
        </is>
      </c>
      <c r="B34" s="143" t="inlineStr">
        <is>
          <t>anode material</t>
        </is>
      </c>
      <c r="C34" s="143" t="inlineStr">
        <is>
          <t>anode dia (mm)</t>
        </is>
      </c>
      <c r="D34" s="143" t="inlineStr">
        <is>
          <t>sparger</t>
        </is>
      </c>
      <c r="E34" s="143" t="inlineStr">
        <is>
          <t>sinter porosity</t>
        </is>
      </c>
      <c r="F34" s="143" t="inlineStr">
        <is>
          <t>cathode</t>
        </is>
      </c>
      <c r="G34" s="143" t="inlineStr">
        <is>
          <t>cathode dia (mm)</t>
        </is>
      </c>
      <c r="H34" s="143" t="inlineStr">
        <is>
          <t>etaF</t>
        </is>
      </c>
      <c r="I34" s="143" t="inlineStr">
        <is>
          <t>z_e_ORR</t>
        </is>
      </c>
    </row>
    <row r="35">
      <c r="A35" s="20" t="inlineStr">
        <is>
          <t>Pt/Ti rod</t>
        </is>
      </c>
      <c r="B35" s="20" t="inlineStr">
        <is>
          <t>Pt/Ti</t>
        </is>
      </c>
      <c r="C35" s="20" t="n">
        <v>6</v>
      </c>
      <c r="D35" s="20" t="inlineStr">
        <is>
          <t>Tube</t>
        </is>
      </c>
      <c r="E35" s="20" t="inlineStr">
        <is>
          <t>n/a</t>
        </is>
      </c>
      <c r="F35" s="20" t="inlineStr">
        <is>
          <t>SS rod</t>
        </is>
      </c>
      <c r="G35" s="20" t="n">
        <v>6</v>
      </c>
      <c r="H35" s="77" t="inlineStr">
        <is>
          <t>?</t>
        </is>
      </c>
      <c r="I35" s="20" t="n">
        <v>2</v>
      </c>
    </row>
    <row r="36">
      <c r="A36" s="20" t="inlineStr">
        <is>
          <t>MMO rod</t>
        </is>
      </c>
      <c r="B36" s="20" t="inlineStr">
        <is>
          <t>MMO</t>
        </is>
      </c>
      <c r="C36" s="20" t="n">
        <v>6</v>
      </c>
      <c r="D36" s="20" t="inlineStr">
        <is>
          <t>Tube</t>
        </is>
      </c>
      <c r="E36" s="20" t="inlineStr">
        <is>
          <t>n/a</t>
        </is>
      </c>
      <c r="F36" s="20" t="inlineStr">
        <is>
          <t>SS rod</t>
        </is>
      </c>
      <c r="G36" s="20" t="n">
        <v>6</v>
      </c>
      <c r="H36" s="77" t="inlineStr">
        <is>
          <t>?</t>
        </is>
      </c>
      <c r="I36" s="20" t="n">
        <v>2</v>
      </c>
    </row>
    <row r="37">
      <c r="A37" s="20" t="inlineStr">
        <is>
          <t>MMO tube</t>
        </is>
      </c>
      <c r="B37" s="20" t="inlineStr">
        <is>
          <t>MMO</t>
        </is>
      </c>
      <c r="C37" s="20" t="n">
        <v>6</v>
      </c>
      <c r="D37" s="20" t="inlineStr">
        <is>
          <t>Sintered</t>
        </is>
      </c>
      <c r="E37" s="77" t="n">
        <v>0</v>
      </c>
      <c r="F37" s="20" t="inlineStr">
        <is>
          <t>SS rod</t>
        </is>
      </c>
      <c r="G37" s="20" t="n">
        <v>6</v>
      </c>
      <c r="H37" s="77" t="inlineStr">
        <is>
          <t>?</t>
        </is>
      </c>
      <c r="I37" s="20" t="n">
        <v>2</v>
      </c>
    </row>
    <row r="38">
      <c r="A38" s="20" t="n"/>
      <c r="B38" s="20" t="n"/>
      <c r="C38" s="20" t="n"/>
      <c r="D38" s="33" t="n"/>
      <c r="E38" s="20" t="n"/>
      <c r="F38" s="20" t="n"/>
      <c r="G38" s="20" t="n"/>
      <c r="H38" s="20" t="n"/>
      <c r="I38" s="20" t="n"/>
    </row>
    <row r="39">
      <c r="A39" s="20" t="n"/>
      <c r="B39" s="20" t="n"/>
      <c r="C39" s="20" t="n"/>
      <c r="D39" s="33" t="n"/>
      <c r="E39" s="20" t="n"/>
      <c r="F39" s="20" t="n"/>
      <c r="G39" s="20" t="n"/>
      <c r="H39" s="20" t="n"/>
      <c r="I39" s="20" t="n"/>
    </row>
  </sheetData>
  <conditionalFormatting sqref="D13">
    <cfRule type="cellIs" priority="1" operator="equal" dxfId="3">
      <formula>"OK"</formula>
    </cfRule>
    <cfRule type="cellIs" priority="2" operator="equal" dxfId="5">
      <formula>"OUT"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5"/>
    <outlinePr summaryBelow="1" summaryRight="1"/>
    <pageSetUpPr/>
  </sheetPr>
  <dimension ref="A1:F61"/>
  <sheetViews>
    <sheetView topLeftCell="A40" zoomScale="174" workbookViewId="0">
      <selection activeCell="E8" sqref="E8"/>
    </sheetView>
  </sheetViews>
  <sheetFormatPr baseColWidth="10" defaultColWidth="8.83203125" defaultRowHeight="15"/>
  <cols>
    <col width="30" customWidth="1" min="1" max="1"/>
    <col width="15" customWidth="1" min="2" max="2"/>
    <col width="12" bestFit="1" customWidth="1" min="4" max="4"/>
    <col width="60" customWidth="1" min="5" max="5"/>
  </cols>
  <sheetData>
    <row r="1" ht="16" customHeight="1">
      <c r="A1" s="144" t="inlineStr">
        <is>
          <t>BIOLOGY</t>
        </is>
      </c>
      <c r="B1" s="20" t="n"/>
      <c r="C1" s="20" t="n"/>
      <c r="D1" s="20" t="n"/>
      <c r="E1" s="20" t="n"/>
      <c r="F1" s="20" t="n"/>
    </row>
    <row r="2">
      <c r="A2" s="16" t="inlineStr">
        <is>
          <t>Parameter</t>
        </is>
      </c>
      <c r="B2" s="16" t="inlineStr">
        <is>
          <t>Name</t>
        </is>
      </c>
      <c r="C2" s="16" t="inlineStr">
        <is>
          <t>Unit</t>
        </is>
      </c>
      <c r="D2" s="16" t="inlineStr">
        <is>
          <t>Value</t>
        </is>
      </c>
      <c r="E2" s="16" t="inlineStr">
        <is>
          <t>Source / assumption</t>
        </is>
      </c>
      <c r="F2" s="20" t="n"/>
    </row>
    <row r="3" ht="16" customHeight="1">
      <c r="A3" s="144" t="inlineStr">
        <is>
          <t>IMPORTS (from other tabs)</t>
        </is>
      </c>
      <c r="B3" s="18" t="n"/>
      <c r="C3" s="19" t="n"/>
      <c r="D3" s="145" t="n"/>
      <c r="E3" s="20" t="n"/>
      <c r="F3" s="20" t="n"/>
    </row>
    <row r="4">
      <c r="A4" s="20" t="inlineStr">
        <is>
          <t>(import) H₂ generation rate</t>
        </is>
      </c>
      <c r="B4" s="18" t="inlineStr">
        <is>
          <t>rH2_gen</t>
        </is>
      </c>
      <c r="C4" s="20" t="inlineStr">
        <is>
          <t>mol/h</t>
        </is>
      </c>
      <c r="D4" s="29">
        <f>Electrochemistry!$D$21</f>
        <v/>
      </c>
      <c r="E4" s="24">
        <f>HYPERLINK("#Electrochemistry!D21","→ Electrochemistry")</f>
        <v/>
      </c>
      <c r="F4" s="20" t="n"/>
    </row>
    <row r="5">
      <c r="A5" s="20" t="inlineStr">
        <is>
          <t>(import) Net O₂ to dissolved pool</t>
        </is>
      </c>
      <c r="B5" s="18" t="inlineStr">
        <is>
          <t>O2_net_gen</t>
        </is>
      </c>
      <c r="C5" s="20" t="inlineStr">
        <is>
          <t>mol/h</t>
        </is>
      </c>
      <c r="D5" s="29">
        <f>Electrochemistry!$D$29</f>
        <v/>
      </c>
      <c r="E5" s="24">
        <f>HYPERLINK("#Electrochemistry!D29","→ Electrochemistry")</f>
        <v/>
      </c>
      <c r="F5" s="20" t="n"/>
    </row>
    <row r="6">
      <c r="A6" s="20" t="inlineStr">
        <is>
          <t>(import) LIQUID VOLUME TO CHARGE</t>
        </is>
      </c>
      <c r="B6" s="18" t="inlineStr">
        <is>
          <t>V_charge</t>
        </is>
      </c>
      <c r="C6" s="20" t="inlineStr">
        <is>
          <t>mL</t>
        </is>
      </c>
      <c r="D6" s="26">
        <f>Geometry!$D$41</f>
        <v/>
      </c>
      <c r="E6" s="24">
        <f>HYPERLINK("#Geometry!D41","→ Geometry")</f>
        <v/>
      </c>
      <c r="F6" s="20" t="n"/>
    </row>
    <row r="7">
      <c r="A7" s="20" t="inlineStr">
        <is>
          <t>(import) HOB organism</t>
        </is>
      </c>
      <c r="B7" s="18" t="inlineStr">
        <is>
          <t>organism_sel</t>
        </is>
      </c>
      <c r="C7" s="20" t="n"/>
      <c r="D7" s="45">
        <f>Summary!$D$4</f>
        <v/>
      </c>
      <c r="E7" s="24">
        <f>HYPERLINK("#Summary!D5","→ Summary")</f>
        <v/>
      </c>
      <c r="F7" s="20" t="n"/>
    </row>
    <row r="8" customFormat="1" s="15">
      <c r="A8" s="20" t="inlineStr">
        <is>
          <t>(import) HOB organism</t>
        </is>
      </c>
      <c r="B8" s="18" t="inlineStr">
        <is>
          <t>organism_sel</t>
        </is>
      </c>
      <c r="C8" s="20" t="n"/>
      <c r="D8" s="45">
        <f>Summary!$D$4</f>
        <v/>
      </c>
      <c r="E8" s="24">
        <f>HYPERLINK("#Summary!D5","→ Summary")</f>
        <v/>
      </c>
      <c r="F8" s="20" t="n"/>
    </row>
    <row r="9">
      <c r="A9" s="153" t="n"/>
      <c r="B9" s="18" t="n"/>
      <c r="C9" s="19" t="n"/>
      <c r="D9" s="78" t="n"/>
      <c r="E9" s="20" t="n"/>
      <c r="F9" s="20" t="n"/>
    </row>
    <row r="10" ht="36" customHeight="1">
      <c r="A10" s="17" t="inlineStr">
        <is>
          <t>Gas requirement ratio - H₂</t>
        </is>
      </c>
      <c r="B10" s="18" t="inlineStr">
        <is>
          <t>bio_H2</t>
        </is>
      </c>
      <c r="C10" s="19" t="inlineStr">
        <is>
          <t>-</t>
        </is>
      </c>
      <c r="D10" s="145" t="n">
        <v>6</v>
      </c>
      <c r="E10" s="79" t="inlineStr">
        <is>
          <t>H₂:O₂:CO₂ UPTAKE ratio (not feed; phase-dependent, Lu &amp; Yu 2019). Knallgas caps O₂:H₂≤0.5; growth gives O₂:H₂≈0.29–0.35, CO₂:H₂≈0.15–0.19. 6:2:1 = mid-range central. Feed optimum 7:2:1 (Ishizaki 2001). Can't measure pre-growth.</t>
        </is>
      </c>
      <c r="F10" s="20" t="n"/>
    </row>
    <row r="11">
      <c r="A11" s="17" t="inlineStr">
        <is>
          <t>Gas requirement ratio - O₂</t>
        </is>
      </c>
      <c r="B11" s="18" t="inlineStr">
        <is>
          <t>bio_O2</t>
        </is>
      </c>
      <c r="C11" s="19" t="inlineStr">
        <is>
          <t>-</t>
        </is>
      </c>
      <c r="D11" s="145" t="n">
        <v>2</v>
      </c>
      <c r="E11" s="79" t="inlineStr">
        <is>
          <t>O₂:H₂ uptake, range 0.29–0.35 (×6 → 1.75–2.1). 2 = central; 1.8 (lean) is growth-protective.</t>
        </is>
      </c>
      <c r="F11" s="20" t="n"/>
    </row>
    <row r="12">
      <c r="A12" s="17" t="inlineStr">
        <is>
          <t>Gas requirement ratio - CO₂</t>
        </is>
      </c>
      <c r="B12" s="18" t="inlineStr">
        <is>
          <t>bio_CO2</t>
        </is>
      </c>
      <c r="C12" s="19" t="inlineStr">
        <is>
          <t>-</t>
        </is>
      </c>
      <c r="D12" s="145" t="n">
        <v>1</v>
      </c>
      <c r="E12" s="79" t="inlineStr">
        <is>
          <t>CO₂:H₂ uptake, range 0.15–0.19 (×6 → 0.9–1.15). 1 = central. Supply ≫ demand → non-limiting.</t>
        </is>
      </c>
      <c r="F12" s="20" t="n"/>
    </row>
    <row r="13">
      <c r="A13" s="17" t="inlineStr">
        <is>
          <t>H₂ consumed</t>
        </is>
      </c>
      <c r="B13" s="18" t="inlineStr">
        <is>
          <t>H2_cons</t>
        </is>
      </c>
      <c r="C13" s="19" t="inlineStr">
        <is>
          <t>mol/h</t>
        </is>
      </c>
      <c r="D13" s="61">
        <f>rH2_gen</f>
        <v/>
      </c>
      <c r="E13" s="44" t="inlineStr">
        <is>
          <t>Assumes 100% of evolved H₂ consumed — steady growth only; ~0 during lag (see §13).</t>
        </is>
      </c>
      <c r="F13" s="20" t="n"/>
    </row>
    <row r="14" ht="26" customHeight="1">
      <c r="A14" s="17" t="inlineStr">
        <is>
          <t>O₂ consumed</t>
        </is>
      </c>
      <c r="B14" s="18" t="inlineStr">
        <is>
          <t>O2_cons</t>
        </is>
      </c>
      <c r="C14" s="19" t="inlineStr">
        <is>
          <t>mol/h</t>
        </is>
      </c>
      <c r="D14" s="61">
        <f>H2_cons*bio_O2/bio_H2</f>
        <v/>
      </c>
      <c r="E14" s="147" t="inlineStr">
        <is>
          <t>Assumes 100% H₂ uptake (upper bound); true limit is gas-liquid H₂ transfer — see H2_turnover</t>
        </is>
      </c>
      <c r="F14" s="20" t="n"/>
    </row>
    <row r="15">
      <c r="A15" s="17" t="inlineStr">
        <is>
          <t>CO₂ consumed (carbon fixation)</t>
        </is>
      </c>
      <c r="B15" s="18" t="inlineStr">
        <is>
          <t>CO2_cons</t>
        </is>
      </c>
      <c r="C15" s="19" t="inlineStr">
        <is>
          <t>mol/h</t>
        </is>
      </c>
      <c r="D15" s="61">
        <f>H2_cons*bio_CO2/bio_H2</f>
        <v/>
      </c>
      <c r="E15" s="44" t="inlineStr">
        <is>
          <t>H₂ consumed x (CO₂/H₂ ratio).</t>
        </is>
      </c>
      <c r="F15" s="20" t="n"/>
    </row>
    <row r="16">
      <c r="A16" s="153" t="inlineStr">
        <is>
          <t>EXCESS O₂ to remove</t>
        </is>
      </c>
      <c r="B16" s="18" t="inlineStr">
        <is>
          <t>O2_excess</t>
        </is>
      </c>
      <c r="C16" s="19" t="inlineStr">
        <is>
          <t>mol/h</t>
        </is>
      </c>
      <c r="D16" s="61">
        <f>O2_net_gen-O2_cons</f>
        <v/>
      </c>
      <c r="E16" s="157" t="inlineStr">
        <is>
          <t>Upper bound: rests on full-uptake O2_cons above</t>
        </is>
      </c>
      <c r="F16" s="20" t="n"/>
    </row>
    <row r="17">
      <c r="A17" s="17" t="inlineStr">
        <is>
          <t>Temperature</t>
        </is>
      </c>
      <c r="B17" s="18" t="inlineStr">
        <is>
          <t>T_C</t>
        </is>
      </c>
      <c r="C17" s="19" t="inlineStr">
        <is>
          <t>°C</t>
        </is>
      </c>
      <c r="D17" s="81">
        <f>Summary!$D$8</f>
        <v/>
      </c>
      <c r="E17" s="44" t="inlineStr">
        <is>
          <t>C. necator optimum ~30 °C. Input.</t>
        </is>
      </c>
      <c r="F17" s="20" t="n"/>
    </row>
    <row r="18" ht="24" customHeight="1">
      <c r="A18" s="17" t="inlineStr">
        <is>
          <t>Temperature (absolute)</t>
        </is>
      </c>
      <c r="B18" s="18" t="inlineStr">
        <is>
          <t>T_K</t>
        </is>
      </c>
      <c r="C18" s="19" t="inlineStr">
        <is>
          <t>K</t>
        </is>
      </c>
      <c r="D18" s="54">
        <f>T_C+273.15</f>
        <v/>
      </c>
      <c r="E18" s="131" t="inlineStr">
        <is>
          <t>°C + 273.15.</t>
        </is>
      </c>
      <c r="F18" s="20" t="n"/>
    </row>
    <row r="19">
      <c r="A19" s="17" t="inlineStr">
        <is>
          <t>Surface pressure</t>
        </is>
      </c>
      <c r="B19" s="18" t="inlineStr">
        <is>
          <t>P_atm</t>
        </is>
      </c>
      <c r="C19" s="19" t="inlineStr">
        <is>
          <t>Pa</t>
        </is>
      </c>
      <c r="D19" s="82">
        <f>IF(Summary!$D$10&gt;0,Summary!$D$10,101325)</f>
        <v/>
      </c>
      <c r="E19" s="44" t="inlineStr">
        <is>
          <t>Atmospheric at the liquid surface (assumed).</t>
        </is>
      </c>
      <c r="F19" s="20" t="n"/>
    </row>
    <row r="20">
      <c r="A20" s="17" t="inlineStr">
        <is>
          <t>Standard atmosphere (atm-&gt;Pa)</t>
        </is>
      </c>
      <c r="B20" s="18" t="inlineStr">
        <is>
          <t>Pa_per_atm</t>
        </is>
      </c>
      <c r="C20" s="19" t="inlineStr">
        <is>
          <t>Pa/atm</t>
        </is>
      </c>
      <c r="D20" s="67" t="n">
        <v>101325</v>
      </c>
      <c r="E20" s="131" t="inlineStr">
        <is>
          <t>Defined: 1 atm = 101 325 Pa exactly.</t>
        </is>
      </c>
      <c r="F20" s="20" t="n"/>
    </row>
    <row r="21">
      <c r="A21" s="17" t="inlineStr">
        <is>
          <t>Henry solubility O₂ (ref, 298.15 K)</t>
        </is>
      </c>
      <c r="B21" s="18" t="inlineStr">
        <is>
          <t>H_O2ref</t>
        </is>
      </c>
      <c r="C21" s="19" t="inlineStr">
        <is>
          <t>mol/m³/Pa</t>
        </is>
      </c>
      <c r="D21" s="67" t="n">
        <v>1.2e-05</v>
      </c>
      <c r="E21" s="66" t="inlineStr">
        <is>
          <t>Sander (2023) recommended H^cp O2; reproduces ~7.5 mg/L air-saturation at 30 degC</t>
        </is>
      </c>
      <c r="F21" s="20" t="n"/>
    </row>
    <row r="22">
      <c r="A22" s="17" t="inlineStr">
        <is>
          <t>Henry T-dependence O₂</t>
        </is>
      </c>
      <c r="B22" s="18" t="inlineStr">
        <is>
          <t>H_O2T</t>
        </is>
      </c>
      <c r="C22" s="19" t="inlineStr">
        <is>
          <t>K</t>
        </is>
      </c>
      <c r="D22" s="67" t="n">
        <v>1500</v>
      </c>
      <c r="E22" s="66" t="inlineStr">
        <is>
          <t>Sander (2023): d ln(Hcp)/d(1/T).</t>
        </is>
      </c>
      <c r="F22" s="20" t="n"/>
    </row>
    <row r="23">
      <c r="A23" s="17" t="inlineStr">
        <is>
          <t>Reference temperature</t>
        </is>
      </c>
      <c r="B23" s="18" t="inlineStr">
        <is>
          <t>T_ref</t>
        </is>
      </c>
      <c r="C23" s="19" t="inlineStr">
        <is>
          <t>K</t>
        </is>
      </c>
      <c r="D23" s="67" t="n">
        <v>298.15</v>
      </c>
      <c r="E23" s="131" t="inlineStr">
        <is>
          <t>Standard reference for Henry constants.</t>
        </is>
      </c>
      <c r="F23" s="20" t="n"/>
    </row>
    <row r="24">
      <c r="A24" s="17" t="inlineStr">
        <is>
          <t>Henry solubility O₂ at T</t>
        </is>
      </c>
      <c r="B24" s="18" t="inlineStr">
        <is>
          <t>H_O2_T</t>
        </is>
      </c>
      <c r="C24" s="19" t="inlineStr">
        <is>
          <t>mol/m³/Pa</t>
        </is>
      </c>
      <c r="D24" s="83">
        <f>H_O2ref*EXP(H_O2T*(1/T_K-1/T_ref))</f>
        <v/>
      </c>
      <c r="E24" s="131" t="inlineStr">
        <is>
          <t>van 't Hoff correction to reactor T.</t>
        </is>
      </c>
      <c r="F24" s="20" t="n"/>
    </row>
    <row r="25" ht="24" customHeight="1">
      <c r="A25" s="17" t="inlineStr">
        <is>
          <t>O₂ growth-inhibition ceiling (gas)</t>
        </is>
      </c>
      <c r="B25" s="18" t="inlineStr">
        <is>
          <t>O2_ceil_atm</t>
        </is>
      </c>
      <c r="C25" s="19" t="inlineStr">
        <is>
          <t>atm</t>
        </is>
      </c>
      <c r="D25" s="67" t="n">
        <v>0.3</v>
      </c>
      <c r="E25" s="66" t="inlineStr">
        <is>
          <t>Whole-cell growth inhibited above ~0.30 atm O₂ (Amer &amp; Kim 2023); the [NiFe] hydrogenase itself is O₂-tolerant.</t>
        </is>
      </c>
      <c r="F25" s="20" t="n"/>
    </row>
    <row r="26">
      <c r="A26" s="17" t="inlineStr">
        <is>
          <t>O₂ ceiling (partial pressure)</t>
        </is>
      </c>
      <c r="B26" s="18" t="inlineStr">
        <is>
          <t>O2_ceil_Pa</t>
        </is>
      </c>
      <c r="C26" s="19" t="inlineStr">
        <is>
          <t>Pa</t>
        </is>
      </c>
      <c r="D26" s="55">
        <f>O2_ceil_atm*Pa_per_atm</f>
        <v/>
      </c>
      <c r="E26" s="131" t="inlineStr">
        <is>
          <t>Ceiling in Pa.</t>
        </is>
      </c>
      <c r="F26" s="20" t="n"/>
    </row>
    <row r="27">
      <c r="A27" s="17" t="inlineStr">
        <is>
          <t>Dissolved-O₂ ceiling</t>
        </is>
      </c>
      <c r="B27" s="18" t="inlineStr">
        <is>
          <t>O2_ceil_C</t>
        </is>
      </c>
      <c r="C27" s="19" t="inlineStr">
        <is>
          <t>mol/m³</t>
        </is>
      </c>
      <c r="D27" s="59">
        <f>H_O2_T*O2_ceil_Pa</f>
        <v/>
      </c>
      <c r="E27" s="131" t="inlineStr">
        <is>
          <t>Henry's law at the gas ceiling.</t>
        </is>
      </c>
      <c r="F27" s="20" t="n"/>
    </row>
    <row r="28">
      <c r="A28" s="153" t="inlineStr">
        <is>
          <t>Dissolved-O₂ ceiling</t>
        </is>
      </c>
      <c r="B28" s="18" t="inlineStr">
        <is>
          <t>O2_ceil_uM</t>
        </is>
      </c>
      <c r="C28" s="19" t="inlineStr">
        <is>
          <t>µM</t>
        </is>
      </c>
      <c r="D28" s="55">
        <f>O2_ceil_C*1000</f>
        <v/>
      </c>
      <c r="E28" s="84" t="inlineStr">
        <is>
          <t>mol/m³ = mM; ×1000 = µM. Aim: minimise dissolved O₂; floor set by O₂-removal capacity (§11).</t>
        </is>
      </c>
      <c r="F28" s="20" t="n"/>
    </row>
    <row r="29">
      <c r="A29" s="17" t="inlineStr">
        <is>
          <t>Henry solubility CO₂ (ref, 298.15 K)</t>
        </is>
      </c>
      <c r="B29" s="18" t="inlineStr">
        <is>
          <t>H_CO2ref</t>
        </is>
      </c>
      <c r="C29" s="19" t="inlineStr">
        <is>
          <t>mol/m³/Pa</t>
        </is>
      </c>
      <c r="D29" s="85" t="n">
        <v>0.00033</v>
      </c>
      <c r="E29" s="86" t="inlineStr">
        <is>
          <t>Sander (2023) compilation; CO₂ ~25× more soluble than O₂.</t>
        </is>
      </c>
      <c r="F29" s="20" t="n"/>
    </row>
    <row r="30" ht="24" customHeight="1">
      <c r="A30" s="17" t="inlineStr">
        <is>
          <t>Henry T-dependence CO₂</t>
        </is>
      </c>
      <c r="B30" s="18" t="inlineStr">
        <is>
          <t>H_CO2T</t>
        </is>
      </c>
      <c r="C30" s="19" t="inlineStr">
        <is>
          <t>K</t>
        </is>
      </c>
      <c r="D30" s="85" t="n">
        <v>2400</v>
      </c>
      <c r="E30" s="86" t="inlineStr">
        <is>
          <t>Sander (2023): d ln(Hcp)/d(1/T) for CO₂.</t>
        </is>
      </c>
      <c r="F30" s="20" t="n"/>
    </row>
    <row r="31">
      <c r="A31" s="17" t="inlineStr">
        <is>
          <t>Henry solubility CO₂ at T</t>
        </is>
      </c>
      <c r="B31" s="18" t="inlineStr">
        <is>
          <t>H_CO2_T</t>
        </is>
      </c>
      <c r="C31" s="19" t="inlineStr">
        <is>
          <t>mol/m³/Pa</t>
        </is>
      </c>
      <c r="D31" s="61">
        <f>H_CO2ref*EXP(H_CO2T*(1/T_K-1/T_ref))</f>
        <v/>
      </c>
      <c r="E31" s="131" t="inlineStr">
        <is>
          <t>van 't Hoff to reactor T.</t>
        </is>
      </c>
      <c r="F31" s="20" t="n"/>
    </row>
    <row r="32">
      <c r="A32" s="17" t="inlineStr">
        <is>
          <t>CO₂ partial pressure at sparge</t>
        </is>
      </c>
      <c r="B32" s="18" t="inlineStr">
        <is>
          <t>p_CO2_sparge</t>
        </is>
      </c>
      <c r="C32" s="19" t="inlineStr">
        <is>
          <t>Pa</t>
        </is>
      </c>
      <c r="D32" s="61">
        <f>P_atm</f>
        <v/>
      </c>
      <c r="E32" s="87" t="inlineStr">
        <is>
          <t>Pure-CO₂ sparge: p_CO₂ ≈ surface pressure during a pulse. Assumption.</t>
        </is>
      </c>
      <c r="F32" s="20" t="n"/>
    </row>
    <row r="33">
      <c r="A33" s="17" t="inlineStr">
        <is>
          <t>Dissolved CO₂ (during sparge)</t>
        </is>
      </c>
      <c r="B33" s="18" t="inlineStr">
        <is>
          <t>CO2_diss</t>
        </is>
      </c>
      <c r="C33" s="19" t="inlineStr">
        <is>
          <t>mol/m³</t>
        </is>
      </c>
      <c r="D33" s="61">
        <f>H_CO2_T*p_CO2_sparge</f>
        <v/>
      </c>
      <c r="E33" s="131" t="inlineStr">
        <is>
          <t>Equilibrium dissolved CO₂ while sparging (mol/m³ = mM).</t>
        </is>
      </c>
      <c r="F33" s="20" t="n"/>
    </row>
    <row r="34">
      <c r="A34" s="17" t="inlineStr">
        <is>
          <t>RuBisCO Km for CO₂</t>
        </is>
      </c>
      <c r="B34" s="18" t="inlineStr">
        <is>
          <t>Km_CO2</t>
        </is>
      </c>
      <c r="C34" s="19" t="inlineStr">
        <is>
          <t>µM</t>
        </is>
      </c>
      <c r="D34" s="158" t="n">
        <v>50</v>
      </c>
      <c r="E34" s="88" t="inlineStr">
        <is>
          <t>RuBisCO Km(CO₂) ~ order 50 µM. Coarse — confirm.</t>
        </is>
      </c>
      <c r="F34" s="20" t="n"/>
    </row>
    <row r="35" ht="24" customHeight="1">
      <c r="A35" s="17" t="inlineStr">
        <is>
          <t>Carbon margin (dissolved CO₂ : Km)</t>
        </is>
      </c>
      <c r="B35" s="18" t="inlineStr">
        <is>
          <t>CO2_carbon_margin</t>
        </is>
      </c>
      <c r="C35" s="19" t="inlineStr">
        <is>
          <t>×</t>
        </is>
      </c>
      <c r="D35" s="61">
        <f>CO2_diss*1000/Km_CO2</f>
        <v/>
      </c>
      <c r="E35" s="131" t="inlineStr">
        <is>
          <t>Dissolved CO₂ : RuBisCO Km. ≫1 = saturating (duty-averaged lower).</t>
        </is>
      </c>
      <c r="F35" s="20" t="n"/>
    </row>
    <row r="36">
      <c r="A36" s="17" t="inlineStr">
        <is>
          <t>Carbonic-acid Ka1 (apparent)</t>
        </is>
      </c>
      <c r="B36" s="18" t="inlineStr">
        <is>
          <t>Ka1_carb</t>
        </is>
      </c>
      <c r="C36" s="19" t="inlineStr">
        <is>
          <t>mol/L</t>
        </is>
      </c>
      <c r="D36" s="85" t="n">
        <v>4.45e-07</v>
      </c>
      <c r="E36" s="86" t="inlineStr">
        <is>
          <t>CO₂(aq)+H₂O ⇌ H⁺+HCO₃⁻, pKa1 6.35 (25 °C).</t>
        </is>
      </c>
      <c r="F36" s="20" t="n"/>
    </row>
    <row r="37" ht="24" customHeight="1">
      <c r="A37" s="17" t="inlineStr">
        <is>
          <t>pH — UNBUFFERED worst case</t>
        </is>
      </c>
      <c r="B37" s="18" t="inlineStr">
        <is>
          <t>pH_CO2_unbuf</t>
        </is>
      </c>
      <c r="C37" s="19" t="inlineStr">
        <is>
          <t>-</t>
        </is>
      </c>
      <c r="D37" s="61">
        <f>-LOG10(SQRT(Ka1_carb*(CO2_diss/1000)))</f>
        <v/>
      </c>
      <c r="E37" s="88" t="inlineStr">
        <is>
          <t>Unbuffered worst case (pure water + CO₂) — lower bound only; the Sydow phosphate medium holds pH near setpoint.</t>
        </is>
      </c>
      <c r="F37" s="20" t="n"/>
    </row>
    <row r="38">
      <c r="A38" s="17" t="inlineStr">
        <is>
          <t>Henry solubility H₂ (ref, 298.15 K)</t>
        </is>
      </c>
      <c r="B38" s="18" t="inlineStr">
        <is>
          <t>H_H2ref</t>
        </is>
      </c>
      <c r="C38" s="19" t="inlineStr">
        <is>
          <t>mol/m³/Pa</t>
        </is>
      </c>
      <c r="D38" s="85" t="n">
        <v>7.8e-06</v>
      </c>
      <c r="E38" s="86" t="inlineStr">
        <is>
          <t>Sander (2023). H₂ ~1.7× less soluble than O₂.</t>
        </is>
      </c>
      <c r="F38" s="20" t="n"/>
    </row>
    <row r="39">
      <c r="A39" s="17" t="inlineStr">
        <is>
          <t>Henry T-dependence H₂</t>
        </is>
      </c>
      <c r="B39" s="18" t="inlineStr">
        <is>
          <t>H_H2T</t>
        </is>
      </c>
      <c r="C39" s="19" t="inlineStr">
        <is>
          <t>K</t>
        </is>
      </c>
      <c r="D39" s="85" t="n">
        <v>500</v>
      </c>
      <c r="E39" s="86" t="inlineStr">
        <is>
          <t>Sander (2023): d ln(Hcp)/d(1/T) for H₂ (weak T-dependence).</t>
        </is>
      </c>
      <c r="F39" s="20" t="n"/>
    </row>
    <row r="40">
      <c r="A40" s="17" t="inlineStr">
        <is>
          <t>Henry solubility H₂ at T</t>
        </is>
      </c>
      <c r="B40" s="18" t="inlineStr">
        <is>
          <t>H_H2_T</t>
        </is>
      </c>
      <c r="C40" s="19" t="inlineStr">
        <is>
          <t>mol/m³/Pa</t>
        </is>
      </c>
      <c r="D40" s="61">
        <f>H_H2ref*EXP(H_H2T*(1/T_K-1/T_ref))</f>
        <v/>
      </c>
      <c r="E40" s="131" t="inlineStr">
        <is>
          <t>van 't Hoff to reactor T.</t>
        </is>
      </c>
      <c r="F40" s="20" t="n"/>
    </row>
    <row r="41">
      <c r="A41" s="17" t="inlineStr">
        <is>
          <t>Dissolved-H₂ saturation (1 atm)</t>
        </is>
      </c>
      <c r="B41" s="18" t="inlineStr">
        <is>
          <t>C_H2_sat</t>
        </is>
      </c>
      <c r="C41" s="19" t="inlineStr">
        <is>
          <t>mol/m³</t>
        </is>
      </c>
      <c r="D41" s="61">
        <f>H_H2_T*P_atm</f>
        <v/>
      </c>
      <c r="E41" s="131" t="inlineStr">
        <is>
          <t>Max dissolved H₂ at 1 atm — the cells' H₂ ceiling.</t>
        </is>
      </c>
      <c r="F41" s="20" t="n"/>
    </row>
    <row r="42" ht="24" customHeight="1">
      <c r="A42" s="17" t="inlineStr">
        <is>
          <t>Time to saturate dissolved H₂ (LAG)</t>
        </is>
      </c>
      <c r="B42" s="18" t="inlineStr">
        <is>
          <t>t_H2_sat</t>
        </is>
      </c>
      <c r="C42" s="19" t="inlineStr">
        <is>
          <t>min</t>
        </is>
      </c>
      <c r="D42" s="61">
        <f>C_H2_sat*(V_charge/1000000)/rH2_gen*60</f>
        <v/>
      </c>
      <c r="E42" s="131" t="inlineStr">
        <is>
          <t>Lag: dissolved H₂ saturates this fast unconsumed, then bubbles off (lost + explosive headspace). Mirrors the O₂ lag timescale.</t>
        </is>
      </c>
      <c r="F42" s="20" t="n"/>
    </row>
    <row r="43">
      <c r="A43" s="17" t="inlineStr">
        <is>
          <t>H₂ pool turnovers per hour</t>
        </is>
      </c>
      <c r="B43" s="18" t="inlineStr">
        <is>
          <t>H2_turnover</t>
        </is>
      </c>
      <c r="C43" s="19" t="inlineStr">
        <is>
          <t>1/h</t>
        </is>
      </c>
      <c r="D43" s="61">
        <f>rH2_gen/(V_charge/1000000)/C_H2_sat</f>
        <v/>
      </c>
      <c r="E43" s="88" t="inlineStr">
        <is>
          <t>H₂ evolved ÷ saturable pool. ≫1 → cells must consume in near-real-time or it escapes.</t>
        </is>
      </c>
      <c r="F43" s="20" t="n"/>
    </row>
    <row r="44" ht="24" customHeight="1">
      <c r="A44" s="17" t="inlineStr">
        <is>
          <t>H₂ headspace safety flag</t>
        </is>
      </c>
      <c r="B44" s="18" t="inlineStr">
        <is>
          <t>H2_safety</t>
        </is>
      </c>
      <c r="C44" s="19" t="inlineStr">
        <is>
          <t>-</t>
        </is>
      </c>
      <c r="D44" s="61">
        <f>IF(H2_turnover&gt;1,"EXPLOSIVE","watch")</f>
        <v/>
      </c>
      <c r="E44" s="89" t="inlineStr">
        <is>
          <t>On when H₂ escapes faster than it dissolves (H2_turnover&gt;1) → explosive H₂+O₂ headspace (4–94% in O₂). On at any useful current — headspace venting is mandatory.</t>
        </is>
      </c>
      <c r="F44" s="141" t="inlineStr">
        <is>
          <t>Pink no longer used here - red fill = hazard (H2 evolving faster than it dissolves), not a data gap.</t>
        </is>
      </c>
    </row>
    <row r="45">
      <c r="A45" s="20" t="inlineStr">
        <is>
          <t>Minimum DO (organism)</t>
        </is>
      </c>
      <c r="B45" s="20" t="inlineStr">
        <is>
          <t>DO_min</t>
        </is>
      </c>
      <c r="C45" s="20" t="inlineStr">
        <is>
          <t>mg/L</t>
        </is>
      </c>
      <c r="D45" s="90">
        <f>IF(ISNUMBER(VLOOKUP(organism_sel,$A$52:$F$57,2,FALSE)),VLOOKUP(organism_sel,$A$52:$F$57,2,FALSE),NA())</f>
        <v/>
      </c>
      <c r="E45" s="20" t="n"/>
      <c r="F45" s="20" t="n"/>
    </row>
    <row r="46">
      <c r="A46" s="20" t="inlineStr">
        <is>
          <t>Optimum DO (organism)</t>
        </is>
      </c>
      <c r="B46" s="20" t="inlineStr">
        <is>
          <t>DO_opt</t>
        </is>
      </c>
      <c r="C46" s="20" t="inlineStr">
        <is>
          <t>mg/L</t>
        </is>
      </c>
      <c r="D46" s="25">
        <f>IF(ISNUMBER(VLOOKUP(organism_sel,$A$52:$F$57,3,FALSE)),VLOOKUP(organism_sel,$A$52:$F$57,3,FALSE),NA())</f>
        <v/>
      </c>
      <c r="E46" s="20" t="n"/>
      <c r="F46" s="20" t="n"/>
    </row>
    <row r="47">
      <c r="A47" s="20" t="inlineStr">
        <is>
          <t>Impairment DO (organism)</t>
        </is>
      </c>
      <c r="B47" s="20" t="inlineStr">
        <is>
          <t>DO_impair</t>
        </is>
      </c>
      <c r="C47" s="20" t="inlineStr">
        <is>
          <t>mg/L</t>
        </is>
      </c>
      <c r="D47" s="25">
        <f>IF(ISNUMBER(VLOOKUP(organism_sel,$A$52:$F$57,4,FALSE)),VLOOKUP(organism_sel,$A$52:$F$57,4,FALSE),NA())</f>
        <v/>
      </c>
      <c r="E47" s="20" t="n"/>
      <c r="F47" s="20" t="n"/>
    </row>
    <row r="48">
      <c r="A48" s="20" t="inlineStr">
        <is>
          <t>Toxic/inhibition DO (organism)</t>
        </is>
      </c>
      <c r="B48" s="20" t="inlineStr">
        <is>
          <t>DO_toxic</t>
        </is>
      </c>
      <c r="C48" s="20" t="inlineStr">
        <is>
          <t>mg/L</t>
        </is>
      </c>
      <c r="D48" s="25">
        <f>IF(ISNUMBER(VLOOKUP(organism_sel,$A$52:$F$57,5,FALSE)),VLOOKUP(organism_sel,$A$52:$F$57,5,FALSE),NA())</f>
        <v/>
      </c>
      <c r="E48" s="20" t="n"/>
      <c r="F48" s="20" t="n"/>
    </row>
    <row r="49">
      <c r="A49" s="20" t="n"/>
      <c r="B49" s="77" t="n"/>
      <c r="C49" s="77" t="n"/>
      <c r="D49" s="77" t="n"/>
      <c r="E49" s="77" t="n"/>
      <c r="F49" s="20" t="n"/>
    </row>
    <row r="50">
      <c r="A50" s="143" t="inlineStr">
        <is>
          <t>HOB LOOKUP  (dissolved O₂ thresholds, mg/L)</t>
        </is>
      </c>
      <c r="B50" s="20" t="n"/>
      <c r="C50" s="20" t="n"/>
      <c r="D50" s="20" t="n"/>
      <c r="E50" s="20" t="n"/>
      <c r="F50" s="20" t="n"/>
    </row>
    <row r="51">
      <c r="A51" s="143" t="inlineStr">
        <is>
          <t>Organism</t>
        </is>
      </c>
      <c r="B51" s="143" t="inlineStr">
        <is>
          <t>minimum DO</t>
        </is>
      </c>
      <c r="C51" s="143" t="inlineStr">
        <is>
          <t>optimum DO</t>
        </is>
      </c>
      <c r="D51" s="143" t="inlineStr">
        <is>
          <t>impairment DO</t>
        </is>
      </c>
      <c r="E51" s="143" t="inlineStr">
        <is>
          <t>toxic DO</t>
        </is>
      </c>
      <c r="F51" s="143" t="inlineStr">
        <is>
          <t>source</t>
        </is>
      </c>
    </row>
    <row r="52">
      <c r="A52" s="20" t="inlineStr">
        <is>
          <t>Cupriavidus necator</t>
        </is>
      </c>
      <c r="B52" s="77" t="inlineStr">
        <is>
          <t>?</t>
        </is>
      </c>
      <c r="C52" s="20" t="n">
        <v>2.6</v>
      </c>
      <c r="D52" s="20" t="n">
        <v>3</v>
      </c>
      <c r="E52" s="20" t="n">
        <v>11.5</v>
      </c>
      <c r="F52" s="141" t="inlineStr">
        <is>
          <t>11.5 = Wilde &amp; Schlegel 1982 literature datum; model's operative O2 ceiling is computed via Henry (~10.7 mg/L at 30C) - the two differ slightly</t>
        </is>
      </c>
    </row>
    <row r="53">
      <c r="A53" s="20" t="inlineStr">
        <is>
          <t>Xanthobacter autotrophicus</t>
        </is>
      </c>
      <c r="B53" s="77" t="inlineStr">
        <is>
          <t>?</t>
        </is>
      </c>
      <c r="C53" s="77" t="inlineStr">
        <is>
          <t>?</t>
        </is>
      </c>
      <c r="D53" s="77" t="inlineStr">
        <is>
          <t>?</t>
        </is>
      </c>
      <c r="E53" s="20" t="n">
        <v>11.5</v>
      </c>
      <c r="F53" s="20" t="inlineStr">
        <is>
          <t>Wilde &amp; Schlegel 1982 (~0.30 atm)</t>
        </is>
      </c>
    </row>
    <row r="54">
      <c r="A54" s="20" t="inlineStr">
        <is>
          <t>Xanthobacter flavus</t>
        </is>
      </c>
      <c r="B54" s="77" t="inlineStr">
        <is>
          <t>?</t>
        </is>
      </c>
      <c r="C54" s="77" t="inlineStr">
        <is>
          <t>?</t>
        </is>
      </c>
      <c r="D54" s="77" t="inlineStr">
        <is>
          <t>?</t>
        </is>
      </c>
      <c r="E54" s="77" t="inlineStr">
        <is>
          <t>?</t>
        </is>
      </c>
      <c r="F54" s="20" t="inlineStr">
        <is>
          <t>no species data — assume genus ~11.5</t>
        </is>
      </c>
    </row>
    <row r="55">
      <c r="A55" s="20" t="inlineStr">
        <is>
          <t>Xanthobacter tagetidis</t>
        </is>
      </c>
      <c r="B55" s="77" t="inlineStr">
        <is>
          <t>?</t>
        </is>
      </c>
      <c r="C55" s="77" t="inlineStr">
        <is>
          <t>?</t>
        </is>
      </c>
      <c r="D55" s="77" t="inlineStr">
        <is>
          <t>?</t>
        </is>
      </c>
      <c r="E55" s="77" t="inlineStr">
        <is>
          <t>?</t>
        </is>
      </c>
      <c r="F55" s="20" t="inlineStr">
        <is>
          <t>no species data — assume genus ~11.5</t>
        </is>
      </c>
    </row>
    <row r="56">
      <c r="A56" s="20" t="inlineStr">
        <is>
          <t>Cupriavidus metallidurans</t>
        </is>
      </c>
      <c r="B56" s="77" t="inlineStr">
        <is>
          <t>?</t>
        </is>
      </c>
      <c r="C56" s="77" t="inlineStr">
        <is>
          <t>?</t>
        </is>
      </c>
      <c r="D56" s="77" t="inlineStr">
        <is>
          <t>?</t>
        </is>
      </c>
      <c r="E56" s="77" t="inlineStr">
        <is>
          <t>?</t>
        </is>
      </c>
      <c r="F56" s="20" t="inlineStr">
        <is>
          <t>no species data — assume genus ~11.5</t>
        </is>
      </c>
    </row>
    <row r="57">
      <c r="A57" s="20" t="inlineStr">
        <is>
          <t>UdG (mixed)</t>
        </is>
      </c>
      <c r="B57" s="77" t="inlineStr">
        <is>
          <t>?</t>
        </is>
      </c>
      <c r="C57" s="77" t="inlineStr">
        <is>
          <t>?</t>
        </is>
      </c>
      <c r="D57" s="77" t="inlineStr">
        <is>
          <t>?</t>
        </is>
      </c>
      <c r="E57" s="77" t="inlineStr">
        <is>
          <t>?</t>
        </is>
      </c>
      <c r="F57" s="20" t="inlineStr">
        <is>
          <t>Rovira-Alsina 2025; Pous 2022/23</t>
        </is>
      </c>
    </row>
    <row r="58">
      <c r="A58" s="20" t="n"/>
      <c r="B58" s="20" t="n"/>
      <c r="C58" s="20" t="n"/>
      <c r="D58" s="37" t="n"/>
      <c r="E58" s="20" t="n"/>
      <c r="F58" s="20" t="n"/>
    </row>
    <row r="59">
      <c r="A59" s="143" t="inlineStr">
        <is>
          <t>MEDIA LOOKUP</t>
        </is>
      </c>
      <c r="B59" s="20" t="n"/>
      <c r="C59" s="20" t="n"/>
      <c r="D59" s="20" t="n"/>
      <c r="E59" s="20" t="n"/>
      <c r="F59" s="20" t="n"/>
    </row>
    <row r="60">
      <c r="A60" s="143" t="inlineStr">
        <is>
          <t>Media</t>
        </is>
      </c>
      <c r="B60" s="143" t="inlineStr">
        <is>
          <t>buffer</t>
        </is>
      </c>
      <c r="C60" s="143" t="inlineStr">
        <is>
          <t>buffer conc (mM)</t>
        </is>
      </c>
      <c r="D60" s="143" t="inlineStr">
        <is>
          <t>notes</t>
        </is>
      </c>
      <c r="E60" s="143" t="inlineStr">
        <is>
          <t>source</t>
        </is>
      </c>
      <c r="F60" s="20" t="n"/>
    </row>
    <row r="61">
      <c r="A61" s="20" t="inlineStr">
        <is>
          <t>Sydow 2017 minimal</t>
        </is>
      </c>
      <c r="B61" s="20" t="inlineStr">
        <is>
          <t>phosphate</t>
        </is>
      </c>
      <c r="C61" s="77" t="inlineStr">
        <is>
          <t>?</t>
        </is>
      </c>
      <c r="D61" s="20" t="inlineStr">
        <is>
          <t>low-chloride, organic-free</t>
        </is>
      </c>
      <c r="E61" s="20" t="inlineStr">
        <is>
          <t>Sydow et al. 2017</t>
        </is>
      </c>
      <c r="F61" s="20" t="n"/>
    </row>
  </sheetData>
  <conditionalFormatting sqref="D9">
    <cfRule type="colorScale" priority="2">
      <colorScale>
        <cfvo type="num" val="0"/>
        <cfvo type="num" val="1.5e-05"/>
        <cfvo type="num" val="4e-05"/>
        <color rgb="FF63BE7B"/>
        <color rgb="FFFFEB84"/>
        <color rgb="FFF8696B"/>
      </colorScale>
    </cfRule>
  </conditionalFormatting>
  <conditionalFormatting sqref="D37">
    <cfRule type="cellIs" priority="1" operator="equal" dxfId="5">
      <formula>"EXPLOSIVE"</formula>
    </cfRule>
  </conditionalFormatting>
  <conditionalFormatting sqref="D44">
    <cfRule type="expression" priority="3" dxfId="1" stopIfTrue="1">
      <formula>ISNUMBER(SEARCH("EXPLOSIVE",D44))</formula>
    </cfRule>
  </conditionalFormatting>
  <pageMargins left="0.75" right="0.75" top="1" bottom="1" header="0.5" footer="0.5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tabColor theme="6"/>
    <outlinePr summaryBelow="1" summaryRight="1"/>
    <pageSetUpPr/>
  </sheetPr>
  <dimension ref="A1:F132"/>
  <sheetViews>
    <sheetView topLeftCell="A107" zoomScale="137" workbookViewId="0">
      <selection activeCell="D85" sqref="D85"/>
    </sheetView>
  </sheetViews>
  <sheetFormatPr baseColWidth="10" defaultColWidth="8.83203125" defaultRowHeight="15"/>
  <cols>
    <col width="30" customWidth="1" min="1" max="1"/>
    <col width="15" customWidth="1" min="2" max="2"/>
    <col width="14.5" customWidth="1" min="4" max="4"/>
    <col width="60" customWidth="1" min="5" max="5"/>
  </cols>
  <sheetData>
    <row r="1" ht="16" customHeight="1">
      <c r="A1" s="144" t="inlineStr">
        <is>
          <t>MASS TRANSFER</t>
        </is>
      </c>
      <c r="B1" s="20" t="n"/>
      <c r="C1" s="20" t="n"/>
      <c r="D1" s="20" t="n"/>
      <c r="E1" s="20" t="n"/>
      <c r="F1" s="20" t="n"/>
    </row>
    <row r="2">
      <c r="A2" s="16" t="inlineStr">
        <is>
          <t>Parameter</t>
        </is>
      </c>
      <c r="B2" s="16" t="inlineStr">
        <is>
          <t>Name</t>
        </is>
      </c>
      <c r="C2" s="16" t="inlineStr">
        <is>
          <t>Unit</t>
        </is>
      </c>
      <c r="D2" s="16" t="inlineStr">
        <is>
          <t>Value</t>
        </is>
      </c>
      <c r="E2" s="16" t="inlineStr">
        <is>
          <t>Source / assumption</t>
        </is>
      </c>
      <c r="F2" s="20" t="n"/>
    </row>
    <row r="3">
      <c r="A3" s="17" t="n"/>
      <c r="B3" s="18" t="n"/>
      <c r="C3" s="19" t="n"/>
      <c r="D3" s="145" t="n"/>
      <c r="E3" s="44" t="n"/>
      <c r="F3" s="20" t="n"/>
    </row>
    <row r="4" ht="16" customHeight="1">
      <c r="A4" s="144" t="inlineStr">
        <is>
          <t>IMPORTS (from other tabs)</t>
        </is>
      </c>
      <c r="B4" s="18" t="n"/>
      <c r="C4" s="19" t="n"/>
      <c r="D4" s="145" t="n"/>
      <c r="E4" s="44" t="n"/>
      <c r="F4" s="20" t="n"/>
    </row>
    <row r="5">
      <c r="A5" s="17" t="inlineStr">
        <is>
          <t>(import) Stir-bar length (from reactor type)</t>
        </is>
      </c>
      <c r="B5" s="18" t="inlineStr">
        <is>
          <t>stir_len</t>
        </is>
      </c>
      <c r="C5" s="19" t="inlineStr">
        <is>
          <t>mm</t>
        </is>
      </c>
      <c r="D5" s="91">
        <f>Geometry!$D$52</f>
        <v/>
      </c>
      <c r="E5" s="92">
        <f>HYPERLINK("#Geometry!D52","→ Geometry")</f>
        <v/>
      </c>
      <c r="F5" s="141" t="inlineStr">
        <is>
          <t>Magnetic stir bar. Pioreactor max 20 mm; confirm the supplied bar's length. Input.</t>
        </is>
      </c>
    </row>
    <row r="6">
      <c r="A6" s="20" t="inlineStr">
        <is>
          <t>(import) Dissolved-O₂ ceiling</t>
        </is>
      </c>
      <c r="B6" s="20" t="inlineStr">
        <is>
          <t>O2_ceil_C</t>
        </is>
      </c>
      <c r="C6" s="20" t="inlineStr">
        <is>
          <t>mol/m³</t>
        </is>
      </c>
      <c r="D6" s="27">
        <f>Biology!$D$27</f>
        <v/>
      </c>
      <c r="E6" s="24">
        <f>HYPERLINK("#Biology!D27","→ Biology")</f>
        <v/>
      </c>
      <c r="F6" s="20" t="n"/>
    </row>
    <row r="7">
      <c r="A7" s="20" t="inlineStr">
        <is>
          <t>(import) O₂ ceiling (partial pressure)</t>
        </is>
      </c>
      <c r="B7" s="20" t="inlineStr">
        <is>
          <t>O2_ceil_Pa</t>
        </is>
      </c>
      <c r="C7" s="20" t="inlineStr">
        <is>
          <t>Pa</t>
        </is>
      </c>
      <c r="D7" s="27">
        <f>Biology!$D$26</f>
        <v/>
      </c>
      <c r="E7" s="24">
        <f>HYPERLINK("#Biology!D26","→ Biology")</f>
        <v/>
      </c>
      <c r="F7" s="20" t="n"/>
    </row>
    <row r="8" ht="24" customHeight="1">
      <c r="A8" s="20" t="inlineStr">
        <is>
          <t>(import) Temperature (absolute)</t>
        </is>
      </c>
      <c r="B8" s="20" t="inlineStr">
        <is>
          <t>T_K</t>
        </is>
      </c>
      <c r="C8" s="20" t="inlineStr">
        <is>
          <t>K</t>
        </is>
      </c>
      <c r="D8" s="27">
        <f>Biology!$D$18</f>
        <v/>
      </c>
      <c r="E8" s="24">
        <f>HYPERLINK("#Biology!D18","→ Biology")</f>
        <v/>
      </c>
      <c r="F8" s="20" t="n"/>
    </row>
    <row r="9">
      <c r="A9" s="20" t="inlineStr">
        <is>
          <t>(import) Surface pressure</t>
        </is>
      </c>
      <c r="B9" s="20" t="inlineStr">
        <is>
          <t>P_atm</t>
        </is>
      </c>
      <c r="C9" s="20" t="inlineStr">
        <is>
          <t>Pa</t>
        </is>
      </c>
      <c r="D9" s="27">
        <f>Biology!$D$19</f>
        <v/>
      </c>
      <c r="E9" s="24">
        <f>HYPERLINK("#Biology!D19","→ Biology")</f>
        <v/>
      </c>
      <c r="F9" s="20" t="n"/>
    </row>
    <row r="10">
      <c r="A10" s="20" t="inlineStr">
        <is>
          <t>(import) CO₂ consumed (carbon fixation)</t>
        </is>
      </c>
      <c r="B10" s="20" t="inlineStr">
        <is>
          <t>CO2_cons</t>
        </is>
      </c>
      <c r="C10" s="20" t="inlineStr">
        <is>
          <t>mol/h</t>
        </is>
      </c>
      <c r="D10" s="27">
        <f>Biology!$D$15</f>
        <v/>
      </c>
      <c r="E10" s="24">
        <f>HYPERLINK("#Biology!D15","→ Biology")</f>
        <v/>
      </c>
      <c r="F10" s="20" t="n"/>
    </row>
    <row r="11">
      <c r="A11" s="20" t="inlineStr">
        <is>
          <t>(import) EXCESS O₂ to remove</t>
        </is>
      </c>
      <c r="B11" s="20" t="inlineStr">
        <is>
          <t>O2_excess</t>
        </is>
      </c>
      <c r="C11" s="20" t="inlineStr">
        <is>
          <t>mol/h</t>
        </is>
      </c>
      <c r="D11" s="27">
        <f>Biology!$D$16</f>
        <v/>
      </c>
      <c r="E11" s="24">
        <f>HYPERLINK("#Biology!D16","→ Biology")</f>
        <v/>
      </c>
      <c r="F11" s="20" t="n"/>
    </row>
    <row r="12">
      <c r="A12" s="20" t="inlineStr">
        <is>
          <t>(import) Henry solubility O₂ at T</t>
        </is>
      </c>
      <c r="B12" s="20" t="inlineStr">
        <is>
          <t>H_O2_T</t>
        </is>
      </c>
      <c r="C12" s="20" t="inlineStr">
        <is>
          <t>mol/m³/Pa</t>
        </is>
      </c>
      <c r="D12" s="27">
        <f>Biology!$D$24</f>
        <v/>
      </c>
      <c r="E12" s="24">
        <f>HYPERLINK("#Biology!D24","→ Biology")</f>
        <v/>
      </c>
      <c r="F12" s="20" t="n"/>
    </row>
    <row r="13">
      <c r="A13" s="20" t="inlineStr">
        <is>
          <t>(import) Net O₂ to dissolved pool</t>
        </is>
      </c>
      <c r="B13" s="20" t="inlineStr">
        <is>
          <t>O2_net_gen</t>
        </is>
      </c>
      <c r="C13" s="20" t="inlineStr">
        <is>
          <t>mol/h</t>
        </is>
      </c>
      <c r="D13" s="29">
        <f>Electrochemistry!$D$29</f>
        <v/>
      </c>
      <c r="E13" s="24">
        <f>HYPERLINK("#Electrochemistry!D29","→ Electrochemistry")</f>
        <v/>
      </c>
      <c r="F13" s="20" t="n"/>
    </row>
    <row r="14">
      <c r="A14" s="20" t="inlineStr">
        <is>
          <t>(import) Gas-liquid interfacial area</t>
        </is>
      </c>
      <c r="B14" s="20" t="inlineStr">
        <is>
          <t>interface_A</t>
        </is>
      </c>
      <c r="C14" s="20" t="inlineStr">
        <is>
          <t>mm²</t>
        </is>
      </c>
      <c r="D14" s="26">
        <f>Geometry!$D$44</f>
        <v/>
      </c>
      <c r="E14" s="24">
        <f>HYPERLINK("#Geometry!D44","→ Geometry")</f>
        <v/>
      </c>
      <c r="F14" s="20" t="n"/>
    </row>
    <row r="15">
      <c r="A15" s="20" t="inlineStr">
        <is>
          <t>(import) Vial internal diameter</t>
        </is>
      </c>
      <c r="B15" s="20" t="inlineStr">
        <is>
          <t>vial_ID</t>
        </is>
      </c>
      <c r="C15" s="20" t="inlineStr">
        <is>
          <t>mm</t>
        </is>
      </c>
      <c r="D15" s="26">
        <f>Geometry!$D$20</f>
        <v/>
      </c>
      <c r="E15" s="24">
        <f>HYPERLINK("#Geometry!D20","→ Geometry")</f>
        <v/>
      </c>
      <c r="F15" s="20" t="n"/>
    </row>
    <row r="16">
      <c r="A16" s="20" t="inlineStr">
        <is>
          <t>(import) LIQUID VOLUME TO CHARGE</t>
        </is>
      </c>
      <c r="B16" s="20" t="inlineStr">
        <is>
          <t>V_charge</t>
        </is>
      </c>
      <c r="C16" s="20" t="inlineStr">
        <is>
          <t>mL</t>
        </is>
      </c>
      <c r="D16" s="26">
        <f>Geometry!$D$41</f>
        <v/>
      </c>
      <c r="E16" s="24">
        <f>HYPERLINK("#Geometry!D41","→ Geometry")</f>
        <v/>
      </c>
      <c r="F16" s="20" t="n"/>
    </row>
    <row r="17">
      <c r="A17" s="20" t="inlineStr">
        <is>
          <t>(import) Internal cross-sectional area</t>
        </is>
      </c>
      <c r="B17" s="20" t="inlineStr">
        <is>
          <t>A_x</t>
        </is>
      </c>
      <c r="C17" s="20" t="inlineStr">
        <is>
          <t>mm²</t>
        </is>
      </c>
      <c r="D17" s="26">
        <f>Geometry!$D$21</f>
        <v/>
      </c>
      <c r="E17" s="24">
        <f>HYPERLINK("#Geometry!D21","→ Geometry")</f>
        <v/>
      </c>
      <c r="F17" s="20" t="n"/>
    </row>
    <row r="18" ht="24" customHeight="1">
      <c r="A18" s="20" t="inlineStr">
        <is>
          <t>(import) Sparge tube ID</t>
        </is>
      </c>
      <c r="B18" s="20" t="inlineStr">
        <is>
          <t>spg_ID</t>
        </is>
      </c>
      <c r="C18" s="20" t="inlineStr">
        <is>
          <t>mm</t>
        </is>
      </c>
      <c r="D18" s="26">
        <f>Geometry!$D$31</f>
        <v/>
      </c>
      <c r="E18" s="24">
        <f>HYPERLINK("#Geometry!D31","→ Geometry")</f>
        <v/>
      </c>
      <c r="F18" s="20" t="n"/>
    </row>
    <row r="19">
      <c r="A19" s="20" t="inlineStr">
        <is>
          <t>(import) Headspace gas volume</t>
        </is>
      </c>
      <c r="B19" s="20" t="inlineStr">
        <is>
          <t>headspace_V</t>
        </is>
      </c>
      <c r="C19" s="20" t="inlineStr">
        <is>
          <t>mL</t>
        </is>
      </c>
      <c r="D19" s="26">
        <f>Geometry!$D$49</f>
        <v/>
      </c>
      <c r="E19" s="24">
        <f>HYPERLINK("#Geometry!D49","→ Geometry")</f>
        <v/>
      </c>
      <c r="F19" s="20" t="n"/>
    </row>
    <row r="20">
      <c r="A20" s="20" t="inlineStr">
        <is>
          <t>(import) Sinter porosity grade (from electrode)</t>
        </is>
      </c>
      <c r="B20" s="20" t="inlineStr">
        <is>
          <t>por_grade</t>
        </is>
      </c>
      <c r="C20" s="20" t="inlineStr">
        <is>
          <t>0-5</t>
        </is>
      </c>
      <c r="D20" s="29">
        <f>Electrochemistry!$D$32</f>
        <v/>
      </c>
      <c r="E20" s="24">
        <f>HYPERLINK("#Electrochemistry!D32","→ Electrochemistry")</f>
        <v/>
      </c>
      <c r="F20" s="20" t="n"/>
    </row>
    <row r="21">
      <c r="A21" s="20" t="inlineStr">
        <is>
          <t>(import) Sparger type (from electrode)</t>
        </is>
      </c>
      <c r="B21" s="20" t="inlineStr">
        <is>
          <t>sparger</t>
        </is>
      </c>
      <c r="C21" s="20" t="inlineStr">
        <is>
          <t>-</t>
        </is>
      </c>
      <c r="D21" s="29">
        <f>Electrochemistry!$D$31</f>
        <v/>
      </c>
      <c r="E21" s="24">
        <f>HYPERLINK("#Electrochemistry!D31","→ Electrochemistry")</f>
        <v/>
      </c>
      <c r="F21" s="20" t="n"/>
    </row>
    <row r="22" ht="36" customHeight="1">
      <c r="A22" s="20" t="inlineStr">
        <is>
          <t>(import) Optimum DO (organism)</t>
        </is>
      </c>
      <c r="B22" s="20" t="inlineStr">
        <is>
          <t>DO_opt</t>
        </is>
      </c>
      <c r="C22" s="20" t="n"/>
      <c r="D22" s="27">
        <f>Biology!$D$46</f>
        <v/>
      </c>
      <c r="E22" s="24">
        <f>HYPERLINK("#Biology!D46","→ Biology")</f>
        <v/>
      </c>
      <c r="F22" s="20" t="n"/>
    </row>
    <row r="23">
      <c r="A23" s="20" t="inlineStr">
        <is>
          <t>(import) Impairment DO (organism)</t>
        </is>
      </c>
      <c r="B23" s="20" t="inlineStr">
        <is>
          <t>DO_impair</t>
        </is>
      </c>
      <c r="C23" s="20" t="n"/>
      <c r="D23" s="27">
        <f>Biology!$D$47</f>
        <v/>
      </c>
      <c r="E23" s="24">
        <f>HYPERLINK("#Biology!D47","→ Biology")</f>
        <v/>
      </c>
      <c r="F23" s="20" t="n"/>
    </row>
    <row r="24">
      <c r="A24" s="20" t="inlineStr">
        <is>
          <t>(import) Toxic/inhibition DO (organism)</t>
        </is>
      </c>
      <c r="B24" s="20" t="inlineStr">
        <is>
          <t>DO_toxic</t>
        </is>
      </c>
      <c r="C24" s="20" t="n"/>
      <c r="D24" s="27">
        <f>Biology!$D$48</f>
        <v/>
      </c>
      <c r="E24" s="24">
        <f>HYPERLINK("#Biology!D48","→ Biology")</f>
        <v/>
      </c>
      <c r="F24" s="20" t="n"/>
    </row>
    <row r="25">
      <c r="A25" s="20" t="inlineStr">
        <is>
          <t>(import) Minimum DO (organism)</t>
        </is>
      </c>
      <c r="B25" s="20" t="inlineStr">
        <is>
          <t>DO_min</t>
        </is>
      </c>
      <c r="C25" s="20" t="n"/>
      <c r="D25" s="27">
        <f>Biology!$D$45</f>
        <v/>
      </c>
      <c r="E25" s="24">
        <f>HYPERLINK("#Biology!D45","→ Biology")</f>
        <v/>
      </c>
      <c r="F25" s="20" t="n"/>
    </row>
    <row r="26">
      <c r="A26" s="17" t="n"/>
      <c r="B26" s="18" t="n"/>
      <c r="C26" s="19" t="n"/>
      <c r="D26" s="93" t="n"/>
      <c r="E26" s="94" t="n"/>
      <c r="F26" s="20" t="n"/>
    </row>
    <row r="27">
      <c r="A27" s="17" t="inlineStr">
        <is>
          <t xml:space="preserve">  valid sparger 1</t>
        </is>
      </c>
      <c r="B27" s="18" t="inlineStr">
        <is>
          <t>spg_name_1</t>
        </is>
      </c>
      <c r="C27" s="19" t="inlineStr">
        <is>
          <t>-</t>
        </is>
      </c>
      <c r="D27" s="145" t="inlineStr">
        <is>
          <t>Tube</t>
        </is>
      </c>
      <c r="E27" s="44" t="inlineStr">
        <is>
          <t>Bare 1/8" OD x 1/16" ID Flexelene 135C tube orifice.</t>
        </is>
      </c>
      <c r="F27" s="20" t="n"/>
    </row>
    <row r="28">
      <c r="A28" s="17" t="inlineStr">
        <is>
          <t xml:space="preserve">  valid sparger 2</t>
        </is>
      </c>
      <c r="B28" s="18" t="inlineStr">
        <is>
          <t>spg_name_2</t>
        </is>
      </c>
      <c r="C28" s="19" t="inlineStr">
        <is>
          <t>-</t>
        </is>
      </c>
      <c r="D28" s="145" t="inlineStr">
        <is>
          <t>Sintered</t>
        </is>
      </c>
      <c r="E28" s="44" t="inlineStr">
        <is>
          <t>10 mm sintered-glass disc annulus on a tubular anode.</t>
        </is>
      </c>
      <c r="F28" s="20" t="n"/>
    </row>
    <row r="29">
      <c r="A29" s="17" t="inlineStr">
        <is>
          <t>Surface tension (water, T)</t>
        </is>
      </c>
      <c r="B29" s="18" t="inlineStr">
        <is>
          <t>sigma</t>
        </is>
      </c>
      <c r="C29" s="19" t="inlineStr">
        <is>
          <t>N/m</t>
        </is>
      </c>
      <c r="D29" s="95" t="n">
        <v>0.0712</v>
      </c>
      <c r="E29" s="66" t="inlineStr">
        <is>
          <t>IAPWS R1-76(2014) formulation, evaluated at 30 °C.</t>
        </is>
      </c>
      <c r="F29" s="20" t="n"/>
    </row>
    <row r="30" ht="24" customHeight="1">
      <c r="A30" s="17" t="inlineStr">
        <is>
          <t>Liquid density (water, T)</t>
        </is>
      </c>
      <c r="B30" s="18" t="inlineStr">
        <is>
          <t>rho_L</t>
        </is>
      </c>
      <c r="C30" s="19" t="inlineStr">
        <is>
          <t>kg/m³</t>
        </is>
      </c>
      <c r="D30" s="65" t="n">
        <v>995.65</v>
      </c>
      <c r="E30" s="66" t="inlineStr">
        <is>
          <t>IAPWS-95, evaluated at 30 °C.</t>
        </is>
      </c>
      <c r="F30" s="20" t="n"/>
    </row>
    <row r="31">
      <c r="A31" s="17" t="inlineStr">
        <is>
          <t>Gravitational acceleration</t>
        </is>
      </c>
      <c r="B31" s="18" t="inlineStr">
        <is>
          <t>g_const</t>
        </is>
      </c>
      <c r="C31" s="19" t="inlineStr">
        <is>
          <t>m/s²</t>
        </is>
      </c>
      <c r="D31" s="72" t="n">
        <v>9.806649999999999</v>
      </c>
      <c r="E31" s="134" t="inlineStr">
        <is>
          <t>Standard gravity (defined).</t>
        </is>
      </c>
      <c r="F31" s="20" t="n"/>
    </row>
    <row r="32" ht="24" customHeight="1">
      <c r="A32" s="17" t="inlineStr">
        <is>
          <t>O₂ diffusivity in water (T)</t>
        </is>
      </c>
      <c r="B32" s="18" t="inlineStr">
        <is>
          <t>D_O2</t>
        </is>
      </c>
      <c r="C32" s="19" t="inlineStr">
        <is>
          <t>m²/s</t>
        </is>
      </c>
      <c r="D32" s="67" t="n">
        <v>2.249e-09</v>
      </c>
      <c r="E32" s="44" t="inlineStr">
        <is>
          <t>O₂ diffusivity in water at 30 °C. Han &amp; Bartels (1996) fit log₁₀(D[cm²/s]) = −4.410 + 773.8/T − (506.4/T)² → 2.25e-9 m²/s at 303.15 K.</t>
        </is>
      </c>
      <c r="F32" s="20" t="n"/>
    </row>
    <row r="33">
      <c r="A33" s="17" t="inlineStr">
        <is>
          <t>Pore size - grade 0</t>
        </is>
      </c>
      <c r="B33" s="18" t="inlineStr">
        <is>
          <t>por0_um</t>
        </is>
      </c>
      <c r="C33" s="19" t="inlineStr">
        <is>
          <t>µm</t>
        </is>
      </c>
      <c r="D33" s="67" t="n">
        <v>205</v>
      </c>
      <c r="E33" s="66" t="inlineStr">
        <is>
          <t>DURAN P0 160-250 µm, midpoint. ISO 4793 (paywalled) underlies; DURAN table is free.</t>
        </is>
      </c>
      <c r="F33" s="20" t="n"/>
    </row>
    <row r="34" ht="24" customHeight="1">
      <c r="A34" s="17" t="inlineStr">
        <is>
          <t>Pore size - grade 1</t>
        </is>
      </c>
      <c r="B34" s="18" t="inlineStr">
        <is>
          <t>por1_um</t>
        </is>
      </c>
      <c r="C34" s="19" t="inlineStr">
        <is>
          <t>µm</t>
        </is>
      </c>
      <c r="D34" s="67" t="n">
        <v>130</v>
      </c>
      <c r="E34" s="66" t="inlineStr">
        <is>
          <t>DURAN P1 100-160 µm, midpoint.</t>
        </is>
      </c>
      <c r="F34" s="20" t="n"/>
    </row>
    <row r="35">
      <c r="A35" s="17" t="inlineStr">
        <is>
          <t>Pore size - grade 2</t>
        </is>
      </c>
      <c r="B35" s="18" t="inlineStr">
        <is>
          <t>por2_um</t>
        </is>
      </c>
      <c r="C35" s="19" t="inlineStr">
        <is>
          <t>µm</t>
        </is>
      </c>
      <c r="D35" s="67" t="n">
        <v>70</v>
      </c>
      <c r="E35" s="66" t="inlineStr">
        <is>
          <t>DURAN P2 40-100 µm, midpoint.</t>
        </is>
      </c>
      <c r="F35" s="20" t="n"/>
    </row>
    <row r="36">
      <c r="A36" s="17" t="inlineStr">
        <is>
          <t>Pore size - grade 3</t>
        </is>
      </c>
      <c r="B36" s="18" t="inlineStr">
        <is>
          <t>por3_um</t>
        </is>
      </c>
      <c r="C36" s="19" t="inlineStr">
        <is>
          <t>µm</t>
        </is>
      </c>
      <c r="D36" s="67" t="n">
        <v>28</v>
      </c>
      <c r="E36" s="66" t="inlineStr">
        <is>
          <t>DURAN P3 16-40 µm, midpoint.</t>
        </is>
      </c>
      <c r="F36" s="20" t="n"/>
    </row>
    <row r="37">
      <c r="A37" s="17" t="inlineStr">
        <is>
          <t>Pore size - grade 4</t>
        </is>
      </c>
      <c r="B37" s="18" t="inlineStr">
        <is>
          <t>por4_um</t>
        </is>
      </c>
      <c r="C37" s="19" t="inlineStr">
        <is>
          <t>µm</t>
        </is>
      </c>
      <c r="D37" s="67" t="n">
        <v>13</v>
      </c>
      <c r="E37" s="66" t="inlineStr">
        <is>
          <t>DURAN P4 10-16 µm, midpoint.</t>
        </is>
      </c>
      <c r="F37" s="20" t="n"/>
    </row>
    <row r="38">
      <c r="A38" s="17" t="inlineStr">
        <is>
          <t>Pore size - grade 5</t>
        </is>
      </c>
      <c r="B38" s="18" t="inlineStr">
        <is>
          <t>por5_um</t>
        </is>
      </c>
      <c r="C38" s="19" t="inlineStr">
        <is>
          <t>µm</t>
        </is>
      </c>
      <c r="D38" s="70" t="n">
        <v>1.3</v>
      </c>
      <c r="E38" s="66" t="inlineStr">
        <is>
          <t>DURAN P5 1.0-1.6 µm, midpoint.</t>
        </is>
      </c>
      <c r="F38" s="20" t="n"/>
    </row>
    <row r="39">
      <c r="A39" s="17" t="inlineStr">
        <is>
          <t>Selected sinter pore diameter</t>
        </is>
      </c>
      <c r="B39" s="18" t="inlineStr">
        <is>
          <t>por_pore</t>
        </is>
      </c>
      <c r="C39" s="19" t="inlineStr">
        <is>
          <t>m</t>
        </is>
      </c>
      <c r="D39" s="96">
        <f>CHOOSE(por_grade+1,por0_um,por1_um,por2_um,por3_um,por4_um,por5_um)/1000000</f>
        <v/>
      </c>
      <c r="E39" s="131" t="inlineStr">
        <is>
          <t>Picked by por_grade.</t>
        </is>
      </c>
      <c r="F39" s="20" t="n"/>
    </row>
    <row r="40" ht="24" customHeight="1">
      <c r="A40" s="17" t="inlineStr">
        <is>
          <t>Tube orifice diameter</t>
        </is>
      </c>
      <c r="B40" s="18" t="inlineStr">
        <is>
          <t>tube_d_m</t>
        </is>
      </c>
      <c r="C40" s="19" t="inlineStr">
        <is>
          <t>m</t>
        </is>
      </c>
      <c r="D40" s="96">
        <f>spg_ID/1000</f>
        <v/>
      </c>
      <c r="E40" s="131" t="inlineStr">
        <is>
          <t>Tube ID in metres.</t>
        </is>
      </c>
      <c r="F40" s="20" t="n"/>
    </row>
    <row r="41">
      <c r="A41" s="17" t="inlineStr">
        <is>
          <t>Effective orifice/pore diameter</t>
        </is>
      </c>
      <c r="B41" s="18" t="inlineStr">
        <is>
          <t>d_orifice</t>
        </is>
      </c>
      <c r="C41" s="19" t="inlineStr">
        <is>
          <t>m</t>
        </is>
      </c>
      <c r="D41" s="96">
        <f>IF(sparger=spg_name_1,tube_d_m,IF(sparger=spg_name_2,por_pore,NA()))</f>
        <v/>
      </c>
      <c r="E41" s="131" t="inlineStr">
        <is>
          <t>Tube ID or sinter pore; invalid sparger returns an error.</t>
        </is>
      </c>
      <c r="F41" s="20" t="n"/>
    </row>
    <row r="42" ht="24" customHeight="1">
      <c r="A42" s="153" t="inlineStr">
        <is>
          <t>Bubble detachment diameter</t>
        </is>
      </c>
      <c r="B42" s="18" t="inlineStr">
        <is>
          <t>d_bubble</t>
        </is>
      </c>
      <c r="C42" s="19" t="inlineStr">
        <is>
          <t>m</t>
        </is>
      </c>
      <c r="D42" s="61">
        <f>(6*d_orifice*sigma/(rho_L*g_const))^(1/3)</f>
        <v/>
      </c>
      <c r="E42" s="94" t="inlineStr">
        <is>
          <t>Static low-flow force balance (buoyancy vs surface tension); valid in the quasi-static regime — see bubble_regime (§10).</t>
        </is>
      </c>
      <c r="F42" s="20" t="n"/>
    </row>
    <row r="43">
      <c r="A43" s="153" t="inlineStr">
        <is>
          <t>Bubble diameter (display)</t>
        </is>
      </c>
      <c r="B43" s="18" t="inlineStr">
        <is>
          <t>d_bubble_mm</t>
        </is>
      </c>
      <c r="C43" s="19" t="inlineStr">
        <is>
          <t>mm</t>
        </is>
      </c>
      <c r="D43" s="58">
        <f>d_bubble*1000</f>
        <v/>
      </c>
      <c r="E43" s="94" t="n"/>
      <c r="F43" s="20" t="n"/>
    </row>
    <row r="44">
      <c r="A44" s="17" t="inlineStr">
        <is>
          <t>Mendelson coefficient a</t>
        </is>
      </c>
      <c r="B44" s="18" t="inlineStr">
        <is>
          <t>mend_a</t>
        </is>
      </c>
      <c r="C44" s="19" t="inlineStr">
        <is>
          <t>-</t>
        </is>
      </c>
      <c r="D44" s="65" t="n">
        <v>2.14</v>
      </c>
      <c r="E44" s="94" t="inlineStr">
        <is>
          <t>Mendelson (1967) wave-theory bubble rise correlation (AIChE J, paywalled).</t>
        </is>
      </c>
      <c r="F44" s="20" t="n"/>
    </row>
    <row r="45">
      <c r="A45" s="17" t="inlineStr">
        <is>
          <t>Mendelson coefficient b</t>
        </is>
      </c>
      <c r="B45" s="18" t="inlineStr">
        <is>
          <t>mend_b</t>
        </is>
      </c>
      <c r="C45" s="19" t="inlineStr">
        <is>
          <t>-</t>
        </is>
      </c>
      <c r="D45" s="97" t="n">
        <v>0.505</v>
      </c>
      <c r="E45" s="94" t="inlineStr">
        <is>
          <t>Mendelson (1967), as above.</t>
        </is>
      </c>
      <c r="F45" s="20" t="n"/>
    </row>
    <row r="46" ht="36" customHeight="1">
      <c r="A46" s="17" t="inlineStr">
        <is>
          <t>Bubble rise velocity</t>
        </is>
      </c>
      <c r="B46" s="18" t="inlineStr">
        <is>
          <t>u_rise</t>
        </is>
      </c>
      <c r="C46" s="19" t="inlineStr">
        <is>
          <t>m/s</t>
        </is>
      </c>
      <c r="D46" s="59">
        <f>SQRT(mend_a*sigma/(rho_L*d_bubble)+mend_b*g_const*d_bubble)</f>
        <v/>
      </c>
      <c r="E46" s="94" t="inlineStr">
        <is>
          <t>Mendelson rise velocity, valid ~1–10 mm. Sub-mm bubbles (fine sinters) are out of range → bubble strip excluded and flagged (bubble_regime); §11 surface path and §14 optimiser unaffected. Tube = 4.1 mm.</t>
        </is>
      </c>
      <c r="F46" s="20" t="n"/>
    </row>
    <row r="47">
      <c r="A47" s="17" t="inlineStr">
        <is>
          <t>Superficial gas velocity (sparge on)</t>
        </is>
      </c>
      <c r="B47" s="18" t="inlineStr">
        <is>
          <t>u_sg</t>
        </is>
      </c>
      <c r="C47" s="19" t="inlineStr">
        <is>
          <t>m/s</t>
        </is>
      </c>
      <c r="D47" s="61">
        <f>(Q_CO2/1000000/60)/(A_x/1000000)</f>
        <v/>
      </c>
      <c r="E47" s="131" t="inlineStr">
        <is>
          <t>Gas flow / liquid cross-section.</t>
        </is>
      </c>
      <c r="F47" s="20" t="n"/>
    </row>
    <row r="48">
      <c r="A48" s="17" t="inlineStr">
        <is>
          <t>Gas holdup (sparge on)</t>
        </is>
      </c>
      <c r="B48" s="18" t="inlineStr">
        <is>
          <t>holdup</t>
        </is>
      </c>
      <c r="C48" s="19" t="inlineStr">
        <is>
          <t>-</t>
        </is>
      </c>
      <c r="D48" s="61">
        <f>u_sg/u_rise</f>
        <v/>
      </c>
      <c r="E48" s="94" t="inlineStr">
        <is>
          <t>ε ≈ superficial gas velocity / rise velocity.</t>
        </is>
      </c>
      <c r="F48" s="20" t="n"/>
    </row>
    <row r="49">
      <c r="A49" s="17" t="inlineStr">
        <is>
          <t>Interfacial area for transfer</t>
        </is>
      </c>
      <c r="B49" s="18" t="inlineStr">
        <is>
          <t>a_int</t>
        </is>
      </c>
      <c r="C49" s="19" t="inlineStr">
        <is>
          <t>1/m</t>
        </is>
      </c>
      <c r="D49" s="54">
        <f>6*holdup/d_bubble</f>
        <v/>
      </c>
      <c r="E49" s="94" t="inlineStr">
        <is>
          <t>a = 6ε/d_b (spheres).</t>
        </is>
      </c>
      <c r="F49" s="20" t="n"/>
    </row>
    <row r="50">
      <c r="A50" s="17" t="inlineStr">
        <is>
          <t>Bubble-liquid contact time</t>
        </is>
      </c>
      <c r="B50" s="18" t="inlineStr">
        <is>
          <t>t_contact</t>
        </is>
      </c>
      <c r="C50" s="19" t="inlineStr">
        <is>
          <t>s</t>
        </is>
      </c>
      <c r="D50" s="59">
        <f>d_bubble/u_rise</f>
        <v/>
      </c>
      <c r="E50" s="94" t="inlineStr">
        <is>
          <t>d_b / rise velocity.</t>
        </is>
      </c>
      <c r="F50" s="20" t="n"/>
    </row>
    <row r="51">
      <c r="A51" s="17" t="inlineStr">
        <is>
          <t>Liquid-film coefficient kL</t>
        </is>
      </c>
      <c r="B51" s="18" t="inlineStr">
        <is>
          <t>kL</t>
        </is>
      </c>
      <c r="C51" s="19" t="inlineStr">
        <is>
          <t>m/s</t>
        </is>
      </c>
      <c r="D51" s="61">
        <f>2*SQRT(D_O2/(PI()*t_contact))</f>
        <v/>
      </c>
      <c r="E51" s="94" t="inlineStr">
        <is>
          <t>Higbie penetration theory.</t>
        </is>
      </c>
      <c r="F51" s="20" t="n"/>
    </row>
    <row r="52">
      <c r="A52" s="153" t="inlineStr">
        <is>
          <t>kLa during sparge</t>
        </is>
      </c>
      <c r="B52" s="18" t="inlineStr">
        <is>
          <t>kLa_sparge</t>
        </is>
      </c>
      <c r="C52" s="19" t="inlineStr">
        <is>
          <t>1/s</t>
        </is>
      </c>
      <c r="D52" s="61">
        <f>kL*a_int</f>
        <v/>
      </c>
      <c r="E52" s="94" t="inlineStr">
        <is>
          <t>kL x a.</t>
        </is>
      </c>
      <c r="F52" s="20" t="n"/>
    </row>
    <row r="53">
      <c r="A53" s="17" t="inlineStr">
        <is>
          <t>kLa time-averaged</t>
        </is>
      </c>
      <c r="B53" s="18" t="inlineStr">
        <is>
          <t>kLa_avg</t>
        </is>
      </c>
      <c r="C53" s="19" t="inlineStr">
        <is>
          <t>1/s</t>
        </is>
      </c>
      <c r="D53" s="83">
        <f>kLa_sparge*duty</f>
        <v/>
      </c>
      <c r="E53" s="159" t="inlineStr">
        <is>
          <t>Sparge-on regime only; not meaningful in the surface-strip-dominated default</t>
        </is>
      </c>
      <c r="F53" s="20" t="n"/>
    </row>
    <row r="54" ht="24" customHeight="1">
      <c r="A54" s="17" t="inlineStr">
        <is>
          <t>O₂ strip rate at ceiling (sparge on)</t>
        </is>
      </c>
      <c r="B54" s="18" t="inlineStr">
        <is>
          <t>strip_sparge</t>
        </is>
      </c>
      <c r="C54" s="19" t="inlineStr">
        <is>
          <t>mol/h</t>
        </is>
      </c>
      <c r="D54" s="61">
        <f>IF(d_bubble&lt;0.001,0,kLa_sparge*(V_charge/1000000)*O2_ceil_C*3600)</f>
        <v/>
      </c>
      <c r="E54" s="94" t="inlineStr">
        <is>
          <t>Bubble O₂ strip at the ceiling driving force (best case). 0 for sub-mm bubbles (fine sinter, bubble model out of range — see bubble_regime).</t>
        </is>
      </c>
      <c r="F54" s="20" t="n"/>
    </row>
    <row r="55" ht="24" customHeight="1">
      <c r="A55" s="153" t="inlineStr">
        <is>
          <t>O₂ strip rate time-averaged</t>
        </is>
      </c>
      <c r="B55" s="18" t="inlineStr">
        <is>
          <t>strip_avg</t>
        </is>
      </c>
      <c r="C55" s="19" t="inlineStr">
        <is>
          <t>mol/h</t>
        </is>
      </c>
      <c r="D55" s="61">
        <f>strip_sparge*duty</f>
        <v/>
      </c>
      <c r="E55" s="94" t="inlineStr">
        <is>
          <t>x duty cycle.</t>
        </is>
      </c>
      <c r="F55" s="20" t="n"/>
    </row>
    <row r="56">
      <c r="A56" s="153" t="inlineStr">
        <is>
          <t>Strip capacity : excess-O₂</t>
        </is>
      </c>
      <c r="B56" s="18" t="inlineStr">
        <is>
          <t>strip_ratio</t>
        </is>
      </c>
      <c r="C56" s="19" t="inlineStr">
        <is>
          <t>×</t>
        </is>
      </c>
      <c r="D56" s="58">
        <f>IF(O2_excess&gt;0,strip_avg/O2_excess,NA())</f>
        <v/>
      </c>
      <c r="E56" s="94" t="inlineStr">
        <is>
          <t>Bubble strip : surplus. ≪1 — the §11 surface path is the real route.</t>
        </is>
      </c>
      <c r="F56" s="20" t="n"/>
    </row>
    <row r="57" ht="36" customHeight="1">
      <c r="A57" s="17" t="inlineStr">
        <is>
          <t>Required time-avg kLa</t>
        </is>
      </c>
      <c r="B57" s="18" t="inlineStr">
        <is>
          <t>kLa_req</t>
        </is>
      </c>
      <c r="C57" s="19" t="inlineStr">
        <is>
          <t>1/s</t>
        </is>
      </c>
      <c r="D57" s="61">
        <f>IF(O2_excess&gt;0,O2_excess/3600/((V_charge/1000000)*O2_ceil_C),NA())</f>
        <v/>
      </c>
      <c r="E57" s="94" t="inlineStr">
        <is>
          <t>kLa that would exactly strip the excess at the ceiling.</t>
        </is>
      </c>
      <c r="F57" s="20" t="n"/>
    </row>
    <row r="58" ht="24" customHeight="1">
      <c r="A58" s="17" t="inlineStr">
        <is>
          <t>Entrainment velocity ceiling (rule of thumb)</t>
        </is>
      </c>
      <c r="B58" s="18" t="inlineStr">
        <is>
          <t>u_g_max</t>
        </is>
      </c>
      <c r="C58" s="19" t="inlineStr">
        <is>
          <t>m/s</t>
        </is>
      </c>
      <c r="D58" s="154" t="n">
        <v>0.05</v>
      </c>
      <c r="E58" s="94" t="inlineStr">
        <is>
          <t>Provisional superficial-velocity ceiling above which droplet carryover to the hydrophilic vent filters becomes likely. Replace with measured value.</t>
        </is>
      </c>
      <c r="F58" s="20" t="n"/>
    </row>
    <row r="59">
      <c r="A59" s="153" t="inlineStr">
        <is>
          <t>Carryover flag</t>
        </is>
      </c>
      <c r="B59" s="18" t="inlineStr">
        <is>
          <t>carry_flag</t>
        </is>
      </c>
      <c r="C59" s="19" t="inlineStr">
        <is>
          <t>-</t>
        </is>
      </c>
      <c r="D59" s="74">
        <f>IF(u_sg&gt;u_g_max,"RISK","OK")</f>
        <v/>
      </c>
      <c r="E59" s="94" t="inlineStr">
        <is>
          <t>Operating gas velocity vs ceiling.</t>
        </is>
      </c>
      <c r="F59" s="20" t="n"/>
    </row>
    <row r="60">
      <c r="A60" s="17" t="inlineStr">
        <is>
          <t>CO₂ gas density (T,P)</t>
        </is>
      </c>
      <c r="B60" s="18" t="inlineStr">
        <is>
          <t>rho_CO2</t>
        </is>
      </c>
      <c r="C60" s="19" t="inlineStr">
        <is>
          <t>kg/m³</t>
        </is>
      </c>
      <c r="D60" s="61">
        <f>P_atm*(M_CO2/1000)/(R_gas*T_K)</f>
        <v/>
      </c>
      <c r="E60" s="131" t="inlineStr">
        <is>
          <t>Ideal gas at surface conditions; for the orifice Weber number.</t>
        </is>
      </c>
      <c r="F60" s="20" t="n"/>
    </row>
    <row r="61">
      <c r="A61" s="17" t="inlineStr">
        <is>
          <t>Active sparge orifices</t>
        </is>
      </c>
      <c r="B61" s="18" t="inlineStr">
        <is>
          <t>n_pores_active</t>
        </is>
      </c>
      <c r="C61" s="19" t="inlineStr">
        <is>
          <t>-</t>
        </is>
      </c>
      <c r="D61" s="148" t="n">
        <v>1</v>
      </c>
      <c r="E61" s="89" t="inlineStr">
        <is>
          <t>Tube = 1. Sinter pore count unknown; 1 = worst case. DATA GAP.</t>
        </is>
      </c>
      <c r="F61" s="20" t="n"/>
    </row>
    <row r="62">
      <c r="A62" s="17" t="inlineStr">
        <is>
          <t>Gas velocity at orifice</t>
        </is>
      </c>
      <c r="B62" s="18" t="inlineStr">
        <is>
          <t>v_orifice</t>
        </is>
      </c>
      <c r="C62" s="19" t="inlineStr">
        <is>
          <t>m/s</t>
        </is>
      </c>
      <c r="D62" s="61">
        <f>(Q_CO2/1000000/60)/(n_pores_active*(PI()/4*d_orifice^2))</f>
        <v/>
      </c>
      <c r="E62" s="157" t="inlineStr">
        <is>
          <t>Sparge-on regime only; not meaningful in the surface-strip-dominated default</t>
        </is>
      </c>
      <c r="F62" s="20" t="n"/>
    </row>
    <row r="63">
      <c r="A63" s="17" t="inlineStr">
        <is>
          <t>Orifice Weber number</t>
        </is>
      </c>
      <c r="B63" s="18" t="inlineStr">
        <is>
          <t>We_orifice</t>
        </is>
      </c>
      <c r="C63" s="19" t="inlineStr">
        <is>
          <t>-</t>
        </is>
      </c>
      <c r="D63" s="61">
        <f>rho_CO2*v_orifice^2*d_orifice/sigma</f>
        <v/>
      </c>
      <c r="E63" s="157" t="inlineStr">
        <is>
          <t>Sparge-on regime only; not meaningful in the surface-strip-dominated default</t>
        </is>
      </c>
      <c r="F63" s="20" t="n"/>
    </row>
    <row r="64" ht="24" customHeight="1">
      <c r="A64" s="17" t="inlineStr">
        <is>
          <t>Bubble-formation regime</t>
        </is>
      </c>
      <c r="B64" s="18" t="inlineStr">
        <is>
          <t>bubble_regime</t>
        </is>
      </c>
      <c r="C64" s="19" t="inlineStr">
        <is>
          <t>-</t>
        </is>
      </c>
      <c r="D64" s="61">
        <f>IF(d_bubble&lt;0.001,"Sinter OOR – add fine-bubble model",IF(We_orifice&lt;2,"Static","Dynamic"))</f>
        <v/>
      </c>
      <c r="E64" s="131" t="inlineStr">
        <is>
          <t>Tate's law assumes quasi-static detachment (We&lt;~2). 'Sinter OOR' = sub-mm bubble; the fine-sinter model isn't built yet.</t>
        </is>
      </c>
      <c r="F64" s="20" t="n"/>
    </row>
    <row r="65" ht="24" customHeight="1">
      <c r="A65" s="17" t="inlineStr">
        <is>
          <t>O₂ time-to-ceiling (no removal)</t>
        </is>
      </c>
      <c r="B65" s="18" t="inlineStr">
        <is>
          <t>t_O2_ceiling</t>
        </is>
      </c>
      <c r="C65" s="19" t="inlineStr">
        <is>
          <t>min</t>
        </is>
      </c>
      <c r="D65" s="61">
        <f>O2_ceil_C*(V_charge/1000000)/O2_excess*60</f>
        <v/>
      </c>
      <c r="E65" s="131" t="inlineStr">
        <is>
          <t>Minutes to reach the O₂ ceiling from ~0 with no removal (steady, etaF=1) — the O₂ timescale.</t>
        </is>
      </c>
      <c r="F65" s="20" t="n"/>
    </row>
    <row r="66" ht="24" customHeight="1">
      <c r="A66" s="17" t="inlineStr">
        <is>
          <t>O₂ time-to-ceiling (with time-avg strip)</t>
        </is>
      </c>
      <c r="B66" s="18" t="inlineStr">
        <is>
          <t>t_O2_ceiling_strip</t>
        </is>
      </c>
      <c r="C66" s="19" t="inlineStr">
        <is>
          <t>min</t>
        </is>
      </c>
      <c r="D66" s="61">
        <f>IF(O2_excess-strip_avg&gt;0,O2_ceil_C*(V_charge/1000000)/(O2_excess-strip_avg)*60,9999)</f>
        <v/>
      </c>
      <c r="E66" s="131" t="inlineStr">
        <is>
          <t>As above, crediting time-averaged bubble strip (≈unchanged → bubbles aren't the mechanism). 9999 = cleared.</t>
        </is>
      </c>
      <c r="F66" s="20" t="n"/>
    </row>
    <row r="67">
      <c r="A67" s="17" t="inlineStr">
        <is>
          <t>Stir-bar speed</t>
        </is>
      </c>
      <c r="B67" s="18" t="inlineStr">
        <is>
          <t>stir_rpm</t>
        </is>
      </c>
      <c r="C67" s="19" t="inlineStr">
        <is>
          <t>1/min</t>
        </is>
      </c>
      <c r="D67" s="99">
        <f>Summary!$D$7</f>
        <v/>
      </c>
      <c r="E67" s="87" t="inlineStr">
        <is>
          <t>Pioreactor stir setpoint. RPM floor ~125 (stalls below). Input/confirm.</t>
        </is>
      </c>
      <c r="F67" s="20" t="n"/>
    </row>
    <row r="68" ht="24" customHeight="1">
      <c r="A68" s="17" t="inlineStr">
        <is>
          <t>Stir-bar tip speed</t>
        </is>
      </c>
      <c r="B68" s="18" t="inlineStr">
        <is>
          <t>tip_speed</t>
        </is>
      </c>
      <c r="C68" s="19" t="inlineStr">
        <is>
          <t>m/s</t>
        </is>
      </c>
      <c r="D68" s="61">
        <f>PI()*(stir_len/1000)*stir_rpm/60</f>
        <v/>
      </c>
      <c r="E68" s="131" t="inlineStr">
        <is>
          <t>π·d·rpm/60.</t>
        </is>
      </c>
      <c r="F68" s="20" t="n"/>
    </row>
    <row r="69">
      <c r="A69" s="17" t="inlineStr">
        <is>
          <t>Surface renewal frequency</t>
        </is>
      </c>
      <c r="B69" s="18" t="inlineStr">
        <is>
          <t>s_renew</t>
        </is>
      </c>
      <c r="C69" s="19" t="inlineStr">
        <is>
          <t>1/s</t>
        </is>
      </c>
      <c r="D69" s="61">
        <f>tip_speed/(vial_ID/1000)</f>
        <v/>
      </c>
      <c r="E69" s="88" t="inlineStr">
        <is>
          <t>Surface renewal ≈ tip speed / vial ID. Coarse proxy.</t>
        </is>
      </c>
      <c r="F69" s="20" t="n"/>
    </row>
    <row r="70">
      <c r="A70" s="17" t="inlineStr">
        <is>
          <t>Surface liquid-film coeff kL</t>
        </is>
      </c>
      <c r="B70" s="18" t="inlineStr">
        <is>
          <t>kL_surf</t>
        </is>
      </c>
      <c r="C70" s="19" t="inlineStr">
        <is>
          <t>m/s</t>
        </is>
      </c>
      <c r="D70" s="61">
        <f>2*SQRT(D_O2*s_renew/PI())</f>
        <v/>
      </c>
      <c r="E70" s="88" t="inlineStr">
        <is>
          <t>Danckwerts surface-renewal estimate — coarse; measure by gassing-out (§15).</t>
        </is>
      </c>
      <c r="F70" s="20" t="n"/>
    </row>
    <row r="71">
      <c r="A71" s="17" t="inlineStr">
        <is>
          <t>Surface area per volume</t>
        </is>
      </c>
      <c r="B71" s="18" t="inlineStr">
        <is>
          <t>a_surf</t>
        </is>
      </c>
      <c r="C71" s="19" t="inlineStr">
        <is>
          <t>1/m</t>
        </is>
      </c>
      <c r="D71" s="61">
        <f>interface_A/V_charge</f>
        <v/>
      </c>
      <c r="E71" s="131" t="inlineStr">
        <is>
          <t>Free-surface area / liquid volume (mm²/mL = 1/m); uses interface_A (§1B).</t>
        </is>
      </c>
      <c r="F71" s="20" t="n"/>
    </row>
    <row r="72">
      <c r="A72" s="17" t="inlineStr">
        <is>
          <t>Surface O₂ transfer kLa</t>
        </is>
      </c>
      <c r="B72" s="18" t="inlineStr">
        <is>
          <t>kLa_surf</t>
        </is>
      </c>
      <c r="C72" s="19" t="inlineStr">
        <is>
          <t>1/s</t>
        </is>
      </c>
      <c r="D72" s="61">
        <f>kL_surf*a_surf</f>
        <v/>
      </c>
      <c r="E72" s="88" t="inlineStr">
        <is>
          <t>kL_surf × a_surf.</t>
        </is>
      </c>
      <c r="F72" s="20" t="n"/>
    </row>
    <row r="73" ht="36" customHeight="1">
      <c r="A73" s="17" t="inlineStr">
        <is>
          <t>O₂ strip via surface (ceiling)</t>
        </is>
      </c>
      <c r="B73" s="18" t="inlineStr">
        <is>
          <t>surf_strip</t>
        </is>
      </c>
      <c r="C73" s="19" t="inlineStr">
        <is>
          <t>mol/h</t>
        </is>
      </c>
      <c r="D73" s="61">
        <f>kLa_surf_used*(V_charge/1000000)*O2_ceil_C*3600</f>
        <v/>
      </c>
      <c r="E73" s="88" t="inlineStr">
        <is>
          <t>O₂ removed across the stirred surface at ceiling driving force, headspace ~O₂-free. Best case.</t>
        </is>
      </c>
      <c r="F73" s="20" t="n"/>
    </row>
    <row r="74" ht="24" customHeight="1">
      <c r="A74" s="17" t="inlineStr">
        <is>
          <t>Surface strip : excess-O₂</t>
        </is>
      </c>
      <c r="B74" s="18" t="inlineStr">
        <is>
          <t>surf_ratio</t>
        </is>
      </c>
      <c r="C74" s="19" t="inlineStr">
        <is>
          <t>×</t>
        </is>
      </c>
      <c r="D74" s="61">
        <f>IF(O2_excess&gt;0,surf_strip/O2_excess,NA())</f>
        <v/>
      </c>
      <c r="E74" s="88" t="inlineStr">
        <is>
          <t>Surface strip : surplus. Coarse (kL_surf). ≫ bubble path — the dominant O₂ route.</t>
        </is>
      </c>
      <c r="F74" s="20" t="n"/>
    </row>
    <row r="75" ht="24" customHeight="1">
      <c r="A75" s="17" t="inlineStr">
        <is>
          <t>Headspace O₂ frac. to vent excess</t>
        </is>
      </c>
      <c r="B75" s="18" t="inlineStr">
        <is>
          <t>y_O2_vent</t>
        </is>
      </c>
      <c r="C75" s="19" t="inlineStr">
        <is>
          <t>-</t>
        </is>
      </c>
      <c r="D75" s="61">
        <f>IF(CO2_supply&gt;0,O2_excess/CO2_supply,NA())</f>
        <v/>
      </c>
      <c r="E75" s="131" t="inlineStr">
        <is>
          <t>Headspace O₂ fraction at which the vented CO₂ carries the surplus out. kL-independent.</t>
        </is>
      </c>
      <c r="F75" s="20" t="n"/>
    </row>
    <row r="76">
      <c r="A76" s="17" t="inlineStr">
        <is>
          <t>DO in equilib. with that headspace</t>
        </is>
      </c>
      <c r="B76" s="18" t="inlineStr">
        <is>
          <t>DO_vent_eq</t>
        </is>
      </c>
      <c r="C76" s="19" t="inlineStr">
        <is>
          <t>µM</t>
        </is>
      </c>
      <c r="D76" s="61">
        <f>H_O2_T*y_O2_vent*P_atm*1000</f>
        <v/>
      </c>
      <c r="E76" s="131" t="inlineStr">
        <is>
          <t>Dissolved O₂ matching that headspace fraction. ≪ ceiling → vent-feasible.</t>
        </is>
      </c>
      <c r="F76" s="20" t="n"/>
    </row>
    <row r="77">
      <c r="A77" s="17" t="inlineStr">
        <is>
          <t>Headspace flush time</t>
        </is>
      </c>
      <c r="B77" s="18" t="inlineStr">
        <is>
          <t>hs_flush_time</t>
        </is>
      </c>
      <c r="C77" s="19" t="inlineStr">
        <is>
          <t>min</t>
        </is>
      </c>
      <c r="D77" s="61">
        <f>headspace_V/(Q_CO2*duty)</f>
        <v/>
      </c>
      <c r="E77" s="131" t="inlineStr">
        <is>
          <t>Avg CO₂ flow to displace one headspace volume.</t>
        </is>
      </c>
      <c r="F77" s="20" t="n"/>
    </row>
    <row r="78" ht="26" customHeight="1">
      <c r="A78" s="17" t="inlineStr">
        <is>
          <t>Combined O₂ removal : excess</t>
        </is>
      </c>
      <c r="B78" s="18" t="inlineStr">
        <is>
          <t>O2_removal_ratio</t>
        </is>
      </c>
      <c r="C78" s="19" t="inlineStr">
        <is>
          <t>×</t>
        </is>
      </c>
      <c r="D78" s="61">
        <f>IF(O2_excess&gt;0,(strip_avg+surf_strip)/O2_excess,NA())</f>
        <v/>
      </c>
      <c r="E78" s="160" t="inlineStr">
        <is>
          <t>Upper bound: surface + sparge O2 sinks are in series (liquid-&gt;headspace-&gt;vent), not strictly additive</t>
        </is>
      </c>
      <c r="F78" s="20" t="n"/>
    </row>
    <row r="79">
      <c r="A79" s="17" t="inlineStr">
        <is>
          <t>O₂ time-to-ceiling (LAG, no uptake)</t>
        </is>
      </c>
      <c r="B79" s="18" t="inlineStr">
        <is>
          <t>t_O2_ceiling_lag</t>
        </is>
      </c>
      <c r="C79" s="19" t="inlineStr">
        <is>
          <t>min</t>
        </is>
      </c>
      <c r="D79" s="61">
        <f>O2_ceil_C*(V_charge/1000000)/O2_net_gen*60</f>
        <v/>
      </c>
      <c r="E79" s="131" t="inlineStr">
        <is>
          <t>Lag/establishment: no biological O₂ uptake yet, so the full net O₂ accumulates. Worst case.</t>
        </is>
      </c>
      <c r="F79" s="20" t="n"/>
    </row>
    <row r="80" ht="36" customHeight="1">
      <c r="A80" s="17" t="inlineStr">
        <is>
          <t>O₂ time-to-ceiling (with all removal)</t>
        </is>
      </c>
      <c r="B80" s="18" t="inlineStr">
        <is>
          <t>t_O2_ceiling_rem</t>
        </is>
      </c>
      <c r="C80" s="19" t="inlineStr">
        <is>
          <t>min</t>
        </is>
      </c>
      <c r="D80" s="61">
        <f>IF(O2_net_gen-strip_avg-surf_strip&gt;0,O2_ceil_C*(V_charge/1000000)/(O2_net_gen-strip_avg-surf_strip)*60,9999)</f>
        <v/>
      </c>
      <c r="E80" s="88" t="inlineStr">
        <is>
          <t>LAG-with-removal partner to t_O2_ceiling_lag: cells not yet consuming, so removal (bubble + surface) must offset the full net electrolytic O₂ (O2_net_gen, which already nets the cathodic sink), not the steady surplus. 9999 = removal holds the ceiling (no finite time).</t>
        </is>
      </c>
      <c r="F80" s="20" t="n"/>
    </row>
    <row r="81" ht="24" customHeight="1">
      <c r="A81" s="17" t="inlineStr">
        <is>
          <t>Schedule mode</t>
        </is>
      </c>
      <c r="B81" s="18" t="inlineStr">
        <is>
          <t>sched_mode</t>
        </is>
      </c>
      <c r="C81" s="19" t="inlineStr">
        <is>
          <t>-</t>
        </is>
      </c>
      <c r="D81" s="158" t="inlineStr">
        <is>
          <t>Optimal</t>
        </is>
      </c>
      <c r="E81" s="87" t="inlineStr">
        <is>
          <t>Manual = use the values you type below; Optimal = the model computes &amp; applies the optimum. Dropdown.</t>
        </is>
      </c>
      <c r="F81" s="20" t="n"/>
    </row>
    <row r="82">
      <c r="A82" s="17" t="inlineStr">
        <is>
          <t>Manual pulse duration</t>
        </is>
      </c>
      <c r="B82" s="18" t="inlineStr">
        <is>
          <t>spg_dur_man</t>
        </is>
      </c>
      <c r="C82" s="19" t="inlineStr">
        <is>
          <t>s</t>
        </is>
      </c>
      <c r="D82" s="158" t="n">
        <v>1</v>
      </c>
      <c r="E82" s="87" t="inlineStr">
        <is>
          <t>Your pulse length, used when sched_mode=Manual.</t>
        </is>
      </c>
      <c r="F82" s="20" t="n"/>
    </row>
    <row r="83">
      <c r="A83" s="17" t="inlineStr">
        <is>
          <t>Manual sparge interval</t>
        </is>
      </c>
      <c r="B83" s="18" t="inlineStr">
        <is>
          <t>spg_int_man</t>
        </is>
      </c>
      <c r="C83" s="19" t="inlineStr">
        <is>
          <t>min</t>
        </is>
      </c>
      <c r="D83" s="158" t="n">
        <v>1</v>
      </c>
      <c r="E83" s="87" t="inlineStr">
        <is>
          <t>Your interval, used when sched_mode=Manual.</t>
        </is>
      </c>
      <c r="F83" s="20" t="n"/>
    </row>
    <row r="84">
      <c r="A84" s="17" t="inlineStr">
        <is>
          <t>Target DO fraction (organism optimum / inhibition)</t>
        </is>
      </c>
      <c r="B84" s="18" t="inlineStr">
        <is>
          <t>target_DO_frac</t>
        </is>
      </c>
      <c r="C84" s="19" t="inlineStr">
        <is>
          <t>-</t>
        </is>
      </c>
      <c r="D84" s="101">
        <f>IF(AND(ISNUMBER(DO_opt),ISNUMBER(DO_toxic)),DO_opt/DO_toxic,0.5)</f>
        <v/>
      </c>
      <c r="E84" s="87" t="inlineStr">
        <is>
          <t>Hold DO at ≤ this × the inhibition ceiling. Lower = safer O₂ margin → needs more flushing. Input.</t>
        </is>
      </c>
      <c r="F84" s="20" t="n"/>
    </row>
    <row r="85">
      <c r="A85" s="17" t="inlineStr">
        <is>
          <t>Min carbon supply margin</t>
        </is>
      </c>
      <c r="B85" s="18" t="inlineStr">
        <is>
          <t>carbon_margin_min</t>
        </is>
      </c>
      <c r="C85" s="19" t="inlineStr">
        <is>
          <t>-</t>
        </is>
      </c>
      <c r="D85" s="158" t="n">
        <v>2</v>
      </c>
      <c r="E85" s="87" t="inlineStr">
        <is>
          <t>Required CO₂ supply : fixation demand. Input.</t>
        </is>
      </c>
      <c r="F85" s="20" t="n"/>
    </row>
    <row r="86">
      <c r="A86" s="17" t="inlineStr">
        <is>
          <t>Duty floor — carbon</t>
        </is>
      </c>
      <c r="B86" s="18" t="inlineStr">
        <is>
          <t>duty_carbon</t>
        </is>
      </c>
      <c r="C86" s="19" t="inlineStr">
        <is>
          <t>-</t>
        </is>
      </c>
      <c r="D86" s="61">
        <f>carbon_margin_min*CO2_cons/(nCO2_rate*3600)</f>
        <v/>
      </c>
      <c r="E86" s="131" t="inlineStr">
        <is>
          <t>Duty needed so CO₂ supply ≥ margin × fixation demand.</t>
        </is>
      </c>
      <c r="F86" s="20" t="n"/>
    </row>
    <row r="87" ht="24" customHeight="1">
      <c r="A87" s="17" t="inlineStr">
        <is>
          <t>Duty floor — O₂ venting (lag)</t>
        </is>
      </c>
      <c r="B87" s="18" t="inlineStr">
        <is>
          <t>duty_O2vent</t>
        </is>
      </c>
      <c r="C87" s="19" t="inlineStr">
        <is>
          <t>-</t>
        </is>
      </c>
      <c r="D87" s="61">
        <f>O2_net_gen/(target_DO_frac*(O2_ceil_Pa/P_atm))/(nCO2_rate*3600)</f>
        <v/>
      </c>
      <c r="E87" s="131" t="inlineStr">
        <is>
          <t>Duty so the vented CO₂ throughput carries the worst-case (lag, no uptake) net O₂ out at ≤ target DO. Usually the binding floor.</t>
        </is>
      </c>
      <c r="F87" s="20" t="n"/>
    </row>
    <row r="88" ht="24" customHeight="1">
      <c r="A88" s="17" t="inlineStr">
        <is>
          <t>Optimal duty cycle</t>
        </is>
      </c>
      <c r="B88" s="18" t="inlineStr">
        <is>
          <t>duty_opt</t>
        </is>
      </c>
      <c r="C88" s="19" t="inlineStr">
        <is>
          <t>-</t>
        </is>
      </c>
      <c r="D88" s="61">
        <f>MAX(duty_carbon,duty_O2vent)</f>
        <v/>
      </c>
      <c r="E88" s="131" t="inlineStr">
        <is>
          <t>Least feasible CO₂ (binding of the two floors). O₂-venting binds, not pH (buffer holds pH; over-dose limited by pCO₂ lag).</t>
        </is>
      </c>
      <c r="F88" s="20" t="n"/>
    </row>
    <row r="89">
      <c r="A89" s="17" t="inlineStr">
        <is>
          <t>Max interval — O₂ flush frequency</t>
        </is>
      </c>
      <c r="B89" s="18" t="inlineStr">
        <is>
          <t>spg_int_max</t>
        </is>
      </c>
      <c r="C89" s="19" t="inlineStr">
        <is>
          <t>min</t>
        </is>
      </c>
      <c r="D89" s="61">
        <f>target_DO_frac*t_O2_ceiling_lag</f>
        <v/>
      </c>
      <c r="E89" s="131" t="inlineStr">
        <is>
          <t>Pulses must be frequent enough that DO doesn't spike past target between flushes (lag worst-case).</t>
        </is>
      </c>
      <c r="F89" s="20" t="n"/>
    </row>
    <row r="90">
      <c r="A90" s="17" t="inlineStr">
        <is>
          <t>► OPTIMAL pulse duration</t>
        </is>
      </c>
      <c r="B90" s="18" t="inlineStr">
        <is>
          <t>spg_dur_opt</t>
        </is>
      </c>
      <c r="C90" s="19" t="inlineStr">
        <is>
          <t>s</t>
        </is>
      </c>
      <c r="D90" s="161">
        <f>MAX(pulse_floor,flush_factor*headspace_V/(Q_CO2/60))</f>
        <v/>
      </c>
      <c r="E90" s="103" t="inlineStr">
        <is>
          <t>ANSWER. Shortest reliable pulse → most frequent, smoothest DO, best OD-read windows.</t>
        </is>
      </c>
      <c r="F90" s="20" t="n"/>
    </row>
    <row r="91" ht="24" customHeight="1">
      <c r="A91" s="17" t="inlineStr">
        <is>
          <t>► OPTIMAL sparge interval</t>
        </is>
      </c>
      <c r="B91" s="18" t="inlineStr">
        <is>
          <t>spg_int_opt</t>
        </is>
      </c>
      <c r="C91" s="19" t="inlineStr">
        <is>
          <t>min</t>
        </is>
      </c>
      <c r="D91" s="161">
        <f>MIN(spg_dur_opt/(60*duty_opt),spg_int_max)</f>
        <v/>
      </c>
      <c r="E91" s="103" t="inlineStr">
        <is>
          <t>ANSWER. From optimal duty at the floor pulse, capped by the O₂-flush frequency limit. Set sched_mode=Optimal to apply.</t>
        </is>
      </c>
      <c r="F91" s="20" t="n"/>
    </row>
    <row r="92">
      <c r="A92" s="17" t="inlineStr">
        <is>
          <t xml:space="preserve">  optimal interval (seconds)</t>
        </is>
      </c>
      <c r="B92" s="18" t="inlineStr">
        <is>
          <t>spg_int_opt_s</t>
        </is>
      </c>
      <c r="C92" s="19" t="inlineStr">
        <is>
          <t>s</t>
        </is>
      </c>
      <c r="D92" s="61">
        <f>spg_int_opt*60</f>
        <v/>
      </c>
      <c r="E92" s="103" t="inlineStr">
        <is>
          <t>Convenience: interval in seconds.</t>
        </is>
      </c>
      <c r="F92" s="20" t="n"/>
    </row>
    <row r="93">
      <c r="A93" s="17" t="inlineStr">
        <is>
          <t xml:space="preserve">  resulting duty / binding constraint</t>
        </is>
      </c>
      <c r="B93" s="18" t="inlineStr">
        <is>
          <t>duty_actual</t>
        </is>
      </c>
      <c r="C93" s="19" t="inlineStr">
        <is>
          <t>-</t>
        </is>
      </c>
      <c r="D93" s="61">
        <f>spg_dur_opt/(spg_int_opt*60)</f>
        <v/>
      </c>
      <c r="E93" s="131" t="inlineStr">
        <is>
          <t>Achieved duty at the optimum (= duty_opt unless the flush-frequency cap binds, raising it).</t>
        </is>
      </c>
      <c r="F93" s="20" t="n"/>
    </row>
    <row r="94">
      <c r="A94" s="17" t="inlineStr">
        <is>
          <t xml:space="preserve">  binding constraint</t>
        </is>
      </c>
      <c r="B94" s="18" t="inlineStr">
        <is>
          <t>opt_binding</t>
        </is>
      </c>
      <c r="C94" s="19" t="inlineStr">
        <is>
          <t>-</t>
        </is>
      </c>
      <c r="D94" s="61">
        <f>IF(spg_int_opt&lt;spg_dur_opt/(60*duty_opt)-0.0001,"O2-FREQ",IF(duty_O2vent&gt;=duty_carbon,"O2-VENT","CARBON"))</f>
        <v/>
      </c>
      <c r="E94" s="131" t="inlineStr">
        <is>
          <t>Which limit sets the schedule: O2-VENT (O₂ removal), O2-FREQ (flush frequency), or CARBON.</t>
        </is>
      </c>
      <c r="F94" s="20" t="n"/>
    </row>
    <row r="95">
      <c r="A95" s="17" t="inlineStr">
        <is>
          <t xml:space="preserve">  OD-window check</t>
        </is>
      </c>
      <c r="B95" s="18" t="inlineStr">
        <is>
          <t>od_ok</t>
        </is>
      </c>
      <c r="C95" s="19" t="inlineStr">
        <is>
          <t>-</t>
        </is>
      </c>
      <c r="D95" s="61">
        <f>IF(spg_int_opt*60-spg_dur_opt&gt;=5,"OK","TIGHT")</f>
        <v/>
      </c>
      <c r="E95" s="131" t="inlineStr">
        <is>
          <t>≥5 s gap between pulses for an OD read. Can't measure OD while sparging.</t>
        </is>
      </c>
      <c r="F95" s="20" t="n"/>
    </row>
    <row r="96" ht="36" customHeight="1">
      <c r="A96" s="17" t="inlineStr">
        <is>
          <t>ACCURACY LIMIT — no validated kinetics</t>
        </is>
      </c>
      <c r="B96" s="18" t="inlineStr">
        <is>
          <t>kinetic_caveat</t>
        </is>
      </c>
      <c r="C96" s="19" t="inlineStr">
        <is>
          <t>-</t>
        </is>
      </c>
      <c r="D96" s="61">
        <f>"see note →"</f>
        <v/>
      </c>
      <c r="E96" s="88" t="inlineStr">
        <is>
          <t>Constraint-proxy optimiser, not a fitted growth model — no validated μ(O₂,pH,CO₂) or lag kinetics exist for this system. Gives the lag-minimising direction, not an exact optimum; bounded by etaF, surface kL and the unbuffered-pH simplification. Validate empirically.</t>
        </is>
      </c>
      <c r="F96" s="20" t="n"/>
    </row>
    <row r="97" ht="24" customHeight="1">
      <c r="A97" s="17" t="inlineStr">
        <is>
          <t>Measured surface kLa</t>
        </is>
      </c>
      <c r="B97" s="18" t="inlineStr">
        <is>
          <t>kLa_meas</t>
        </is>
      </c>
      <c r="C97" s="19" t="inlineStr">
        <is>
          <t>1/h</t>
        </is>
      </c>
      <c r="D97" s="158" t="n">
        <v>0</v>
      </c>
      <c r="E97" s="88" t="inlineStr">
        <is>
          <t>Measured surface kLa (gassing-out). 0 = use the §11 estimate. kLa = slope of −LN(1−DO/DO_sat) vs time.</t>
        </is>
      </c>
      <c r="F97" s="20" t="n"/>
    </row>
    <row r="98" ht="24" customHeight="1">
      <c r="A98" s="17" t="inlineStr">
        <is>
          <t>Surface kLa used downstream</t>
        </is>
      </c>
      <c r="B98" s="18" t="inlineStr">
        <is>
          <t>kLa_surf_used</t>
        </is>
      </c>
      <c r="C98" s="19" t="inlineStr">
        <is>
          <t>1/s</t>
        </is>
      </c>
      <c r="D98" s="61">
        <f>IF(kLa_meas&gt;0,kLa_meas/3600,kLa_surf)</f>
        <v/>
      </c>
      <c r="E98" s="131" t="inlineStr">
        <is>
          <t>What §11 actually uses: the measured value if entered, otherwise the theoretical estimate. Swap estimate→truth here once measured.</t>
        </is>
      </c>
      <c r="F98" s="20" t="n"/>
    </row>
    <row r="99">
      <c r="A99" s="20" t="inlineStr">
        <is>
          <t>Min reliable pulse (solenoid floor)</t>
        </is>
      </c>
      <c r="B99" s="20" t="inlineStr">
        <is>
          <t>pulse_floor</t>
        </is>
      </c>
      <c r="C99" s="20" t="inlineStr">
        <is>
          <t>s</t>
        </is>
      </c>
      <c r="D99" s="25">
        <f>min_sparge_cal</f>
        <v/>
      </c>
      <c r="E99" s="20" t="inlineStr">
        <is>
          <t>From Dosing.</t>
        </is>
      </c>
      <c r="F99" s="20" t="n"/>
    </row>
    <row r="100">
      <c r="A100" s="20" t="inlineStr">
        <is>
          <t>Average CO₂ supply rate</t>
        </is>
      </c>
      <c r="B100" s="20" t="inlineStr">
        <is>
          <t>CO2_supply</t>
        </is>
      </c>
      <c r="C100" s="20" t="inlineStr">
        <is>
          <t>mol/h</t>
        </is>
      </c>
      <c r="D100" s="25">
        <f>CO2_pulse*pulses_h</f>
        <v/>
      </c>
      <c r="E100" s="20" t="inlineStr">
        <is>
          <t>From Dosing.</t>
        </is>
      </c>
      <c r="F100" s="20" t="n"/>
    </row>
    <row r="101">
      <c r="A101" s="20" t="inlineStr">
        <is>
          <t>Ideal gas constant</t>
        </is>
      </c>
      <c r="B101" s="20" t="inlineStr">
        <is>
          <t>R_gas</t>
        </is>
      </c>
      <c r="C101" s="20" t="inlineStr">
        <is>
          <t>J/mol/K</t>
        </is>
      </c>
      <c r="D101" s="104" t="n">
        <v>8.314462618</v>
      </c>
      <c r="E101" s="20" t="inlineStr">
        <is>
          <t>From Dosing.</t>
        </is>
      </c>
      <c r="F101" s="20" t="n"/>
    </row>
    <row r="102">
      <c r="A102" s="20" t="inlineStr">
        <is>
          <t>CO₂ volumetric flow rate</t>
        </is>
      </c>
      <c r="B102" s="20" t="inlineStr">
        <is>
          <t>Q_CO2</t>
        </is>
      </c>
      <c r="C102" s="20" t="inlineStr">
        <is>
          <t>mL/min</t>
        </is>
      </c>
      <c r="D102" s="25">
        <f>IF(has_cal&gt;0,flowrate_cal*60,NA())</f>
        <v/>
      </c>
      <c r="E102" s="20" t="inlineStr">
        <is>
          <t>From Dosing.</t>
        </is>
      </c>
      <c r="F102" s="20" t="n"/>
    </row>
    <row r="103">
      <c r="A103" s="20" t="inlineStr">
        <is>
          <t>Molar mass CO₂</t>
        </is>
      </c>
      <c r="B103" s="20" t="inlineStr">
        <is>
          <t>M_CO2</t>
        </is>
      </c>
      <c r="C103" s="20" t="inlineStr">
        <is>
          <t>g/mol</t>
        </is>
      </c>
      <c r="D103" s="104" t="n">
        <v>44.0095</v>
      </c>
      <c r="E103" s="20" t="inlineStr">
        <is>
          <t>From Dosing.</t>
        </is>
      </c>
      <c r="F103" s="20" t="n"/>
    </row>
    <row r="104">
      <c r="A104" s="20" t="inlineStr">
        <is>
          <t>CO₂ molar flow during sparge</t>
        </is>
      </c>
      <c r="B104" s="20" t="inlineStr">
        <is>
          <t>nCO2_rate</t>
        </is>
      </c>
      <c r="C104" s="20" t="inlineStr">
        <is>
          <t>mol/s</t>
        </is>
      </c>
      <c r="D104" s="25">
        <f>P_atm*(Q_CO2/1000000/60)/(R_gas*T_K)</f>
        <v/>
      </c>
      <c r="E104" s="20" t="inlineStr">
        <is>
          <t>From Dosing.</t>
        </is>
      </c>
      <c r="F104" s="20" t="n"/>
    </row>
    <row r="105">
      <c r="A105" s="20" t="inlineStr">
        <is>
          <t>Sparge duty cycle</t>
        </is>
      </c>
      <c r="B105" s="20" t="inlineStr">
        <is>
          <t>duty</t>
        </is>
      </c>
      <c r="C105" s="20" t="inlineStr">
        <is>
          <t>-</t>
        </is>
      </c>
      <c r="D105" s="25">
        <f>spg_dur/(spg_int*60)</f>
        <v/>
      </c>
      <c r="E105" s="20" t="inlineStr">
        <is>
          <t>From Dosing.</t>
        </is>
      </c>
      <c r="F105" s="20" t="n"/>
    </row>
    <row r="106">
      <c r="A106" s="20" t="inlineStr">
        <is>
          <t>CO2 per pulse (headspace volumes)</t>
        </is>
      </c>
      <c r="B106" s="20" t="inlineStr">
        <is>
          <t>flush_factor</t>
        </is>
      </c>
      <c r="C106" s="20" t="inlineStr">
        <is>
          <t>-</t>
        </is>
      </c>
      <c r="D106" s="104" t="n">
        <v>1</v>
      </c>
      <c r="E106" s="20" t="inlineStr">
        <is>
          <t>From Dosing.</t>
        </is>
      </c>
      <c r="F106" s="20" t="n"/>
    </row>
    <row r="107">
      <c r="A107" s="143" t="inlineStr">
        <is>
          <t>STEADY-STATE DO CHECK (surface stripping vs organism band)</t>
        </is>
      </c>
      <c r="B107" s="20" t="n"/>
      <c r="C107" s="20" t="n"/>
      <c r="D107" s="20" t="n"/>
      <c r="E107" s="20" t="n"/>
      <c r="F107" s="20" t="n"/>
    </row>
    <row r="108">
      <c r="A108" s="20" t="inlineStr">
        <is>
          <t>Steady-state DO under surface stripping</t>
        </is>
      </c>
      <c r="B108" s="20" t="inlineStr">
        <is>
          <t>DO_ss</t>
        </is>
      </c>
      <c r="C108" s="20" t="inlineStr">
        <is>
          <t>mg/L</t>
        </is>
      </c>
      <c r="D108" s="25">
        <f>O2_excess/(kLa_surf_used*3600*(V_charge/1000000))*32</f>
        <v/>
      </c>
      <c r="E108" s="20" t="n"/>
      <c r="F108" s="20" t="n"/>
    </row>
    <row r="109">
      <c r="A109" s="20" t="inlineStr">
        <is>
          <t xml:space="preserve">  DO_ss vs optimum (organism)</t>
        </is>
      </c>
      <c r="B109" s="20" t="inlineStr">
        <is>
          <t>DO_ss_vs_opt</t>
        </is>
      </c>
      <c r="C109" s="20" t="n"/>
      <c r="D109" s="25">
        <f>IF(ISNUMBER(DO_opt),IF(DO_ss&lt;=DO_opt,"at/under optimum",IF(DO_ss&lt;DO_impair,"above optimum, under impairment","OVER IMPAIRMENT - surface strip insufficient")),"organism optimum unknown")</f>
        <v/>
      </c>
      <c r="E109" s="20" t="n"/>
      <c r="F109" s="20" t="n"/>
    </row>
    <row r="110">
      <c r="A110" s="20" t="inlineStr">
        <is>
          <t xml:space="preserve">  DO_ss vs minimum (organism)</t>
        </is>
      </c>
      <c r="B110" s="20" t="inlineStr">
        <is>
          <t>DO_ss_vs_min</t>
        </is>
      </c>
      <c r="C110" s="20" t="n"/>
      <c r="D110" s="25">
        <f>IF(ISNUMBER(DO_min),IF(DO_ss&gt;=DO_min,"above minimum","BELOW MINIMUM"),"minimum DO unknown - measure")</f>
        <v/>
      </c>
      <c r="E110" s="20" t="n"/>
      <c r="F110" s="20" t="n"/>
    </row>
    <row r="111">
      <c r="A111" s="20" t="inlineStr">
        <is>
          <t>Tip-speed shear flag (&lt;1.5 m/s)</t>
        </is>
      </c>
      <c r="B111" s="20" t="inlineStr">
        <is>
          <t>tip_warn</t>
        </is>
      </c>
      <c r="C111" s="20" t="n"/>
      <c r="D111" s="25">
        <f>IF(tip_speed&gt;1.5,"TIP SPEED &gt; 1.5 m/s","OK")</f>
        <v/>
      </c>
      <c r="E111" s="105" t="inlineStr">
        <is>
          <t>Conservative shear limit: &lt;1.5 m/s impeller-tip velocity recommended to avoid adverse cell-growth effects (BioProcess International, cell-culture norm); precautionary for robust HOB.</t>
        </is>
      </c>
      <c r="F111" s="20" t="n"/>
    </row>
    <row r="112">
      <c r="A112" s="20" t="inlineStr">
        <is>
          <t>Interval if surface stripping handles O2 (carbon-limited)</t>
        </is>
      </c>
      <c r="B112" s="20" t="inlineStr">
        <is>
          <t>spg_int_carbon</t>
        </is>
      </c>
      <c r="C112" s="20" t="inlineStr">
        <is>
          <t>min</t>
        </is>
      </c>
      <c r="D112" s="25">
        <f>spg_dur_opt/(60*duty_carbon)</f>
        <v/>
      </c>
      <c r="E112" s="20" t="n"/>
      <c r="F112" s="20" t="n"/>
    </row>
    <row r="113">
      <c r="A113" s="20" t="inlineStr">
        <is>
          <t>Schedule regime (which interval applies)</t>
        </is>
      </c>
      <c r="B113" s="20" t="inlineStr">
        <is>
          <t>sched_regime</t>
        </is>
      </c>
      <c r="C113" s="20" t="n"/>
      <c r="D113" s="25">
        <f>IF(ISNUMBER(DO_ss),IF(DO_ss&lt;DO_impair,"Surface stripping holds DO under impairment - sparge is CARBON-limited (long interval); the O2-limited interval is the conservative fallback until kL_surf is measured","Surface stripping insufficient - sparge must vent O2 - use the O2-limited interval"),"organism DO unknown")</f>
        <v/>
      </c>
      <c r="E113" s="105" t="inlineStr">
        <is>
          <t>Resolved by measuring kL_surf (improvement #1).</t>
        </is>
      </c>
      <c r="F113" s="20" t="n"/>
    </row>
    <row r="114">
      <c r="A114" s="143" t="inlineStr">
        <is>
          <t>CO₂ DOSING &amp; SCHEDULE (folded from Dosing)</t>
        </is>
      </c>
      <c r="B114" s="20" t="n"/>
      <c r="C114" s="20" t="n"/>
      <c r="D114" s="20" t="n"/>
      <c r="E114" s="20" t="n"/>
      <c r="F114" s="20" t="n"/>
    </row>
    <row r="115">
      <c r="A115" s="20" t="inlineStr">
        <is>
          <t>Reactor (calibration key)</t>
        </is>
      </c>
      <c r="B115" s="20" t="inlineStr">
        <is>
          <t>Reactor</t>
        </is>
      </c>
      <c r="C115" s="20" t="n"/>
      <c r="D115" s="45">
        <f>Summary!$D$2</f>
        <v/>
      </c>
      <c r="E115" s="20" t="n"/>
      <c r="F115" s="20" t="n"/>
    </row>
    <row r="116">
      <c r="A116" s="20" t="inlineStr">
        <is>
          <t>latest calibration date</t>
        </is>
      </c>
      <c r="B116" s="20" t="inlineStr">
        <is>
          <t>latest_date</t>
        </is>
      </c>
      <c r="C116" s="20" t="n"/>
      <c r="D116" s="106">
        <f>SUMPRODUCT(MAX(('CO2 flows'!$A$4:$A$201=Reactor)*('CO2 flows'!$J$4:$J$201&gt;0)*'CO2 flows'!$B$4:$B$201))</f>
        <v/>
      </c>
      <c r="E116" s="20" t="n"/>
      <c r="F116" s="20" t="n"/>
    </row>
    <row r="117">
      <c r="A117" s="20" t="inlineStr">
        <is>
          <t>flowrate (calibrated)</t>
        </is>
      </c>
      <c r="B117" s="20" t="inlineStr">
        <is>
          <t>flowrate_cal</t>
        </is>
      </c>
      <c r="C117" s="20" t="inlineStr">
        <is>
          <t>ml/s</t>
        </is>
      </c>
      <c r="D117" s="106">
        <f>SUMPRODUCT(('CO2 flows'!$A$4:$A$201=Reactor)*('CO2 flows'!$B$4:$B$201=latest_date)*'CO2 flows'!$J$4:$J$201)/MAX(1,SUMPRODUCT(('CO2 flows'!$A$4:$A$201=Reactor)*('CO2 flows'!$B$4:$B$201=latest_date)*('CO2 flows'!$J$4:$J$201&gt;0)*1))</f>
        <v/>
      </c>
      <c r="E117" s="20" t="n"/>
      <c r="F117" s="20" t="n"/>
    </row>
    <row r="118">
      <c r="A118" s="20" t="inlineStr">
        <is>
          <t>min sparge (calibrated)</t>
        </is>
      </c>
      <c r="B118" s="20" t="inlineStr">
        <is>
          <t>min_sparge_cal</t>
        </is>
      </c>
      <c r="C118" s="20" t="inlineStr">
        <is>
          <t>s</t>
        </is>
      </c>
      <c r="D118" s="106">
        <f>SUMPRODUCT(('CO2 flows'!$A$4:$A$201=Reactor)*('CO2 flows'!$B$4:$B$201=latest_date)*'CO2 flows'!$I$4:$I$201)/MAX(1,SUMPRODUCT(('CO2 flows'!$A$4:$A$201=Reactor)*('CO2 flows'!$B$4:$B$201=latest_date)*('CO2 flows'!$J$4:$J$201&gt;0)*1))</f>
        <v/>
      </c>
      <c r="E118" s="20" t="n"/>
      <c r="F118" s="20" t="n"/>
    </row>
    <row r="119">
      <c r="A119" s="20" t="inlineStr">
        <is>
          <t>reactor has a calibration row?</t>
        </is>
      </c>
      <c r="B119" s="20" t="inlineStr">
        <is>
          <t>has_cal</t>
        </is>
      </c>
      <c r="C119" s="20" t="inlineStr">
        <is>
          <t>count</t>
        </is>
      </c>
      <c r="D119" s="106">
        <f>SUMPRODUCT(('CO2 flows'!$A$4:$A$201=Reactor)*('CO2 flows'!$J$4:$J$201&gt;0)*1)</f>
        <v/>
      </c>
      <c r="E119" s="20" t="n"/>
      <c r="F119" s="20" t="n"/>
    </row>
    <row r="120">
      <c r="A120" s="20" t="inlineStr">
        <is>
          <t>calibration source</t>
        </is>
      </c>
      <c r="B120" s="20" t="inlineStr">
        <is>
          <t>cal_warning</t>
        </is>
      </c>
      <c r="C120" s="20" t="n"/>
      <c r="D120" s="25">
        <f>IF(has_cal&gt;0,"calibrated: "&amp;Reactor,"NO CALIBRATION for "&amp;Reactor&amp;" - add a row in CO2 flows with nominal flowrate + minimum sparge")</f>
        <v/>
      </c>
      <c r="E120" s="20" t="n"/>
      <c r="F120" s="20" t="n"/>
    </row>
    <row r="121">
      <c r="A121" s="20" t="inlineStr">
        <is>
          <t>Sparge duration per pulse</t>
        </is>
      </c>
      <c r="B121" s="20" t="inlineStr">
        <is>
          <t>spg_dur</t>
        </is>
      </c>
      <c r="C121" s="20" t="inlineStr">
        <is>
          <t>s</t>
        </is>
      </c>
      <c r="D121" s="25">
        <f>IF(sched_mode="Optimal",spg_dur_opt,IF(sched_mode="Manual",spg_dur_man,NA()))</f>
        <v/>
      </c>
      <c r="E121" s="20" t="n"/>
      <c r="F121" s="20" t="n"/>
    </row>
    <row r="122">
      <c r="A122" s="20" t="inlineStr">
        <is>
          <t>Sparge interval</t>
        </is>
      </c>
      <c r="B122" s="20" t="inlineStr">
        <is>
          <t>spg_int</t>
        </is>
      </c>
      <c r="C122" s="20" t="inlineStr">
        <is>
          <t>min</t>
        </is>
      </c>
      <c r="D122" s="25">
        <f>IF(sched_mode="Optimal",spg_int_opt,IF(sched_mode="Manual",spg_int_man,NA()))</f>
        <v/>
      </c>
      <c r="E122" s="20" t="n"/>
      <c r="F122" s="20" t="n"/>
    </row>
    <row r="123">
      <c r="A123" s="20" t="inlineStr">
        <is>
          <t>CO₂ per pulse</t>
        </is>
      </c>
      <c r="B123" s="20" t="inlineStr">
        <is>
          <t>CO2_pulse</t>
        </is>
      </c>
      <c r="C123" s="20" t="inlineStr">
        <is>
          <t>mol</t>
        </is>
      </c>
      <c r="D123" s="25">
        <f>nCO2_rate*spg_dur</f>
        <v/>
      </c>
      <c r="E123" s="20" t="n"/>
      <c r="F123" s="20" t="n"/>
    </row>
    <row r="124">
      <c r="A124" s="20" t="inlineStr">
        <is>
          <t>Pulses per hour</t>
        </is>
      </c>
      <c r="B124" s="20" t="inlineStr">
        <is>
          <t>pulses_h</t>
        </is>
      </c>
      <c r="C124" s="20" t="inlineStr">
        <is>
          <t>/h</t>
        </is>
      </c>
      <c r="D124" s="25">
        <f>60/spg_int</f>
        <v/>
      </c>
      <c r="E124" s="20" t="n"/>
      <c r="F124" s="20" t="n"/>
    </row>
    <row r="125">
      <c r="A125" s="20" t="inlineStr">
        <is>
          <t>Pulses per day</t>
        </is>
      </c>
      <c r="B125" s="20" t="inlineStr">
        <is>
          <t>pulses_d</t>
        </is>
      </c>
      <c r="C125" s="20" t="inlineStr">
        <is>
          <t>/d</t>
        </is>
      </c>
      <c r="D125" s="25">
        <f>pulses_h*24</f>
        <v/>
      </c>
      <c r="E125" s="20" t="n"/>
      <c r="F125" s="20" t="n"/>
    </row>
    <row r="126">
      <c r="A126" s="20" t="inlineStr">
        <is>
          <t>CO₂ supply : carbon demand</t>
        </is>
      </c>
      <c r="B126" s="20" t="inlineStr">
        <is>
          <t>CO2_sd_ratio</t>
        </is>
      </c>
      <c r="C126" s="20" t="inlineStr">
        <is>
          <t>×</t>
        </is>
      </c>
      <c r="D126" s="25">
        <f>IF(CO2_cons&gt;0,CO2_supply/CO2_cons,NA())</f>
        <v/>
      </c>
      <c r="E126" s="20" t="n"/>
      <c r="F126" s="20" t="n"/>
    </row>
    <row r="127">
      <c r="A127" s="20" t="inlineStr">
        <is>
          <t>O₂ accumulated per interval</t>
        </is>
      </c>
      <c r="B127" s="20" t="inlineStr">
        <is>
          <t>O2_accum</t>
        </is>
      </c>
      <c r="C127" s="20" t="inlineStr">
        <is>
          <t>mol</t>
        </is>
      </c>
      <c r="D127" s="25">
        <f>O2_excess/60*spg_int</f>
        <v/>
      </c>
      <c r="E127" s="20" t="n"/>
      <c r="F127" s="20" t="n"/>
    </row>
    <row r="128">
      <c r="A128" s="20" t="inlineStr">
        <is>
          <t>O₂ removable per pulse</t>
        </is>
      </c>
      <c r="B128" s="20" t="inlineStr">
        <is>
          <t>O2_strip_pulse</t>
        </is>
      </c>
      <c r="C128" s="20" t="inlineStr">
        <is>
          <t>mol</t>
        </is>
      </c>
      <c r="D128" s="25">
        <f>strip_sparge/3600*spg_dur</f>
        <v/>
      </c>
      <c r="E128" s="20" t="n"/>
      <c r="F128" s="20" t="n"/>
    </row>
    <row r="129">
      <c r="A129" s="20" t="inlineStr">
        <is>
          <t>Per-pulse balance</t>
        </is>
      </c>
      <c r="B129" s="20" t="inlineStr">
        <is>
          <t>sched_bal</t>
        </is>
      </c>
      <c r="C129" s="20" t="inlineStr">
        <is>
          <t>×</t>
        </is>
      </c>
      <c r="D129" s="25">
        <f>IF(O2_accum&gt;0,O2_strip_pulse/O2_accum,NA())</f>
        <v/>
      </c>
      <c r="E129" s="20" t="n"/>
      <c r="F129" s="20" t="n"/>
    </row>
    <row r="130">
      <c r="A130" s="20" t="inlineStr">
        <is>
          <t>Duration floor check</t>
        </is>
      </c>
      <c r="B130" s="20" t="inlineStr">
        <is>
          <t>dur_ok</t>
        </is>
      </c>
      <c r="C130" s="20" t="n"/>
      <c r="D130" s="25">
        <f>IF(spg_dur&gt;=pulse_floor,"OK","LOW")</f>
        <v/>
      </c>
      <c r="E130" s="20" t="n"/>
      <c r="F130" s="20" t="n"/>
    </row>
    <row r="131">
      <c r="A131" s="20" t="inlineStr">
        <is>
          <t>Critical surface kL_surf (DO_ss = impairment DO)</t>
        </is>
      </c>
      <c r="B131" s="20" t="inlineStr">
        <is>
          <t>kL_surf_crit</t>
        </is>
      </c>
      <c r="C131" s="20" t="inlineStr">
        <is>
          <t>m/s</t>
        </is>
      </c>
      <c r="D131" s="25">
        <f>O2_excess*32/(DO_impair*3600*(V_charge/1000000)*a_surf)</f>
        <v/>
      </c>
      <c r="E131" s="141" t="inlineStr">
        <is>
          <t>Measured kL_surf must EXCEED this or DO_ss breaches impairment; current model kL_surf vs this = the safety margin. See protocol surface-kla.md</t>
        </is>
      </c>
      <c r="F131" s="20" t="n"/>
    </row>
    <row r="132">
      <c r="A132" s="20" t="n"/>
      <c r="B132" s="20" t="n"/>
      <c r="C132" s="20" t="n"/>
      <c r="D132" s="33" t="n"/>
      <c r="E132" s="20" t="n"/>
      <c r="F132" s="20" t="n"/>
    </row>
  </sheetData>
  <conditionalFormatting sqref="D32">
    <cfRule type="colorScale" priority="9">
      <colorScale>
        <cfvo type="num" val="0.1"/>
        <cfvo type="num" val="1"/>
        <cfvo type="num" val="2"/>
        <color rgb="FFF8696B"/>
        <color rgb="FFFFEB84"/>
        <color rgb="FF63BE7B"/>
      </colorScale>
    </cfRule>
  </conditionalFormatting>
  <conditionalFormatting sqref="D35">
    <cfRule type="cellIs" priority="1" operator="equal" dxfId="3">
      <formula>"OK"</formula>
    </cfRule>
    <cfRule type="cellIs" priority="2" operator="equal" dxfId="5">
      <formula>"RISK"</formula>
    </cfRule>
  </conditionalFormatting>
  <conditionalFormatting sqref="D39">
    <cfRule type="colorScale" priority="12">
      <colorScale>
        <cfvo type="num" val="0"/>
        <cfvo type="num" val="2"/>
        <cfvo type="num" val="4"/>
        <color rgb="FF63BE7B"/>
        <color rgb="FFFFEB84"/>
        <color rgb="FFF8696B"/>
      </colorScale>
    </cfRule>
  </conditionalFormatting>
  <conditionalFormatting sqref="D41">
    <cfRule type="colorScale" priority="10">
      <colorScale>
        <cfvo type="num" val="5"/>
        <cfvo type="num" val="15"/>
        <cfvo type="num" val="60"/>
        <color rgb="FFF8696B"/>
        <color rgb="FFFFEB84"/>
        <color rgb="FF63BE7B"/>
      </colorScale>
    </cfRule>
  </conditionalFormatting>
  <conditionalFormatting sqref="D51">
    <cfRule type="colorScale" priority="8">
      <colorScale>
        <cfvo type="num" val="0.5"/>
        <cfvo type="num" val="1"/>
        <cfvo type="num" val="3"/>
        <color rgb="FFF8696B"/>
        <color rgb="FFFFEB84"/>
        <color rgb="FF63BE7B"/>
      </colorScale>
    </cfRule>
  </conditionalFormatting>
  <conditionalFormatting sqref="D55">
    <cfRule type="colorScale" priority="7">
      <colorScale>
        <cfvo type="num" val="0.5"/>
        <cfvo type="num" val="1"/>
        <cfvo type="num" val="3"/>
        <color rgb="FFF8696B"/>
        <color rgb="FFFFEB84"/>
        <color rgb="FF63BE7B"/>
      </colorScale>
    </cfRule>
  </conditionalFormatting>
  <conditionalFormatting sqref="D56">
    <cfRule type="colorScale" priority="11">
      <colorScale>
        <cfvo type="num" val="5"/>
        <cfvo type="num" val="15"/>
        <cfvo type="num" val="60"/>
        <color rgb="FFF8696B"/>
        <color rgb="FFFFEB84"/>
        <color rgb="FF63BE7B"/>
      </colorScale>
    </cfRule>
  </conditionalFormatting>
  <conditionalFormatting sqref="D64">
    <cfRule type="expression" priority="16" dxfId="1">
      <formula>ISNUMBER(SEARCH("OOR",D64))</formula>
    </cfRule>
  </conditionalFormatting>
  <conditionalFormatting sqref="D72">
    <cfRule type="cellIs" priority="5" operator="equal" dxfId="3">
      <formula>"OK"</formula>
    </cfRule>
    <cfRule type="cellIs" priority="6" operator="equal" dxfId="2">
      <formula>"TIGHT"</formula>
    </cfRule>
  </conditionalFormatting>
  <conditionalFormatting sqref="D110:D112">
    <cfRule type="expression" priority="14" dxfId="1">
      <formula>OR(ISNUMBER(SEARCH("RISK",D110)),ISNUMBER(SEARCH("OVER",D110)),ISNUMBER(SEARCH("BELOW",D110)),ISNUMBER(SEARCH("EXCEED",D110)),ISNUMBER(SEARCH("NO CALIB",D110)),ISNUMBER(SEARCH("NEAREST",D110)),ISNUMBER(SEARCH("EXPLOSIVE",D110)),ISNUMBER(SEARCH("LOW",D110)),ISNUMBER(SEARCH("TIGHT",D110)),ISNUMBER(SEARCH("insufficient",D110)))</formula>
    </cfRule>
    <cfRule type="expression" priority="15" dxfId="0">
      <formula>OR(ISNUMBER(SEARCH("OK",D110)),ISNUMBER(SEARCH("calibrated",D110)),ISNUMBER(SEARCH("under optimum",D110)),ISNUMBER(SEARCH("above min",D110)),ISNUMBER(SEARCH("exact",D110)))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9"/>
    <outlinePr summaryBelow="1" summaryRight="1"/>
    <pageSetUpPr/>
  </sheetPr>
  <dimension ref="A1:Q76"/>
  <sheetViews>
    <sheetView tabSelected="1" topLeftCell="A9" workbookViewId="0">
      <selection activeCell="I4" sqref="I4"/>
    </sheetView>
  </sheetViews>
  <sheetFormatPr baseColWidth="10" defaultRowHeight="15"/>
  <cols>
    <col width="15" customWidth="1" min="1" max="9"/>
    <col width="14.33203125" bestFit="1" customWidth="1" min="10" max="10"/>
    <col width="62.1640625" bestFit="1" customWidth="1" min="12" max="12"/>
  </cols>
  <sheetData>
    <row r="1" ht="16" customHeight="1">
      <c r="A1" s="4" t="inlineStr">
        <is>
          <t>CO₂ DOSING FLOWRATES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5" t="inlineStr">
        <is>
          <t>Reactor</t>
        </is>
      </c>
      <c r="B2" s="5" t="inlineStr">
        <is>
          <t>date</t>
        </is>
      </c>
      <c r="C2" s="5" t="inlineStr">
        <is>
          <t>cylinder size</t>
        </is>
      </c>
      <c r="D2" s="5" t="inlineStr">
        <is>
          <t>observed volume*</t>
        </is>
      </c>
      <c r="E2" s="5" t="inlineStr">
        <is>
          <t>volume</t>
        </is>
      </c>
      <c r="F2" s="5" t="inlineStr">
        <is>
          <t>time</t>
        </is>
      </c>
      <c r="G2" s="5" t="inlineStr">
        <is>
          <t>flowrate</t>
        </is>
      </c>
      <c r="H2" s="5" t="inlineStr">
        <is>
          <t>average flowrate</t>
        </is>
      </c>
      <c r="I2" s="5" t="inlineStr">
        <is>
          <t>minimum sparge</t>
        </is>
      </c>
      <c r="J2" s="5" t="inlineStr">
        <is>
          <t>nominal flowrate</t>
        </is>
      </c>
      <c r="K2" s="3" t="n"/>
      <c r="L2" s="7" t="inlineStr">
        <is>
          <t>KEY</t>
        </is>
      </c>
      <c r="M2" s="3" t="n"/>
      <c r="N2" s="6" t="n"/>
      <c r="O2" s="3" t="n"/>
      <c r="P2" s="3" t="n"/>
      <c r="Q2" s="3" t="n"/>
    </row>
    <row r="3">
      <c r="A3" s="5" t="n"/>
      <c r="B3" s="5" t="n"/>
      <c r="C3" s="5" t="inlineStr">
        <is>
          <t>ml</t>
        </is>
      </c>
      <c r="D3" s="5" t="inlineStr">
        <is>
          <t>ml</t>
        </is>
      </c>
      <c r="E3" s="5" t="inlineStr">
        <is>
          <t>ml</t>
        </is>
      </c>
      <c r="F3" s="5" t="inlineStr">
        <is>
          <t>s</t>
        </is>
      </c>
      <c r="G3" s="5" t="inlineStr">
        <is>
          <t>ml/s</t>
        </is>
      </c>
      <c r="H3" s="5" t="inlineStr">
        <is>
          <t>ml/s</t>
        </is>
      </c>
      <c r="I3" s="5" t="inlineStr">
        <is>
          <t>s</t>
        </is>
      </c>
      <c r="J3" s="5" t="inlineStr">
        <is>
          <t>ml/s</t>
        </is>
      </c>
      <c r="K3" s="3" t="n"/>
      <c r="L3" s="8" t="inlineStr">
        <is>
          <t>Flowrate set by inspection, as maximum to not give bubbles rising into vial neck</t>
        </is>
      </c>
      <c r="M3" s="3" t="n"/>
      <c r="N3" s="6" t="n"/>
      <c r="O3" s="6" t="n"/>
      <c r="P3" s="6" t="n"/>
      <c r="Q3" s="6" t="n"/>
    </row>
    <row r="4">
      <c r="A4" s="3" t="inlineStr">
        <is>
          <t>ed04</t>
        </is>
      </c>
      <c r="B4" s="9" t="n">
        <v>46190</v>
      </c>
      <c r="C4" s="3" t="n">
        <v>50</v>
      </c>
      <c r="D4" s="3" t="n">
        <v>0</v>
      </c>
      <c r="E4" s="3" t="n"/>
      <c r="F4" s="3" t="n"/>
      <c r="G4" s="3" t="n"/>
      <c r="H4" s="3" t="n"/>
      <c r="I4" s="3" t="n">
        <v>0.25</v>
      </c>
      <c r="J4" s="3" t="n">
        <v>3.33</v>
      </c>
      <c r="K4" s="3" t="n"/>
      <c r="L4" s="10" t="inlineStr">
        <is>
          <t>First or last data point removed as suspect outlier</t>
        </is>
      </c>
      <c r="M4" s="3" t="n"/>
      <c r="N4" s="3" t="n"/>
      <c r="O4" s="11" t="n"/>
      <c r="P4" s="12" t="n"/>
      <c r="Q4" s="3" t="n"/>
    </row>
    <row r="5">
      <c r="A5" s="3" t="inlineStr">
        <is>
          <t>ed04</t>
        </is>
      </c>
      <c r="B5" s="9" t="n">
        <v>46190</v>
      </c>
      <c r="C5" s="3" t="n">
        <v>50</v>
      </c>
      <c r="D5" s="3" t="n">
        <v>50</v>
      </c>
      <c r="E5" s="8">
        <f>D5-D4</f>
        <v/>
      </c>
      <c r="F5" s="8" t="n">
        <v>15</v>
      </c>
      <c r="G5" s="3">
        <f>E5/F5</f>
        <v/>
      </c>
      <c r="H5" s="3">
        <f>AVERAGE(G5)</f>
        <v/>
      </c>
      <c r="I5" s="3" t="n"/>
      <c r="J5" s="3" t="n"/>
      <c r="K5" s="3" t="n"/>
      <c r="L5" s="3" t="n"/>
      <c r="M5" s="3" t="n"/>
      <c r="N5" s="13" t="n"/>
      <c r="O5" s="3" t="n"/>
      <c r="P5" s="3" t="n"/>
      <c r="Q5" s="3" t="n"/>
    </row>
    <row r="6">
      <c r="A6" s="3" t="inlineStr">
        <is>
          <t>ed04</t>
        </is>
      </c>
      <c r="B6" s="9" t="n">
        <v>46190</v>
      </c>
      <c r="C6" s="3" t="n">
        <v>50</v>
      </c>
      <c r="D6" s="3" t="n">
        <v>0</v>
      </c>
      <c r="E6" s="3" t="n"/>
      <c r="F6" s="3" t="n"/>
      <c r="G6" s="3" t="n"/>
      <c r="H6" s="3" t="n"/>
      <c r="I6" s="3" t="n"/>
      <c r="J6" s="3" t="n"/>
      <c r="K6" s="7" t="inlineStr">
        <is>
          <t>Point</t>
        </is>
      </c>
      <c r="L6" s="7" t="inlineStr">
        <is>
          <t>Note</t>
        </is>
      </c>
      <c r="M6" s="3" t="n"/>
      <c r="N6" s="3" t="n"/>
      <c r="O6" s="3" t="n"/>
      <c r="P6" s="3" t="n"/>
      <c r="Q6" s="3" t="n"/>
    </row>
    <row r="7">
      <c r="A7" s="3" t="inlineStr">
        <is>
          <t>ed04</t>
        </is>
      </c>
      <c r="B7" s="9" t="n">
        <v>46190</v>
      </c>
      <c r="C7" s="3" t="n">
        <v>50</v>
      </c>
      <c r="D7" s="3" t="n">
        <v>12</v>
      </c>
      <c r="E7" s="3">
        <f>D7-D6</f>
        <v/>
      </c>
      <c r="F7" s="3" t="n">
        <v>4</v>
      </c>
      <c r="G7" s="3">
        <f>E7/F7</f>
        <v/>
      </c>
      <c r="H7" s="3">
        <f>AVERAGE(G7:G9)</f>
        <v/>
      </c>
      <c r="I7" s="3" t="n"/>
      <c r="J7" s="3" t="n"/>
      <c r="K7" s="3" t="inlineStr">
        <is>
          <t>*</t>
        </is>
      </c>
      <c r="L7" s="3" t="inlineStr">
        <is>
          <t>CO2 collected in measuring cyclinder over CO2-saturated water</t>
        </is>
      </c>
      <c r="M7" s="3" t="n"/>
      <c r="N7" s="6" t="n"/>
      <c r="O7" s="3" t="n"/>
      <c r="P7" s="3" t="n"/>
      <c r="Q7" s="3" t="n"/>
    </row>
    <row r="8">
      <c r="A8" s="3" t="inlineStr">
        <is>
          <t>ed04</t>
        </is>
      </c>
      <c r="B8" s="9" t="n">
        <v>46190</v>
      </c>
      <c r="C8" s="3" t="n">
        <v>50</v>
      </c>
      <c r="D8" s="3" t="n">
        <v>26</v>
      </c>
      <c r="E8" s="3">
        <f>D8-D7</f>
        <v/>
      </c>
      <c r="F8" s="3" t="n">
        <v>4</v>
      </c>
      <c r="G8" s="3">
        <f>E8/F8</f>
        <v/>
      </c>
      <c r="H8" s="3" t="n"/>
      <c r="I8" s="3" t="n"/>
      <c r="J8" s="3" t="n"/>
      <c r="K8" s="9" t="n">
        <v>46190</v>
      </c>
      <c r="L8" s="3" t="inlineStr">
        <is>
          <t>Collected using inlet CO2 tube rather than outlet as MEP vialcap leaking</t>
        </is>
      </c>
      <c r="M8" s="3" t="n"/>
      <c r="N8" s="3" t="n"/>
      <c r="O8" s="3" t="n"/>
      <c r="P8" s="3" t="n"/>
      <c r="Q8" s="3" t="n"/>
    </row>
    <row r="9">
      <c r="A9" s="3" t="inlineStr">
        <is>
          <t>ed04</t>
        </is>
      </c>
      <c r="B9" s="9" t="n">
        <v>46190</v>
      </c>
      <c r="C9" s="3" t="n">
        <v>50</v>
      </c>
      <c r="D9" s="3" t="n">
        <v>40</v>
      </c>
      <c r="E9" s="3">
        <f>D9-D8</f>
        <v/>
      </c>
      <c r="F9" s="3" t="n">
        <v>4</v>
      </c>
      <c r="G9" s="3">
        <f>E9/F9</f>
        <v/>
      </c>
      <c r="H9" s="3" t="n"/>
      <c r="I9" s="3" t="n"/>
      <c r="J9" s="3" t="n"/>
      <c r="K9" s="9" t="n">
        <v>46190</v>
      </c>
      <c r="L9" s="3" t="inlineStr">
        <is>
          <t>Collected over saturated NaHCO3 soln, as Martin  innovated without thinking</t>
        </is>
      </c>
      <c r="M9" s="3" t="n"/>
      <c r="N9" s="3" t="n"/>
      <c r="O9" s="3" t="n"/>
      <c r="P9" s="3" t="n"/>
      <c r="Q9" s="3" t="n"/>
    </row>
    <row r="10">
      <c r="A10" s="3" t="inlineStr">
        <is>
          <t>ed04</t>
        </is>
      </c>
      <c r="B10" s="9" t="n">
        <v>46190</v>
      </c>
      <c r="C10" s="3" t="n">
        <v>50</v>
      </c>
      <c r="D10" s="3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inlineStr">
        <is>
          <t>ed04</t>
        </is>
      </c>
      <c r="B11" s="9" t="n">
        <v>46190</v>
      </c>
      <c r="C11" s="3" t="n">
        <v>50</v>
      </c>
      <c r="D11" s="3" t="n">
        <v>6</v>
      </c>
      <c r="E11" s="3">
        <f>D11-D10</f>
        <v/>
      </c>
      <c r="F11" s="3" t="n">
        <v>2</v>
      </c>
      <c r="G11" s="3">
        <f>E11/F11</f>
        <v/>
      </c>
      <c r="H11" s="3">
        <f>AVERAGE(G11:G16)</f>
        <v/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inlineStr">
        <is>
          <t>ed04</t>
        </is>
      </c>
      <c r="B12" s="9" t="n">
        <v>46190</v>
      </c>
      <c r="C12" s="3" t="n">
        <v>50</v>
      </c>
      <c r="D12" s="3" t="n">
        <v>15</v>
      </c>
      <c r="E12" s="3">
        <f>D12-D11</f>
        <v/>
      </c>
      <c r="F12" s="3" t="n">
        <v>2</v>
      </c>
      <c r="G12" s="3">
        <f>E12/F12</f>
        <v/>
      </c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3">
      <c r="A13" s="3" t="inlineStr">
        <is>
          <t>ed04</t>
        </is>
      </c>
      <c r="B13" s="9" t="n">
        <v>46190</v>
      </c>
      <c r="C13" s="3" t="n">
        <v>50</v>
      </c>
      <c r="D13" s="3" t="n">
        <v>21</v>
      </c>
      <c r="E13" s="3">
        <f>D13-D12</f>
        <v/>
      </c>
      <c r="F13" s="3" t="n">
        <v>2</v>
      </c>
      <c r="G13" s="3">
        <f>E13/F13</f>
        <v/>
      </c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</row>
    <row r="14">
      <c r="A14" s="3" t="inlineStr">
        <is>
          <t>ed04</t>
        </is>
      </c>
      <c r="B14" s="9" t="n">
        <v>46190</v>
      </c>
      <c r="C14" s="3" t="n">
        <v>50</v>
      </c>
      <c r="D14" s="3" t="n">
        <v>29</v>
      </c>
      <c r="E14" s="3">
        <f>D14-D13</f>
        <v/>
      </c>
      <c r="F14" s="3" t="n">
        <v>2</v>
      </c>
      <c r="G14" s="3">
        <f>E14/F14</f>
        <v/>
      </c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</row>
    <row r="15">
      <c r="A15" s="3" t="inlineStr">
        <is>
          <t>ed04</t>
        </is>
      </c>
      <c r="B15" s="9" t="n">
        <v>46190</v>
      </c>
      <c r="C15" s="3" t="n">
        <v>50</v>
      </c>
      <c r="D15" s="3" t="n">
        <v>35</v>
      </c>
      <c r="E15" s="3">
        <f>D15-D14</f>
        <v/>
      </c>
      <c r="F15" s="3" t="n">
        <v>2</v>
      </c>
      <c r="G15" s="3">
        <f>E15/F15</f>
        <v/>
      </c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</row>
    <row r="16">
      <c r="A16" s="3" t="inlineStr">
        <is>
          <t>ed04</t>
        </is>
      </c>
      <c r="B16" s="9" t="n">
        <v>46190</v>
      </c>
      <c r="C16" s="3" t="n">
        <v>50</v>
      </c>
      <c r="D16" s="3" t="n">
        <v>45</v>
      </c>
      <c r="E16" s="3">
        <f>D16-D15</f>
        <v/>
      </c>
      <c r="F16" s="3" t="n">
        <v>2</v>
      </c>
      <c r="G16" s="3">
        <f>E16/F16</f>
        <v/>
      </c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</row>
    <row r="17">
      <c r="A17" s="3" t="inlineStr">
        <is>
          <t>ed04</t>
        </is>
      </c>
      <c r="B17" s="9" t="n">
        <v>46190</v>
      </c>
      <c r="C17" s="3" t="n">
        <v>50</v>
      </c>
      <c r="D17" s="3" t="n">
        <v>0</v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</row>
    <row r="18">
      <c r="A18" s="3" t="inlineStr">
        <is>
          <t>ed04</t>
        </is>
      </c>
      <c r="B18" s="9" t="n">
        <v>46190</v>
      </c>
      <c r="C18" s="3" t="n">
        <v>50</v>
      </c>
      <c r="D18" s="3" t="n">
        <v>4</v>
      </c>
      <c r="E18" s="3">
        <f>D18-D17</f>
        <v/>
      </c>
      <c r="F18" s="3" t="n">
        <v>1</v>
      </c>
      <c r="G18" s="3">
        <f>E18/F18</f>
        <v/>
      </c>
      <c r="H18" s="3">
        <f>AVERAGE(G18:G23)</f>
        <v/>
      </c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</row>
    <row r="19">
      <c r="A19" s="3" t="inlineStr">
        <is>
          <t>ed04</t>
        </is>
      </c>
      <c r="B19" s="9" t="n">
        <v>46190</v>
      </c>
      <c r="C19" s="3" t="n">
        <v>50</v>
      </c>
      <c r="D19" s="3" t="n">
        <v>8</v>
      </c>
      <c r="E19" s="3">
        <f>D19-D18</f>
        <v/>
      </c>
      <c r="F19" s="3" t="n">
        <v>1</v>
      </c>
      <c r="G19" s="3">
        <f>E19/F19</f>
        <v/>
      </c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</row>
    <row r="20">
      <c r="A20" s="3" t="inlineStr">
        <is>
          <t>ed04</t>
        </is>
      </c>
      <c r="B20" s="9" t="n">
        <v>46190</v>
      </c>
      <c r="C20" s="3" t="n">
        <v>50</v>
      </c>
      <c r="D20" s="3" t="n">
        <v>11</v>
      </c>
      <c r="E20" s="3">
        <f>D20-D19</f>
        <v/>
      </c>
      <c r="F20" s="3" t="n">
        <v>1</v>
      </c>
      <c r="G20" s="3">
        <f>E20/F20</f>
        <v/>
      </c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</row>
    <row r="21">
      <c r="A21" s="3" t="inlineStr">
        <is>
          <t>ed04</t>
        </is>
      </c>
      <c r="B21" s="9" t="n">
        <v>46190</v>
      </c>
      <c r="C21" s="3" t="n">
        <v>50</v>
      </c>
      <c r="D21" s="3" t="n">
        <v>15</v>
      </c>
      <c r="E21" s="3">
        <f>D21-D20</f>
        <v/>
      </c>
      <c r="F21" s="3" t="n">
        <v>1</v>
      </c>
      <c r="G21" s="3">
        <f>E21/F21</f>
        <v/>
      </c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</row>
    <row r="22">
      <c r="A22" s="3" t="inlineStr">
        <is>
          <t>ed04</t>
        </is>
      </c>
      <c r="B22" s="9" t="n">
        <v>46190</v>
      </c>
      <c r="C22" s="3" t="n">
        <v>50</v>
      </c>
      <c r="D22" s="3" t="n">
        <v>19</v>
      </c>
      <c r="E22" s="3">
        <f>D22-D21</f>
        <v/>
      </c>
      <c r="F22" s="3" t="n">
        <v>1</v>
      </c>
      <c r="G22" s="3">
        <f>E22/F22</f>
        <v/>
      </c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</row>
    <row r="23">
      <c r="A23" s="3" t="inlineStr">
        <is>
          <t>ed04</t>
        </is>
      </c>
      <c r="B23" s="9" t="n">
        <v>46190</v>
      </c>
      <c r="C23" s="3" t="n">
        <v>50</v>
      </c>
      <c r="D23" s="3" t="n">
        <v>23</v>
      </c>
      <c r="E23" s="3">
        <f>D23-D22</f>
        <v/>
      </c>
      <c r="F23" s="3" t="n">
        <v>1</v>
      </c>
      <c r="G23" s="3">
        <f>E23/F23</f>
        <v/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</row>
    <row r="24">
      <c r="A24" s="3" t="inlineStr">
        <is>
          <t>ed04</t>
        </is>
      </c>
      <c r="B24" s="9" t="n">
        <v>46190</v>
      </c>
      <c r="C24" s="3" t="n">
        <v>50</v>
      </c>
      <c r="D24" s="3" t="n">
        <v>31</v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</row>
    <row r="25">
      <c r="A25" s="3" t="inlineStr">
        <is>
          <t>ed04</t>
        </is>
      </c>
      <c r="B25" s="9" t="n">
        <v>46190</v>
      </c>
      <c r="C25" s="3" t="n">
        <v>50</v>
      </c>
      <c r="D25" s="3" t="n">
        <v>33</v>
      </c>
      <c r="E25" s="3">
        <f>D25-D24</f>
        <v/>
      </c>
      <c r="F25" s="3" t="n">
        <v>0.5</v>
      </c>
      <c r="G25" s="3">
        <f>E25/F25</f>
        <v/>
      </c>
      <c r="H25" s="3">
        <f>AVERAGE(G25:G29)</f>
        <v/>
      </c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</row>
    <row r="26">
      <c r="A26" s="3" t="inlineStr">
        <is>
          <t>ed04</t>
        </is>
      </c>
      <c r="B26" s="9" t="n">
        <v>46190</v>
      </c>
      <c r="C26" s="3" t="n">
        <v>50</v>
      </c>
      <c r="D26" s="3" t="n">
        <v>35</v>
      </c>
      <c r="E26" s="3">
        <f>D26-D25</f>
        <v/>
      </c>
      <c r="F26" s="3" t="n">
        <v>0.5</v>
      </c>
      <c r="G26" s="3">
        <f>E26/F26</f>
        <v/>
      </c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</row>
    <row r="27">
      <c r="A27" s="3" t="inlineStr">
        <is>
          <t>ed04</t>
        </is>
      </c>
      <c r="B27" s="9" t="n">
        <v>46190</v>
      </c>
      <c r="C27" s="3" t="n">
        <v>50</v>
      </c>
      <c r="D27" s="3" t="n">
        <v>37</v>
      </c>
      <c r="E27" s="3">
        <f>D27-D26</f>
        <v/>
      </c>
      <c r="F27" s="3" t="n">
        <v>0.5</v>
      </c>
      <c r="G27" s="3">
        <f>E27/F27</f>
        <v/>
      </c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</row>
    <row r="28">
      <c r="A28" s="3" t="inlineStr">
        <is>
          <t>ed04</t>
        </is>
      </c>
      <c r="B28" s="9" t="n">
        <v>46190</v>
      </c>
      <c r="C28" s="3" t="n">
        <v>50</v>
      </c>
      <c r="D28" s="3" t="n">
        <v>39</v>
      </c>
      <c r="E28" s="3">
        <f>D28-D27</f>
        <v/>
      </c>
      <c r="F28" s="3" t="n">
        <v>0.5</v>
      </c>
      <c r="G28" s="3">
        <f>E28/F28</f>
        <v/>
      </c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</row>
    <row r="29">
      <c r="A29" s="3" t="inlineStr">
        <is>
          <t>ed04</t>
        </is>
      </c>
      <c r="B29" s="9" t="n">
        <v>46190</v>
      </c>
      <c r="C29" s="3" t="n">
        <v>50</v>
      </c>
      <c r="D29" s="3" t="n">
        <v>41</v>
      </c>
      <c r="E29" s="3">
        <f>D29-D28</f>
        <v/>
      </c>
      <c r="F29" s="3" t="n">
        <v>0.5</v>
      </c>
      <c r="G29" s="3">
        <f>E29/F29</f>
        <v/>
      </c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</row>
    <row r="30">
      <c r="A30" s="3" t="inlineStr">
        <is>
          <t>ed04</t>
        </is>
      </c>
      <c r="B30" s="9" t="n">
        <v>46190</v>
      </c>
      <c r="C30" s="3" t="n">
        <v>50</v>
      </c>
      <c r="D30" s="3" t="n">
        <v>42</v>
      </c>
      <c r="E30" s="3">
        <f>D30-D29</f>
        <v/>
      </c>
      <c r="F30" s="3" t="n">
        <v>0.25</v>
      </c>
      <c r="G30" s="3">
        <f>E30/F30</f>
        <v/>
      </c>
      <c r="H30" s="3">
        <f>AVERAGE(G30:G34)</f>
        <v/>
      </c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</row>
    <row r="31">
      <c r="A31" s="3" t="inlineStr">
        <is>
          <t>ed04</t>
        </is>
      </c>
      <c r="B31" s="9" t="n">
        <v>46190</v>
      </c>
      <c r="C31" s="3" t="n">
        <v>50</v>
      </c>
      <c r="D31" s="3" t="n">
        <v>43</v>
      </c>
      <c r="E31" s="3">
        <f>D31-D30</f>
        <v/>
      </c>
      <c r="F31" s="3" t="n">
        <v>0.25</v>
      </c>
      <c r="G31" s="3">
        <f>E31/F31</f>
        <v/>
      </c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</row>
    <row r="32">
      <c r="A32" s="3" t="inlineStr">
        <is>
          <t>ed04</t>
        </is>
      </c>
      <c r="B32" s="9" t="n">
        <v>46190</v>
      </c>
      <c r="C32" s="3" t="n">
        <v>50</v>
      </c>
      <c r="D32" s="3" t="n">
        <v>44</v>
      </c>
      <c r="E32" s="3">
        <f>D32-D31</f>
        <v/>
      </c>
      <c r="F32" s="3" t="n">
        <v>0.25</v>
      </c>
      <c r="G32" s="3">
        <f>E32/F32</f>
        <v/>
      </c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</row>
    <row r="33">
      <c r="A33" s="3" t="inlineStr">
        <is>
          <t>ed04</t>
        </is>
      </c>
      <c r="B33" s="9" t="n">
        <v>46190</v>
      </c>
      <c r="C33" s="3" t="n">
        <v>50</v>
      </c>
      <c r="D33" s="3" t="n">
        <v>45</v>
      </c>
      <c r="E33" s="3">
        <f>D33-D32</f>
        <v/>
      </c>
      <c r="F33" s="3" t="n">
        <v>0.25</v>
      </c>
      <c r="G33" s="3">
        <f>E33/F33</f>
        <v/>
      </c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</row>
    <row r="34">
      <c r="A34" s="3" t="inlineStr">
        <is>
          <t>ed04</t>
        </is>
      </c>
      <c r="B34" s="9" t="n">
        <v>46190</v>
      </c>
      <c r="C34" s="3" t="n">
        <v>50</v>
      </c>
      <c r="D34" s="3" t="n">
        <v>46</v>
      </c>
      <c r="E34" s="3">
        <f>D34-D33</f>
        <v/>
      </c>
      <c r="F34" s="3" t="n">
        <v>0.25</v>
      </c>
      <c r="G34" s="3">
        <f>E34/F34</f>
        <v/>
      </c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</row>
    <row r="35">
      <c r="A35" s="3" t="inlineStr">
        <is>
          <t>ed04</t>
        </is>
      </c>
      <c r="B35" s="9" t="n">
        <v>46190</v>
      </c>
      <c r="C35" s="3" t="n">
        <v>10</v>
      </c>
      <c r="D35" s="3" t="n">
        <v>0</v>
      </c>
      <c r="E35" s="3">
        <f>D35-D34</f>
        <v/>
      </c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</row>
    <row r="36">
      <c r="A36" s="3" t="inlineStr">
        <is>
          <t>ed04</t>
        </is>
      </c>
      <c r="B36" s="9" t="n">
        <v>46190</v>
      </c>
      <c r="C36" s="3" t="n">
        <v>10</v>
      </c>
      <c r="D36" s="3" t="n">
        <v>0.4</v>
      </c>
      <c r="E36" s="3">
        <f>D36-D35</f>
        <v/>
      </c>
      <c r="F36" s="3" t="n">
        <v>0.2</v>
      </c>
      <c r="G36" s="10">
        <f>E36/F36</f>
        <v/>
      </c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</row>
    <row r="37">
      <c r="A37" s="3" t="inlineStr">
        <is>
          <t>ed04</t>
        </is>
      </c>
      <c r="B37" s="9" t="n">
        <v>46190</v>
      </c>
      <c r="C37" s="3" t="n">
        <v>10</v>
      </c>
      <c r="D37" s="3" t="n">
        <v>1.2</v>
      </c>
      <c r="E37" s="3">
        <f>D37-D36</f>
        <v/>
      </c>
      <c r="F37" s="3" t="n">
        <v>0.2</v>
      </c>
      <c r="G37" s="3">
        <f>E37/F37</f>
        <v/>
      </c>
      <c r="H37" s="3">
        <f>AVERAGE(G37:G39)</f>
        <v/>
      </c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</row>
    <row r="38">
      <c r="A38" s="3" t="inlineStr">
        <is>
          <t>ed04</t>
        </is>
      </c>
      <c r="B38" s="9" t="n">
        <v>46190</v>
      </c>
      <c r="C38" s="3" t="n">
        <v>10</v>
      </c>
      <c r="D38" s="3" t="n">
        <v>2.2</v>
      </c>
      <c r="E38" s="3">
        <f>D38-D37</f>
        <v/>
      </c>
      <c r="F38" s="3" t="n">
        <v>0.2</v>
      </c>
      <c r="G38" s="3">
        <f>E38/F38</f>
        <v/>
      </c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</row>
    <row r="39">
      <c r="A39" s="3" t="inlineStr">
        <is>
          <t>ed04</t>
        </is>
      </c>
      <c r="B39" s="9" t="n">
        <v>46190</v>
      </c>
      <c r="C39" s="3" t="n">
        <v>10</v>
      </c>
      <c r="D39" s="3" t="n">
        <v>3</v>
      </c>
      <c r="E39" s="3">
        <f>D39-D38</f>
        <v/>
      </c>
      <c r="F39" s="3" t="n">
        <v>0.2</v>
      </c>
      <c r="G39" s="3">
        <f>E39/F39</f>
        <v/>
      </c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</row>
    <row r="40">
      <c r="A40" s="3" t="inlineStr">
        <is>
          <t>ed04</t>
        </is>
      </c>
      <c r="B40" s="9" t="n">
        <v>46190</v>
      </c>
      <c r="C40" s="3" t="n">
        <v>10</v>
      </c>
      <c r="D40" s="3" t="n">
        <v>0</v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</row>
    <row r="41">
      <c r="A41" s="3" t="inlineStr">
        <is>
          <t>ed04</t>
        </is>
      </c>
      <c r="B41" s="9" t="n">
        <v>46190</v>
      </c>
      <c r="C41" s="3" t="n">
        <v>10</v>
      </c>
      <c r="D41" s="3" t="n">
        <v>0.4</v>
      </c>
      <c r="E41" s="3">
        <f>D41-D40</f>
        <v/>
      </c>
      <c r="F41" s="3" t="n">
        <v>0.1</v>
      </c>
      <c r="G41" s="3">
        <f>E41/F41</f>
        <v/>
      </c>
      <c r="H41" s="3">
        <f>AVERAGE(G41:G45)</f>
        <v/>
      </c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</row>
    <row r="42">
      <c r="A42" s="3" t="inlineStr">
        <is>
          <t>ed04</t>
        </is>
      </c>
      <c r="B42" s="9" t="n">
        <v>46190</v>
      </c>
      <c r="C42" s="3" t="n">
        <v>10</v>
      </c>
      <c r="D42" s="3" t="n">
        <v>0.8</v>
      </c>
      <c r="E42" s="3">
        <f>D42-D41</f>
        <v/>
      </c>
      <c r="F42" s="3" t="n">
        <v>0.1</v>
      </c>
      <c r="G42" s="3">
        <f>E42/F42</f>
        <v/>
      </c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</row>
    <row r="43">
      <c r="A43" s="3" t="inlineStr">
        <is>
          <t>ed04</t>
        </is>
      </c>
      <c r="B43" s="9" t="n">
        <v>46190</v>
      </c>
      <c r="C43" s="3" t="n">
        <v>10</v>
      </c>
      <c r="D43" s="3" t="n">
        <v>1.4</v>
      </c>
      <c r="E43" s="3">
        <f>D43-D42</f>
        <v/>
      </c>
      <c r="F43" s="3" t="n">
        <v>0.1</v>
      </c>
      <c r="G43" s="3">
        <f>E43/F43</f>
        <v/>
      </c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</row>
    <row r="44">
      <c r="A44" s="3" t="inlineStr">
        <is>
          <t>ed04</t>
        </is>
      </c>
      <c r="B44" s="9" t="n">
        <v>46190</v>
      </c>
      <c r="C44" s="3" t="n">
        <v>10</v>
      </c>
      <c r="D44" s="3" t="n">
        <v>2</v>
      </c>
      <c r="E44" s="3">
        <f>D44-D43</f>
        <v/>
      </c>
      <c r="F44" s="3" t="n">
        <v>0.1</v>
      </c>
      <c r="G44" s="3">
        <f>E44/F44</f>
        <v/>
      </c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</row>
    <row r="45">
      <c r="A45" s="3" t="inlineStr">
        <is>
          <t>ed04</t>
        </is>
      </c>
      <c r="B45" s="9" t="n">
        <v>46190</v>
      </c>
      <c r="C45" s="3" t="n">
        <v>10</v>
      </c>
      <c r="D45" s="3" t="n">
        <v>2.6</v>
      </c>
      <c r="E45" s="3">
        <f>D45-D44</f>
        <v/>
      </c>
      <c r="F45" s="3" t="n">
        <v>0.1</v>
      </c>
      <c r="G45" s="3">
        <f>E45/F45</f>
        <v/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</row>
    <row r="46">
      <c r="A46" s="3" t="inlineStr">
        <is>
          <t>ed04</t>
        </is>
      </c>
      <c r="B46" s="9" t="n">
        <v>46190</v>
      </c>
      <c r="C46" s="3" t="n">
        <v>10</v>
      </c>
      <c r="D46" s="3" t="n">
        <v>2.8</v>
      </c>
      <c r="E46" s="3">
        <f>D46-D45</f>
        <v/>
      </c>
      <c r="F46" s="3" t="n">
        <v>0.1</v>
      </c>
      <c r="G46" s="10">
        <f>E46/F46</f>
        <v/>
      </c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</row>
    <row r="47">
      <c r="A47" s="3" t="n"/>
      <c r="B47" s="9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</row>
    <row r="49">
      <c r="A49" s="14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</row>
    <row r="50">
      <c r="A50" s="6" t="n"/>
      <c r="B50" s="6" t="n"/>
      <c r="C50" s="6" t="n"/>
      <c r="D50" s="6" t="n"/>
      <c r="E50" s="6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</row>
    <row r="51">
      <c r="A51" s="3" t="n"/>
      <c r="B51" s="11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</row>
    <row r="52">
      <c r="A52" s="1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</row>
    <row r="54">
      <c r="A54" s="14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</row>
    <row r="72">
      <c r="A72" s="1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</row>
    <row r="73">
      <c r="A73" s="1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</row>
    <row r="75">
      <c r="A75" s="14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</row>
    <row r="76">
      <c r="A76" s="1" t="n"/>
    </row>
  </sheetData>
  <conditionalFormatting sqref="G5:G47 I5:I48">
    <cfRule type="dataBar" priority="21">
      <dataBar>
        <cfvo type="min"/>
        <cfvo type="max"/>
        <color rgb="FF638EC6"/>
      </dataBar>
    </cfRule>
  </conditionalFormatting>
  <conditionalFormatting sqref="H5:H47">
    <cfRule type="dataBar" priority="25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2026-06-05T08:40:06Z</dcterms:created>
  <dcterms:modified xsi:type="dcterms:W3CDTF">2026-06-21T00:20:54Z</dcterms:modified>
  <cp:lastModifiedBy>Martin Currie</cp:lastModifiedBy>
  <cp:revision>0</cp:revision>
</cp:coreProperties>
</file>