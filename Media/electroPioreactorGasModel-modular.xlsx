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reactor_sel" localSheetId="1">Geometry!$D$48</definedName>
    <definedName name="rx_ver" localSheetId="1">Geometry!$D$49</definedName>
    <definedName name="stir_bar_L" localSheetId="1">Geometry!$D$50</definedName>
    <definedName name="media_volume" localSheetId="1">Geometry!$D$85</definedName>
    <definedName name="media_vol_warn" localSheetId="1">Geometry!$D$86</definedName>
    <definedName name="depth_warn" localSheetId="1">Geometry!$D$87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electrode_sel" localSheetId="2">Electrochemistry!$D$38</definedName>
    <definedName name="sparger_e" localSheetId="2">Electrochemistry!$D$39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organism_sel" localSheetId="3">Biology!$D$57</definedName>
    <definedName name="DO_min" localSheetId="3">Biology!$D$58</definedName>
    <definedName name="DO_opt" localSheetId="3">Biology!$D$59</definedName>
    <definedName name="DO_impair" localSheetId="3">Biology!$D$60</definedName>
    <definedName name="DO_toxic" localSheetId="3">Biology!$D$61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DO_opt" localSheetId="4">'Mass Transfer'!$D$103</definedName>
    <definedName name="DO_impair" localSheetId="4">'Mass Transfer'!$D$104</definedName>
    <definedName name="DO_toxic" localSheetId="4">'Mass Transfer'!$D$105</definedName>
    <definedName name="DO_min" localSheetId="4">'Mass Transfer'!$D$106</definedName>
    <definedName name="DO_ss" localSheetId="4">'Mass Transfer'!$D$109</definedName>
    <definedName name="DO_ss_vs_opt" localSheetId="4">'Mass Transfer'!$D$110</definedName>
    <definedName name="DO_ss_vs_min" localSheetId="4">'Mass Transfer'!$D$111</definedName>
    <definedName name="tip_warn" localSheetId="4">'Mass Transfer'!$D$112</definedName>
    <definedName name="spg_int_carbon" localSheetId="4">'Mass Transfer'!$D$113</definedName>
    <definedName name="sched_regime" localSheetId="4">'Mass Transfer'!$D$114</definedName>
    <definedName name="Reactor" localSheetId="4">'Mass Transfer'!$D$117</definedName>
    <definedName name="latest_date" localSheetId="4">'Mass Transfer'!$D$118</definedName>
    <definedName name="flowrate_cal" localSheetId="4">'Mass Transfer'!$D$119</definedName>
    <definedName name="min_sparge_cal" localSheetId="4">'Mass Transfer'!$D$120</definedName>
    <definedName name="has_cal" localSheetId="4">'Mass Transfer'!$D$121</definedName>
    <definedName name="cal_warning" localSheetId="4">'Mass Transfer'!$D$122</definedName>
    <definedName name="spg_dur" localSheetId="4">'Mass Transfer'!$D$123</definedName>
    <definedName name="spg_int" localSheetId="4">'Mass Transfer'!$D$124</definedName>
    <definedName name="CO2_pulse" localSheetId="4">'Mass Transfer'!$D$125</definedName>
    <definedName name="pulses_h" localSheetId="4">'Mass Transfer'!$D$126</definedName>
    <definedName name="pulses_d" localSheetId="4">'Mass Transfer'!$D$127</definedName>
    <definedName name="CO2_sd_ratio" localSheetId="4">'Mass Transfer'!$D$128</definedName>
    <definedName name="O2_accum" localSheetId="4">'Mass Transfer'!$D$129</definedName>
    <definedName name="O2_strip_pulse" localSheetId="4">'Mass Transfer'!$D$130</definedName>
    <definedName name="sched_bal" localSheetId="4">'Mass Transfer'!$D$131</definedName>
    <definedName name="dur_ok" localSheetId="4">'Mass Transfer'!$D$132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98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</cellXfs>
  <cellStyles count="1">
    <cellStyle name="Normal" xfId="0" builtinId="0"/>
  </cellStyles>
  <dxfs count="13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 (resolved from reactor)</t>
        </is>
      </c>
      <c r="B3" s="8" t="inlineStr">
        <is>
          <t>rx_ver</t>
        </is>
      </c>
      <c r="C3" s="9" t="inlineStr">
        <is>
          <t>-</t>
        </is>
      </c>
      <c r="D3" s="75">
        <f>Geometry!$D$49</f>
        <v/>
      </c>
      <c r="E3" s="10" t="inlineStr">
        <is>
          <t>Active build. Choose from the values below. Dropdown.</t>
        </is>
      </c>
    </row>
    <row r="4">
      <c r="A4" s="7" t="inlineStr">
        <is>
          <t>Sparger type (resolved from electrode)</t>
        </is>
      </c>
      <c r="B4" s="8" t="inlineStr">
        <is>
          <t>sparger</t>
        </is>
      </c>
      <c r="C4" s="9" t="inlineStr">
        <is>
          <t>-</t>
        </is>
      </c>
      <c r="D4" s="82">
        <f>Electrochemistry!$D$39</f>
        <v/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s="87">
        <f>HYPERLINK("#'Mass Transfer'!D67","From Mass Transfer")</f>
        <v/>
      </c>
    </row>
    <row r="9">
      <c r="A9" t="inlineStr">
        <is>
          <t>► Optimal interval (min)</t>
        </is>
      </c>
      <c r="D9" s="60">
        <f>'Mass Transfer'!$D$68</f>
        <v/>
      </c>
      <c r="E9" s="87">
        <f>HYPERLINK("#'Mass Transfer'!D68","From Mass Transfer")</f>
        <v/>
      </c>
    </row>
    <row r="10">
      <c r="A10" t="inlineStr">
        <is>
          <t>O₂ removal : surplus</t>
        </is>
      </c>
      <c r="D10" s="60">
        <f>'Mass Transfer'!$D$55</f>
        <v/>
      </c>
      <c r="E10" s="87">
        <f>HYPERLINK("#'Mass Transfer'!D55","From Mass Transfer")</f>
        <v/>
      </c>
    </row>
    <row r="11">
      <c r="A11" t="inlineStr">
        <is>
          <t>O₂ time-to-ceiling lag (min)</t>
        </is>
      </c>
      <c r="D11" s="60">
        <f>'Mass Transfer'!$D$56</f>
        <v/>
      </c>
      <c r="E11" s="87">
        <f>HYPERLINK("#'Mass Transfer'!D56","From Mass Transfer")</f>
        <v/>
      </c>
    </row>
    <row r="12">
      <c r="A12" t="inlineStr">
        <is>
          <t>Carbon margin</t>
        </is>
      </c>
      <c r="D12" s="61">
        <f>Biology!$D$28</f>
        <v/>
      </c>
      <c r="E12" s="87">
        <f>HYPERLINK("#Biology!D28","From Biology")</f>
        <v/>
      </c>
    </row>
    <row r="13">
      <c r="A13" t="inlineStr">
        <is>
          <t>CO₂ supply:demand</t>
        </is>
      </c>
      <c r="D13" s="79">
        <f>'Mass Transfer'!$D$128</f>
        <v/>
      </c>
      <c r="E13" s="87">
        <f>HYPERLINK("#'Mass Transfer'!D128","From Mass Transfer")</f>
        <v/>
      </c>
    </row>
    <row r="14">
      <c r="A14" t="inlineStr">
        <is>
          <t>Current-law</t>
        </is>
      </c>
      <c r="D14" s="63">
        <f>Electrochemistry!$D$13</f>
        <v/>
      </c>
      <c r="E14" s="87">
        <f>HYPERLINK("#Electrochemistry!D13","From Electrochemistry")</f>
        <v/>
      </c>
    </row>
    <row r="15">
      <c r="A15" t="inlineStr">
        <is>
          <t>Carryover</t>
        </is>
      </c>
      <c r="D15" s="60">
        <f>'Mass Transfer'!$D$35</f>
        <v/>
      </c>
      <c r="E15" s="87">
        <f>HYPERLINK("#'Mass Transfer'!D35","From Mass Transfer")</f>
        <v/>
      </c>
    </row>
    <row r="16">
      <c r="A16" t="inlineStr">
        <is>
          <t>Bubble regime</t>
        </is>
      </c>
      <c r="D16" s="60">
        <f>'Mass Transfer'!$D$40</f>
        <v/>
      </c>
      <c r="E16" s="87">
        <f>HYPERLINK("#'Mass Transfer'!D40","From Mass Transfer")</f>
        <v/>
      </c>
    </row>
    <row r="17">
      <c r="A17" t="inlineStr">
        <is>
          <t>Pulse≥floor</t>
        </is>
      </c>
      <c r="D17" s="79">
        <f>'Mass Transfer'!$D$132</f>
        <v/>
      </c>
      <c r="E17" s="87">
        <f>HYPERLINK("#'Mass Transfer'!D132","From Mass Transfer")</f>
        <v/>
      </c>
    </row>
    <row r="18">
      <c r="A18" t="inlineStr">
        <is>
          <t>OD window</t>
        </is>
      </c>
      <c r="D18" s="60">
        <f>'Mass Transfer'!$D$72</f>
        <v/>
      </c>
      <c r="E18" s="87">
        <f>HYPERLINK("#'Mass Transfer'!D72","From Mass Transfer")</f>
        <v/>
      </c>
    </row>
    <row r="19">
      <c r="A19" t="inlineStr">
        <is>
          <t>H₂ headspace</t>
        </is>
      </c>
      <c r="D19" s="61">
        <f>Biology!$D$37</f>
        <v/>
      </c>
      <c r="E19" s="87">
        <f>HYPERLINK("#Biology!D37","From Biology")</f>
        <v/>
      </c>
    </row>
    <row r="20">
      <c r="A20" t="inlineStr">
        <is>
          <t>Calibration source</t>
        </is>
      </c>
      <c r="D20" s="79">
        <f>'Mass Transfer'!$D$122</f>
        <v/>
      </c>
      <c r="E20" s="87">
        <f>HYPERLINK("#'Mass Transfer'!D122","From Mass Transfer")</f>
        <v/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3">
      <c r="A33" t="inlineStr">
        <is>
          <t>Reactor</t>
        </is>
      </c>
      <c r="B33" t="inlineStr">
        <is>
          <t>Reactor_sel</t>
        </is>
      </c>
      <c r="D33" t="inlineStr">
        <is>
          <t>ed04</t>
        </is>
      </c>
    </row>
    <row r="34">
      <c r="A34" t="inlineStr">
        <is>
          <t>Electrode</t>
        </is>
      </c>
      <c r="B34" t="inlineStr">
        <is>
          <t>electrode_sel</t>
        </is>
      </c>
      <c r="D34" t="inlineStr">
        <is>
          <t>MMO tube</t>
        </is>
      </c>
    </row>
    <row r="35">
      <c r="A35" t="inlineStr">
        <is>
          <t>HOB organism</t>
        </is>
      </c>
      <c r="B35" t="inlineStr">
        <is>
          <t>organism_sel</t>
        </is>
      </c>
      <c r="D35" t="inlineStr">
        <is>
          <t>Cupriavidus necator</t>
        </is>
      </c>
    </row>
    <row r="36">
      <c r="A36" t="inlineStr">
        <is>
          <t>Media</t>
        </is>
      </c>
      <c r="B36" t="inlineStr">
        <is>
          <t>media_sel</t>
        </is>
      </c>
      <c r="D36" t="inlineStr">
        <is>
          <t>Sydow 2017 minimal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 (rpm)</t>
        </is>
      </c>
      <c r="B38" t="inlineStr">
        <is>
          <t>stir_rpm_set</t>
        </is>
      </c>
      <c r="D38" s="88" t="n">
        <v>500</v>
      </c>
    </row>
    <row r="39">
      <c r="A39" t="inlineStr">
        <is>
          <t>Media volume (mL) - blank = recommended max</t>
        </is>
      </c>
      <c r="B39" t="inlineStr">
        <is>
          <t>media_volume</t>
        </is>
      </c>
      <c r="D39" s="89" t="n"/>
    </row>
    <row r="40">
      <c r="A40" t="inlineStr">
        <is>
          <t>Temperature (degC)</t>
        </is>
      </c>
      <c r="B40" t="inlineStr">
        <is>
          <t>temp_C</t>
        </is>
      </c>
      <c r="D40" s="89" t="n">
        <v>30</v>
      </c>
    </row>
    <row r="41">
      <c r="A41" t="inlineStr">
        <is>
          <t>Ambient pressure (Pa)</t>
        </is>
      </c>
      <c r="B41" t="inlineStr">
        <is>
          <t>P_atm_set</t>
        </is>
      </c>
      <c r="D41" s="89" t="n">
        <v>101325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Transfer'!$D$109</f>
        <v/>
      </c>
      <c r="E44" s="87">
        <f>HYPERLINK("#'Mass Transfer'!D109","From Mass Transfer")</f>
        <v/>
      </c>
    </row>
    <row r="45">
      <c r="A45" t="inlineStr">
        <is>
          <t>DO vs organism optimum</t>
        </is>
      </c>
      <c r="D45" s="80">
        <f>'Mass Transfer'!$D$110</f>
        <v/>
      </c>
      <c r="E45" s="87">
        <f>HYPERLINK("#'Mass Transfer'!D110","From Mass Transfer")</f>
        <v/>
      </c>
    </row>
    <row r="46">
      <c r="A46" t="inlineStr">
        <is>
          <t>DO vs organism minimum</t>
        </is>
      </c>
      <c r="D46" s="80">
        <f>'Mass Transfer'!$D$111</f>
        <v/>
      </c>
      <c r="E46" s="87">
        <f>HYPERLINK("#'Mass Transfer'!D111","From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Geometry!$D$86</f>
        <v/>
      </c>
      <c r="E48" s="87">
        <f>HYPERLINK("#Geometry!D86","From Geometry")</f>
        <v/>
      </c>
    </row>
    <row r="49">
      <c r="A49" t="inlineStr">
        <is>
          <t>Liquid vs usable depth</t>
        </is>
      </c>
      <c r="D49" s="79">
        <f>Geometry!$D$87</f>
        <v/>
      </c>
      <c r="E49" s="87">
        <f>HYPERLINK("#Geometry!D87","From Geometry")</f>
        <v/>
      </c>
    </row>
    <row r="50">
      <c r="A50" t="inlineStr">
        <is>
          <t>Tip speed (m/s)</t>
        </is>
      </c>
      <c r="D50" s="80">
        <f>'Mass Transfer'!$D$45</f>
        <v/>
      </c>
      <c r="E50" s="87">
        <f>HYPERLINK("#'Mass Transfer'!D45","From Mass Transfer")</f>
        <v/>
      </c>
    </row>
    <row r="51">
      <c r="A51" t="inlineStr">
        <is>
          <t>Tip-speed shear</t>
        </is>
      </c>
      <c r="D51" s="80">
        <f>'Mass Transfer'!$D$112</f>
        <v/>
      </c>
      <c r="E51" s="87">
        <f>HYPERLINK("#'Mass Transfer'!D112","From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'Mass Transfer'!$D$68</f>
        <v/>
      </c>
    </row>
    <row r="64">
      <c r="A64" t="inlineStr">
        <is>
          <t>Interval - carbon-limited if O2 handled by surface (min)</t>
        </is>
      </c>
      <c r="D64" s="80">
        <f>'Mass Transfer'!$D$113</f>
        <v/>
      </c>
    </row>
    <row r="65">
      <c r="A65" t="inlineStr">
        <is>
          <t>Which regime</t>
        </is>
      </c>
      <c r="D65" s="80">
        <f>'Mass Transfer'!$D$114</f>
        <v/>
      </c>
      <c r="E65">
        <f>'Mass Transfer'!$E$114</f>
        <v/>
      </c>
    </row>
  </sheetData>
  <conditionalFormatting sqref="D7:D20">
    <cfRule type="expression" priority="1" dxfId="11">
      <formula>OR(ISNUMBER(SEARCH("RISK",D7)),ISNUMBER(SEARCH("OVER",D7)),ISNUMBER(SEARCH("BELOW",D7)),ISNUMBER(SEARCH("EXCEED",D7)),ISNUMBER(SEARCH("NO CALIB",D7)),ISNUMBER(SEARCH("NEAREST",D7)),ISNUMBER(SEARCH("EXPLOSIVE",D7)),ISNUMBER(SEARCH("LOW",D7)),ISNUMBER(SEARCH("TIGHT",D7)),ISNUMBER(SEARCH("insufficient",D7)))</formula>
    </cfRule>
    <cfRule type="expression" priority="2" dxfId="12">
      <formula>OR(ISNUMBER(SEARCH("OK",D7)),ISNUMBER(SEARCH("calibrated",D7)),ISNUMBER(SEARCH("under optimum",D7)),ISNUMBER(SEARCH("above min",D7)),ISNUMBER(SEARCH("exact",D7)))</formula>
    </cfRule>
  </conditionalFormatting>
  <conditionalFormatting sqref="D44:D51">
    <cfRule type="expression" priority="3" dxfId="11">
      <formula>OR(ISNUMBER(SEARCH("RISK",D44)),ISNUMBER(SEARCH("OVER",D44)),ISNUMBER(SEARCH("BELOW",D44)),ISNUMBER(SEARCH("EXCEED",D44)),ISNUMBER(SEARCH("NO CALIB",D44)),ISNUMBER(SEARCH("NEAREST",D44)),ISNUMBER(SEARCH("EXPLOSIVE",D44)),ISNUMBER(SEARCH("LOW",D44)),ISNUMBER(SEARCH("TIGHT",D44)),ISNUMBER(SEARCH("insufficient",D44)))</formula>
    </cfRule>
    <cfRule type="expression" priority="4" dxfId="12">
      <formula>OR(ISNUMBER(SEARCH("OK",D44)),ISNUMBER(SEARCH("calibrated",D44)),ISNUMBER(SEARCH("under optimum",D44)),ISNUMBER(SEARCH("above min",D44)),ISNUMBER(SEARCH("exact",D44)))</formula>
    </cfRule>
  </conditionalFormatting>
  <dataValidations count="5">
    <dataValidation sqref="D5" showDropDown="0" showInputMessage="0" showErrorMessage="1" allowBlank="0" type="list">
      <formula1>"0,1,2,3,4,5"</formula1>
    </dataValidation>
    <dataValidation sqref="D33" showDropDown="0" showInputMessage="0" showErrorMessage="0" allowBlank="1" type="list">
      <formula1>=Geometry!$A$53:$A$82</formula1>
    </dataValidation>
    <dataValidation sqref="D34" showDropDown="0" showInputMessage="0" showErrorMessage="0" allowBlank="1" type="list">
      <formula1>=Electrochemistry!$A$32:$A$40</formula1>
    </dataValidation>
    <dataValidation sqref="D35" showDropDown="0" showInputMessage="0" showErrorMessage="0" allowBlank="1" type="list">
      <formula1>=Biology!$A$47:$A$60</formula1>
    </dataValidation>
    <dataValidation sqref="D36" showDropDown="0" showInputMessage="0" showErrorMessage="0" allowBlank="1" type="list">
      <formula1>=Biology!$A$56:$A$64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87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77">
        <f>VLOOKUP(rx_ver,$A$78:$I$81,7,FALSE)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78">
        <f>VLOOKUP(rx_ver,$A$78:$I$81,4,FALSE)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78">
        <f>VLOOKUP(rx_ver,$A$78:$I$81,5,FALSE)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78">
        <f>VLOOKUP(rx_ver,$A$78:$I$81,6,FALSE)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90">
        <f>IF(media_volume&gt;0,media_volume,ROUND(V_max-disp_tot,0))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&amp; REACTOR-DERIVED</t>
        </is>
      </c>
    </row>
    <row r="48">
      <c r="A48" t="inlineStr">
        <is>
          <t>(import) Reactor selection</t>
        </is>
      </c>
      <c r="B48" t="inlineStr">
        <is>
          <t>reactor_sel</t>
        </is>
      </c>
      <c r="C48" t="inlineStr">
        <is>
          <t>-</t>
        </is>
      </c>
      <c r="D48" s="79">
        <f>Summary!$D$33</f>
        <v/>
      </c>
      <c r="E48" t="inlineStr">
        <is>
          <t>From Summary.</t>
        </is>
      </c>
    </row>
    <row r="49">
      <c r="A49" t="inlineStr">
        <is>
          <t>Reactor type (resolved from reactor)</t>
        </is>
      </c>
      <c r="B49" t="inlineStr">
        <is>
          <t>rx_ver</t>
        </is>
      </c>
      <c r="D49" s="80">
        <f>VLOOKUP(reactor_sel,$A$53:$B$74,2,FALSE)</f>
        <v/>
      </c>
    </row>
    <row r="50">
      <c r="A50" t="inlineStr">
        <is>
          <t>Stir-bar length (from reactor type)</t>
        </is>
      </c>
      <c r="B50" t="inlineStr">
        <is>
          <t>stir_bar_L</t>
        </is>
      </c>
      <c r="D50" s="80">
        <f>VLOOKUP(rx_ver,$A$78:$I$81,8,FALSE)</f>
        <v/>
      </c>
    </row>
    <row r="51">
      <c r="A51" s="73" t="inlineStr">
        <is>
          <t>REACTOR LOOKUP  (reactor ID → type)</t>
        </is>
      </c>
    </row>
    <row r="52">
      <c r="A52" s="69" t="inlineStr">
        <is>
          <t>Reactor</t>
        </is>
      </c>
      <c r="B52" s="69" t="inlineStr">
        <is>
          <t>Type</t>
        </is>
      </c>
    </row>
    <row r="53">
      <c r="A53" t="inlineStr">
        <is>
          <t>imp01</t>
        </is>
      </c>
      <c r="B53" t="inlineStr">
        <is>
          <t>AEP0.1.1</t>
        </is>
      </c>
    </row>
    <row r="54">
      <c r="A54" t="inlineStr">
        <is>
          <t>imp02</t>
        </is>
      </c>
      <c r="B54" t="inlineStr">
        <is>
          <t>AEP0.1.1</t>
        </is>
      </c>
    </row>
    <row r="55">
      <c r="A55" t="inlineStr">
        <is>
          <t>imp03</t>
        </is>
      </c>
      <c r="B55" t="inlineStr">
        <is>
          <t>AEP0.1.1</t>
        </is>
      </c>
    </row>
    <row r="56">
      <c r="A56" t="inlineStr">
        <is>
          <t>imp04</t>
        </is>
      </c>
      <c r="B56" t="inlineStr">
        <is>
          <t>AEP0.1.1</t>
        </is>
      </c>
    </row>
    <row r="57">
      <c r="A57" t="inlineStr">
        <is>
          <t>imp05</t>
        </is>
      </c>
      <c r="B57" t="inlineStr">
        <is>
          <t>AEP0.1.1</t>
        </is>
      </c>
    </row>
    <row r="58">
      <c r="A58" t="inlineStr">
        <is>
          <t>imp06</t>
        </is>
      </c>
      <c r="B58" t="inlineStr">
        <is>
          <t>AEP0.1.1</t>
        </is>
      </c>
    </row>
    <row r="59">
      <c r="A59" t="inlineStr">
        <is>
          <t>ed01</t>
        </is>
      </c>
      <c r="B59" t="inlineStr">
        <is>
          <t>AEP0.1.1</t>
        </is>
      </c>
    </row>
    <row r="60">
      <c r="A60" t="inlineStr">
        <is>
          <t>ed02</t>
        </is>
      </c>
      <c r="B60" t="inlineStr">
        <is>
          <t>AEP0.1.1</t>
        </is>
      </c>
    </row>
    <row r="61">
      <c r="A61" t="inlineStr">
        <is>
          <t>ed03</t>
        </is>
      </c>
      <c r="B61" t="inlineStr">
        <is>
          <t>AEP0.1.1</t>
        </is>
      </c>
    </row>
    <row r="62">
      <c r="A62" t="inlineStr">
        <is>
          <t>ed04</t>
        </is>
      </c>
      <c r="B62" t="inlineStr">
        <is>
          <t>MEP0.3</t>
        </is>
      </c>
    </row>
    <row r="63">
      <c r="A63" t="inlineStr">
        <is>
          <t>ed05</t>
        </is>
      </c>
      <c r="B63" t="inlineStr">
        <is>
          <t>MEP0.3</t>
        </is>
      </c>
    </row>
    <row r="64">
      <c r="A64" t="inlineStr">
        <is>
          <t>ed06</t>
        </is>
      </c>
      <c r="B64" t="inlineStr">
        <is>
          <t>AEP0.2</t>
        </is>
      </c>
    </row>
    <row r="65">
      <c r="A65" t="inlineStr">
        <is>
          <t>ed07</t>
        </is>
      </c>
      <c r="B65" t="inlineStr">
        <is>
          <t>AEP0.2</t>
        </is>
      </c>
    </row>
    <row r="66">
      <c r="A66" t="inlineStr">
        <is>
          <t>ed08</t>
        </is>
      </c>
      <c r="B66" t="inlineStr">
        <is>
          <t>AEP0.2</t>
        </is>
      </c>
    </row>
    <row r="67">
      <c r="A67" t="inlineStr">
        <is>
          <t>imp07</t>
        </is>
      </c>
      <c r="B67" t="inlineStr">
        <is>
          <t>AEP0.2</t>
        </is>
      </c>
    </row>
    <row r="68">
      <c r="A68" t="inlineStr">
        <is>
          <t>imp08</t>
        </is>
      </c>
      <c r="B68" t="inlineStr">
        <is>
          <t>AEP0.2</t>
        </is>
      </c>
    </row>
    <row r="69">
      <c r="A69" t="inlineStr">
        <is>
          <t>imp09</t>
        </is>
      </c>
      <c r="B69" t="inlineStr">
        <is>
          <t>AEP0.2</t>
        </is>
      </c>
    </row>
    <row r="70">
      <c r="A70" t="inlineStr">
        <is>
          <t>imp10</t>
        </is>
      </c>
      <c r="B70" t="inlineStr">
        <is>
          <t>AEP0.2</t>
        </is>
      </c>
    </row>
    <row r="71">
      <c r="A71" t="inlineStr">
        <is>
          <t>imp11</t>
        </is>
      </c>
      <c r="B71" t="inlineStr">
        <is>
          <t>AEP0.2</t>
        </is>
      </c>
    </row>
    <row r="72">
      <c r="A72" t="inlineStr">
        <is>
          <t>imp12</t>
        </is>
      </c>
      <c r="B72" t="inlineStr">
        <is>
          <t>AEP0.2</t>
        </is>
      </c>
    </row>
    <row r="73">
      <c r="A73" t="inlineStr">
        <is>
          <t>nm01</t>
        </is>
      </c>
      <c r="B73" t="inlineStr">
        <is>
          <t>AEP0.2a</t>
        </is>
      </c>
    </row>
    <row r="74">
      <c r="A74" t="inlineStr">
        <is>
          <t>nm02</t>
        </is>
      </c>
      <c r="B74" t="inlineStr">
        <is>
          <t>AEP0.2</t>
        </is>
      </c>
    </row>
    <row r="76">
      <c r="A76" s="73" t="inlineStr">
        <is>
          <t>REACTOR-TYPE LOOKUP  (geometry &amp; stir bar; pulled by type)</t>
        </is>
      </c>
    </row>
    <row r="77">
      <c r="A77" s="69" t="inlineStr">
        <is>
          <t>Type</t>
        </is>
      </c>
      <c r="B77" s="69" t="inlineStr">
        <is>
          <t>Pioreactor</t>
        </is>
      </c>
      <c r="C77" s="69" t="inlineStr">
        <is>
          <t>vial (mL)</t>
        </is>
      </c>
      <c r="D77" s="69" t="inlineStr">
        <is>
          <t>usable depth (mm)</t>
        </is>
      </c>
      <c r="E77" s="69" t="inlineStr">
        <is>
          <t>max working (mL)</t>
        </is>
      </c>
      <c r="F77" s="69" t="inlineStr">
        <is>
          <t>total vial (mL)</t>
        </is>
      </c>
      <c r="G77" s="69" t="inlineStr">
        <is>
          <t>vial OD (mm)</t>
        </is>
      </c>
      <c r="H77" s="69" t="inlineStr">
        <is>
          <t>stir bar L (mm)</t>
        </is>
      </c>
      <c r="I77" s="69" t="inlineStr">
        <is>
          <t>stir bar dia (mm)</t>
        </is>
      </c>
    </row>
    <row r="78">
      <c r="A78" t="inlineStr">
        <is>
          <t>AEP0.1.1</t>
        </is>
      </c>
      <c r="B78" t="inlineStr">
        <is>
          <t>1.1</t>
        </is>
      </c>
      <c r="C78" t="n">
        <v>20</v>
      </c>
      <c r="D78" t="n">
        <v>55</v>
      </c>
      <c r="E78" t="n">
        <v>16</v>
      </c>
      <c r="F78" t="n">
        <v>20</v>
      </c>
      <c r="G78" t="n">
        <v>27.48</v>
      </c>
      <c r="H78" t="n">
        <v>12</v>
      </c>
      <c r="I78" t="n">
        <v>3</v>
      </c>
    </row>
    <row r="79">
      <c r="A79" t="inlineStr">
        <is>
          <t>MEP0.3</t>
        </is>
      </c>
      <c r="B79" t="inlineStr">
        <is>
          <t>1.1</t>
        </is>
      </c>
      <c r="C79" t="n">
        <v>20</v>
      </c>
      <c r="D79" t="n">
        <v>55</v>
      </c>
      <c r="E79" t="n">
        <v>16</v>
      </c>
      <c r="F79" t="n">
        <v>20</v>
      </c>
      <c r="G79" t="n">
        <v>27.48</v>
      </c>
      <c r="H79" t="n">
        <v>12</v>
      </c>
      <c r="I79" t="n">
        <v>3</v>
      </c>
    </row>
    <row r="80">
      <c r="A80" t="inlineStr">
        <is>
          <t>AEP0.2</t>
        </is>
      </c>
      <c r="B80" t="inlineStr">
        <is>
          <t>1.5</t>
        </is>
      </c>
      <c r="C80" t="n">
        <v>40</v>
      </c>
      <c r="D80" t="n">
        <v>95</v>
      </c>
      <c r="E80" t="n">
        <v>30</v>
      </c>
      <c r="F80" t="n">
        <v>42</v>
      </c>
      <c r="G80" t="n">
        <v>27.48</v>
      </c>
      <c r="H80" t="n">
        <v>15</v>
      </c>
      <c r="I80" t="n">
        <v>6</v>
      </c>
    </row>
    <row r="81">
      <c r="A81" t="inlineStr">
        <is>
          <t>AEP0.2a</t>
        </is>
      </c>
      <c r="B81" t="inlineStr">
        <is>
          <t>1.5</t>
        </is>
      </c>
      <c r="C81" t="n">
        <v>40</v>
      </c>
      <c r="D81" t="n">
        <v>95</v>
      </c>
      <c r="E81" t="n">
        <v>30</v>
      </c>
      <c r="F81" t="n">
        <v>42</v>
      </c>
      <c r="G81" t="n">
        <v>27.48</v>
      </c>
      <c r="H81" t="n">
        <v>15</v>
      </c>
      <c r="I81" t="n">
        <v>6</v>
      </c>
    </row>
    <row r="83">
      <c r="A83" s="72" t="inlineStr">
        <is>
          <t>40 mL OD = 20 mL diameter (Pioreactor source); depths/volumes confirm by measurement.</t>
        </is>
      </c>
    </row>
    <row r="85">
      <c r="A85" t="inlineStr">
        <is>
          <t>(import) Media volume (set)</t>
        </is>
      </c>
      <c r="B85" t="inlineStr">
        <is>
          <t>media_volume</t>
        </is>
      </c>
      <c r="D85" s="79">
        <f>Summary!$D$39</f>
        <v/>
      </c>
    </row>
    <row r="86">
      <c r="A86" t="inlineStr">
        <is>
          <t>Media vs max working volume</t>
        </is>
      </c>
      <c r="B86" t="inlineStr">
        <is>
          <t>media_vol_warn</t>
        </is>
      </c>
      <c r="D86" s="80">
        <f>IF(V_charge&gt;V_max,"MEDIA &gt; MAX WORKING VOLUME","OK")</f>
        <v/>
      </c>
    </row>
    <row r="87">
      <c r="A87" t="inlineStr">
        <is>
          <t>Liquid level vs usable depth</t>
        </is>
      </c>
      <c r="B87" t="inlineStr">
        <is>
          <t>depth_warn</t>
        </is>
      </c>
      <c r="D87" s="80">
        <f>IF(h_actual&gt;D_int,"LIQUID OVER USABLE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91">
        <f>Summary!$D$37</f>
        <v/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77">
        <f>VLOOKUP(electrode_sel,$A$32:$I$34,9,FALSE)</f>
        <v/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'Mass Transfer'!$D$87</f>
        <v/>
      </c>
      <c r="E27" t="inlineStr">
        <is>
          <t>From Dosing.</t>
        </is>
      </c>
    </row>
    <row r="30">
      <c r="A30" s="73" t="inlineStr">
        <is>
          <t>ELECTRODE LOOKUP  (selecting the electrode sets sparger, porosity, cathode)</t>
        </is>
      </c>
    </row>
    <row r="31">
      <c r="A31" s="69" t="inlineStr">
        <is>
          <t>Electrode</t>
        </is>
      </c>
      <c r="B31" s="69" t="inlineStr">
        <is>
          <t>anode material</t>
        </is>
      </c>
      <c r="C31" s="69" t="inlineStr">
        <is>
          <t>anode dia (mm)</t>
        </is>
      </c>
      <c r="D31" s="69" t="inlineStr">
        <is>
          <t>sparger</t>
        </is>
      </c>
      <c r="E31" s="69" t="inlineStr">
        <is>
          <t>sinter porosity</t>
        </is>
      </c>
      <c r="F31" s="69" t="inlineStr">
        <is>
          <t>cathode</t>
        </is>
      </c>
      <c r="G31" s="69" t="inlineStr">
        <is>
          <t>cathode dia (mm)</t>
        </is>
      </c>
      <c r="H31" s="69" t="inlineStr">
        <is>
          <t>etaF</t>
        </is>
      </c>
      <c r="I31" s="69" t="inlineStr">
        <is>
          <t>z_e_ORR</t>
        </is>
      </c>
    </row>
    <row r="32">
      <c r="A32" t="inlineStr">
        <is>
          <t>Pt/Ti rod</t>
        </is>
      </c>
      <c r="B32" t="inlineStr">
        <is>
          <t>Pt/Ti</t>
        </is>
      </c>
      <c r="C32" t="n">
        <v>6</v>
      </c>
      <c r="D32" t="inlineStr">
        <is>
          <t>Tube</t>
        </is>
      </c>
      <c r="E32" t="inlineStr">
        <is>
          <t>n/a</t>
        </is>
      </c>
      <c r="F32" t="inlineStr">
        <is>
          <t>SS rod</t>
        </is>
      </c>
      <c r="G32" t="n">
        <v>6</v>
      </c>
      <c r="H32" s="74" t="inlineStr">
        <is>
          <t>TBD</t>
        </is>
      </c>
      <c r="I32" t="n">
        <v>2</v>
      </c>
    </row>
    <row r="33">
      <c r="A33" t="inlineStr">
        <is>
          <t>MMO rod</t>
        </is>
      </c>
      <c r="B33" t="inlineStr">
        <is>
          <t>MMO</t>
        </is>
      </c>
      <c r="C33" t="n">
        <v>6</v>
      </c>
      <c r="D33" t="inlineStr">
        <is>
          <t>Tube</t>
        </is>
      </c>
      <c r="E33" t="inlineStr">
        <is>
          <t>n/a</t>
        </is>
      </c>
      <c r="F33" t="inlineStr">
        <is>
          <t>SS rod</t>
        </is>
      </c>
      <c r="G33" t="n">
        <v>6</v>
      </c>
      <c r="H33" s="74" t="inlineStr">
        <is>
          <t>TBD</t>
        </is>
      </c>
      <c r="I33" t="n">
        <v>2</v>
      </c>
    </row>
    <row r="34">
      <c r="A34" t="inlineStr">
        <is>
          <t>MMO tube</t>
        </is>
      </c>
      <c r="B34" t="inlineStr">
        <is>
          <t>MMO</t>
        </is>
      </c>
      <c r="C34" t="n">
        <v>6</v>
      </c>
      <c r="D34" t="inlineStr">
        <is>
          <t>Sintered</t>
        </is>
      </c>
      <c r="E34" s="74" t="inlineStr">
        <is>
          <t>TBD</t>
        </is>
      </c>
      <c r="F34" t="inlineStr">
        <is>
          <t>SS rod</t>
        </is>
      </c>
      <c r="G34" t="n">
        <v>6</v>
      </c>
      <c r="H34" s="74" t="inlineStr">
        <is>
          <t>TBD</t>
        </is>
      </c>
      <c r="I34" t="n">
        <v>2</v>
      </c>
    </row>
    <row r="36">
      <c r="A36" s="72" t="inlineStr">
        <is>
          <t>z_e_ORR=2 assumed (peroxide, non-Pt SS cathode, neutral pH); etaF unmeasured - both live here per electrode.</t>
        </is>
      </c>
    </row>
    <row r="38">
      <c r="A38" t="inlineStr">
        <is>
          <t>(import) Electrode selection</t>
        </is>
      </c>
      <c r="B38" t="inlineStr">
        <is>
          <t>electrode_sel</t>
        </is>
      </c>
      <c r="D38" s="79">
        <f>Summary!$D$34</f>
        <v/>
      </c>
    </row>
    <row r="39">
      <c r="A39" t="inlineStr">
        <is>
          <t>Sparger (from electrode)</t>
        </is>
      </c>
      <c r="B39" t="inlineStr">
        <is>
          <t>sparger_e</t>
        </is>
      </c>
      <c r="D39" s="80">
        <f>VLOOKUP(electrode_sel,$A$32:$I$34,4,FALSE)</f>
        <v/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92">
        <f>Summary!$D$40</f>
        <v/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79">
        <f>Summary!$D$41</f>
        <v/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  <row r="45">
      <c r="A45" s="73" t="inlineStr">
        <is>
          <t>HOB LOOKUP  (dissolved O₂ thresholds, mg/L)</t>
        </is>
      </c>
    </row>
    <row r="46">
      <c r="A46" s="69" t="inlineStr">
        <is>
          <t>Organism</t>
        </is>
      </c>
      <c r="B46" s="69" t="inlineStr">
        <is>
          <t>minimum DO</t>
        </is>
      </c>
      <c r="C46" s="69" t="inlineStr">
        <is>
          <t>optimum DO</t>
        </is>
      </c>
      <c r="D46" s="69" t="inlineStr">
        <is>
          <t>impairment DO</t>
        </is>
      </c>
      <c r="E46" s="69" t="inlineStr">
        <is>
          <t>toxic DO</t>
        </is>
      </c>
      <c r="F46" s="69" t="inlineStr">
        <is>
          <t>source</t>
        </is>
      </c>
    </row>
    <row r="47">
      <c r="A47" t="inlineStr">
        <is>
          <t>Cupriavidus necator</t>
        </is>
      </c>
      <c r="B47" s="74" t="inlineStr">
        <is>
          <t>?</t>
        </is>
      </c>
      <c r="C47" t="n">
        <v>2.6</v>
      </c>
      <c r="D47" t="n">
        <v>3</v>
      </c>
      <c r="E47" t="n">
        <v>11.5</v>
      </c>
      <c r="F47" t="inlineStr">
        <is>
          <t>Amer &amp; Kim 2023; Wilde &amp; Schlegel 1982</t>
        </is>
      </c>
    </row>
    <row r="48">
      <c r="A48" t="inlineStr">
        <is>
          <t>Xanthobacter autotrophicus</t>
        </is>
      </c>
      <c r="B48" s="74" t="inlineStr">
        <is>
          <t>?</t>
        </is>
      </c>
      <c r="C48" s="74" t="inlineStr">
        <is>
          <t>?</t>
        </is>
      </c>
      <c r="D48" s="74" t="inlineStr">
        <is>
          <t>?</t>
        </is>
      </c>
      <c r="E48" t="n">
        <v>11.5</v>
      </c>
      <c r="F48" t="inlineStr">
        <is>
          <t>Wilde &amp; Schlegel 1982 (~0.30 atm)</t>
        </is>
      </c>
    </row>
    <row r="49">
      <c r="A49" t="inlineStr">
        <is>
          <t>Xanthobacter flavus</t>
        </is>
      </c>
      <c r="B49" s="74" t="inlineStr">
        <is>
          <t>?</t>
        </is>
      </c>
      <c r="C49" s="74" t="inlineStr">
        <is>
          <t>?</t>
        </is>
      </c>
      <c r="D49" s="74" t="inlineStr">
        <is>
          <t>?</t>
        </is>
      </c>
      <c r="E49" s="74" t="inlineStr">
        <is>
          <t>?</t>
        </is>
      </c>
      <c r="F49" t="inlineStr">
        <is>
          <t>no species data — assume genus ~11.5</t>
        </is>
      </c>
    </row>
    <row r="50">
      <c r="A50" t="inlineStr">
        <is>
          <t>Xanthobacter tagetidis</t>
        </is>
      </c>
      <c r="B50" s="74" t="inlineStr">
        <is>
          <t>?</t>
        </is>
      </c>
      <c r="C50" s="74" t="inlineStr">
        <is>
          <t>?</t>
        </is>
      </c>
      <c r="D50" s="74" t="inlineStr">
        <is>
          <t>?</t>
        </is>
      </c>
      <c r="E50" s="74" t="inlineStr">
        <is>
          <t>?</t>
        </is>
      </c>
      <c r="F50" t="inlineStr">
        <is>
          <t>no species data — assume genus ~11.5</t>
        </is>
      </c>
    </row>
    <row r="51">
      <c r="A51" t="inlineStr">
        <is>
          <t>Cupriavidus metallidurans</t>
        </is>
      </c>
      <c r="B51" s="74" t="inlineStr">
        <is>
          <t>?</t>
        </is>
      </c>
      <c r="C51" s="74" t="inlineStr">
        <is>
          <t>?</t>
        </is>
      </c>
      <c r="D51" s="74" t="inlineStr">
        <is>
          <t>?</t>
        </is>
      </c>
      <c r="E51" s="74" t="inlineStr">
        <is>
          <t>?</t>
        </is>
      </c>
      <c r="F51" t="inlineStr">
        <is>
          <t>no species data — assume genus ~11.5</t>
        </is>
      </c>
    </row>
    <row r="52">
      <c r="A52" t="inlineStr">
        <is>
          <t>UdG (mixed)</t>
        </is>
      </c>
      <c r="B52" s="74" t="inlineStr">
        <is>
          <t>?</t>
        </is>
      </c>
      <c r="C52" s="74" t="inlineStr">
        <is>
          <t>?</t>
        </is>
      </c>
      <c r="D52" s="74" t="inlineStr">
        <is>
          <t>?</t>
        </is>
      </c>
      <c r="E52" s="74" t="inlineStr">
        <is>
          <t>?</t>
        </is>
      </c>
      <c r="F52" t="inlineStr">
        <is>
          <t>Rovira-Alsina 2025; Pous 2022/23</t>
        </is>
      </c>
    </row>
    <row r="54">
      <c r="A54" s="73" t="inlineStr">
        <is>
          <t>MEDIA LOOKUP</t>
        </is>
      </c>
    </row>
    <row r="55">
      <c r="A55" s="69" t="inlineStr">
        <is>
          <t>Media</t>
        </is>
      </c>
      <c r="B55" s="69" t="inlineStr">
        <is>
          <t>buffer</t>
        </is>
      </c>
      <c r="C55" s="69" t="inlineStr">
        <is>
          <t>buffer conc (mM)</t>
        </is>
      </c>
      <c r="D55" s="69" t="inlineStr">
        <is>
          <t>notes</t>
        </is>
      </c>
      <c r="E55" s="69" t="inlineStr">
        <is>
          <t>source</t>
        </is>
      </c>
    </row>
    <row r="56">
      <c r="A56" t="inlineStr">
        <is>
          <t>Sydow 2017 minimal</t>
        </is>
      </c>
      <c r="B56" t="inlineStr">
        <is>
          <t>phosphate</t>
        </is>
      </c>
      <c r="C56" s="74" t="inlineStr">
        <is>
          <t>?</t>
        </is>
      </c>
      <c r="D56" t="inlineStr">
        <is>
          <t>low-chloride, organic-free</t>
        </is>
      </c>
      <c r="E56" t="inlineStr">
        <is>
          <t>Sydow et al. 2017</t>
        </is>
      </c>
    </row>
    <row r="57">
      <c r="A57" t="inlineStr">
        <is>
          <t>(import) HOB organism</t>
        </is>
      </c>
      <c r="B57" t="inlineStr">
        <is>
          <t>organism_sel</t>
        </is>
      </c>
      <c r="D57" s="79">
        <f>Summary!$D$35</f>
        <v/>
      </c>
    </row>
    <row r="58">
      <c r="A58" t="inlineStr">
        <is>
          <t>Minimum DO (organism)</t>
        </is>
      </c>
      <c r="B58" t="inlineStr">
        <is>
          <t>DO_min</t>
        </is>
      </c>
      <c r="D58" s="84">
        <f>IF(ISNUMBER(VLOOKUP(organism_sel,$A$47:$F$52,2,FALSE)),VLOOKUP(organism_sel,$A$47:$F$52,2,FALSE),NA())</f>
        <v/>
      </c>
    </row>
    <row r="59">
      <c r="A59" t="inlineStr">
        <is>
          <t>Optimum DO (organism)</t>
        </is>
      </c>
      <c r="B59" t="inlineStr">
        <is>
          <t>DO_opt</t>
        </is>
      </c>
      <c r="D59" s="80">
        <f>IF(ISNUMBER(VLOOKUP(organism_sel,$A$47:$F$52,3,FALSE)),VLOOKUP(organism_sel,$A$47:$F$52,3,FALSE),NA())</f>
        <v/>
      </c>
    </row>
    <row r="60">
      <c r="A60" t="inlineStr">
        <is>
          <t>Impairment DO (organism)</t>
        </is>
      </c>
      <c r="B60" t="inlineStr">
        <is>
          <t>DO_impair</t>
        </is>
      </c>
      <c r="D60" s="80">
        <f>IF(ISNUMBER(VLOOKUP(organism_sel,$A$47:$F$52,4,FALSE)),VLOOKUP(organism_sel,$A$47:$F$52,4,FALSE),NA())</f>
        <v/>
      </c>
    </row>
    <row r="61">
      <c r="A61" t="inlineStr">
        <is>
          <t>Toxic/inhibition DO (organism)</t>
        </is>
      </c>
      <c r="B61" t="inlineStr">
        <is>
          <t>DO_toxic</t>
        </is>
      </c>
      <c r="D61" s="80">
        <f>IF(ISNUMBER(VLOOKUP(organism_sel,$A$47:$F$52,5,FALSE)),VLOOKUP(organism_sel,$A$47:$F$52,5,FALSE),NA())</f>
        <v/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93">
        <f>Summary!$D$38</f>
        <v/>
      </c>
      <c r="E43" s="25" t="inlineStr">
        <is>
          <t>Pioreactor stir setpoint. RPM floor ~125 (stalls below). Input/confirm.</t>
        </is>
      </c>
    </row>
    <row r="44">
      <c r="A44" s="7" t="inlineStr">
        <is>
          <t>(import) Stir-bar length (from reactor type)</t>
        </is>
      </c>
      <c r="B44" s="8" t="inlineStr">
        <is>
          <t>stir_len</t>
        </is>
      </c>
      <c r="C44" s="9" t="inlineStr">
        <is>
          <t>mm</t>
        </is>
      </c>
      <c r="D44" s="81">
        <f>Geometry!$D$50</f>
        <v/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DO fraction (organism optimum / inhibition)</t>
        </is>
      </c>
      <c r="B61" s="8" t="inlineStr">
        <is>
          <t>target_DO_frac</t>
        </is>
      </c>
      <c r="C61" s="9" t="inlineStr">
        <is>
          <t>-</t>
        </is>
      </c>
      <c r="D61" s="85">
        <f>IF(AND(ISNUMBER(DO_opt),ISNUMBER(DO_toxic)),DO_opt/DO_toxic,0.5)</f>
        <v/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Min reliable pulse (solenoid floor)</t>
        </is>
      </c>
      <c r="B85" t="inlineStr">
        <is>
          <t>pulse_floor</t>
        </is>
      </c>
      <c r="C85" t="inlineStr">
        <is>
          <t>s</t>
        </is>
      </c>
      <c r="D85" s="96">
        <f>min_sparge_cal</f>
        <v/>
      </c>
      <c r="E85" t="inlineStr">
        <is>
          <t>From Dosing.</t>
        </is>
      </c>
    </row>
    <row r="86">
      <c r="A86" t="inlineStr">
        <is>
          <t>Average CO₂ supply rate</t>
        </is>
      </c>
      <c r="B86" t="inlineStr">
        <is>
          <t>CO2_supply</t>
        </is>
      </c>
      <c r="C86" t="inlineStr">
        <is>
          <t>mol/h</t>
        </is>
      </c>
      <c r="D86" s="96">
        <f>CO2_pulse*pulses_h</f>
        <v/>
      </c>
      <c r="E86" t="inlineStr">
        <is>
          <t>From Dosing.</t>
        </is>
      </c>
    </row>
    <row r="87">
      <c r="A87" t="inlineStr">
        <is>
          <t>Ideal gas constant</t>
        </is>
      </c>
      <c r="B87" t="inlineStr">
        <is>
          <t>R_gas</t>
        </is>
      </c>
      <c r="C87" t="inlineStr">
        <is>
          <t>J/mol/K</t>
        </is>
      </c>
      <c r="D87" s="97" t="n">
        <v>8.314462618</v>
      </c>
      <c r="E87" t="inlineStr">
        <is>
          <t>From Dosing.</t>
        </is>
      </c>
    </row>
    <row r="88">
      <c r="A88" t="inlineStr">
        <is>
          <t>CO₂ volumetric flow rate</t>
        </is>
      </c>
      <c r="B88" t="inlineStr">
        <is>
          <t>Q_CO2</t>
        </is>
      </c>
      <c r="C88" t="inlineStr">
        <is>
          <t>mL/min</t>
        </is>
      </c>
      <c r="D88" s="96">
        <f>flowrate_cal*60</f>
        <v/>
      </c>
      <c r="E88" t="inlineStr">
        <is>
          <t>From Dosing.</t>
        </is>
      </c>
    </row>
    <row r="89">
      <c r="A89" t="inlineStr">
        <is>
          <t>Molar mass CO₂</t>
        </is>
      </c>
      <c r="B89" t="inlineStr">
        <is>
          <t>M_CO2</t>
        </is>
      </c>
      <c r="C89" t="inlineStr">
        <is>
          <t>g/mol</t>
        </is>
      </c>
      <c r="D89" s="97" t="n">
        <v>44.0095</v>
      </c>
      <c r="E89" t="inlineStr">
        <is>
          <t>From Dosing.</t>
        </is>
      </c>
    </row>
    <row r="90">
      <c r="A90" t="inlineStr">
        <is>
          <t>CO₂ molar flow during sparge</t>
        </is>
      </c>
      <c r="B90" t="inlineStr">
        <is>
          <t>nCO2_rate</t>
        </is>
      </c>
      <c r="C90" t="inlineStr">
        <is>
          <t>mol/s</t>
        </is>
      </c>
      <c r="D90" s="96">
        <f>P_atm*(Q_CO2/1000000/60)/(R_gas*T_K)</f>
        <v/>
      </c>
      <c r="E90" t="inlineStr">
        <is>
          <t>From Dosing.</t>
        </is>
      </c>
    </row>
    <row r="91">
      <c r="A91" t="inlineStr">
        <is>
          <t>Sparge duty cycle</t>
        </is>
      </c>
      <c r="B91" t="inlineStr">
        <is>
          <t>duty</t>
        </is>
      </c>
      <c r="C91" t="inlineStr">
        <is>
          <t>-</t>
        </is>
      </c>
      <c r="D91" s="96">
        <f>spg_dur/(spg_int*60)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 s="94">
        <f>Summary!$D$5</f>
        <v/>
      </c>
      <c r="E99" t="inlineStr">
        <is>
          <t>From Summary.</t>
        </is>
      </c>
    </row>
    <row r="100">
      <c r="A100" t="inlineStr">
        <is>
          <t>(import) Sparger type (from electrode)</t>
        </is>
      </c>
      <c r="B100" t="inlineStr">
        <is>
          <t>sparger</t>
        </is>
      </c>
      <c r="C100" t="inlineStr">
        <is>
          <t>-</t>
        </is>
      </c>
      <c r="D100" s="82">
        <f>Electrochemistry!$D$39</f>
        <v/>
      </c>
      <c r="E100" t="inlineStr">
        <is>
          <t>From Summary.</t>
        </is>
      </c>
    </row>
    <row r="102">
      <c r="A102" t="inlineStr">
        <is>
          <t>CO2 per pulse (headspace volumes)</t>
        </is>
      </c>
      <c r="B102" t="inlineStr">
        <is>
          <t>flush_factor</t>
        </is>
      </c>
      <c r="C102" t="inlineStr">
        <is>
          <t>-</t>
        </is>
      </c>
      <c r="D102" s="97" t="n">
        <v>1</v>
      </c>
      <c r="E102" t="inlineStr">
        <is>
          <t>From Dosing.</t>
        </is>
      </c>
    </row>
    <row r="103">
      <c r="A103" t="inlineStr">
        <is>
          <t>(import) Optimum DO (organism)</t>
        </is>
      </c>
      <c r="B103" t="inlineStr">
        <is>
          <t>DO_opt</t>
        </is>
      </c>
      <c r="D103" s="86">
        <f>Biology!$D$59</f>
        <v/>
      </c>
    </row>
    <row r="104">
      <c r="A104" t="inlineStr">
        <is>
          <t>(import) Impairment DO (organism)</t>
        </is>
      </c>
      <c r="B104" t="inlineStr">
        <is>
          <t>DO_impair</t>
        </is>
      </c>
      <c r="D104" s="86">
        <f>Biology!$D$60</f>
        <v/>
      </c>
    </row>
    <row r="105">
      <c r="A105" t="inlineStr">
        <is>
          <t>(import) Toxic/inhibition DO (organism)</t>
        </is>
      </c>
      <c r="B105" t="inlineStr">
        <is>
          <t>DO_toxic</t>
        </is>
      </c>
      <c r="D105" s="86">
        <f>Biology!$D$61</f>
        <v/>
      </c>
    </row>
    <row r="106">
      <c r="A106" t="inlineStr">
        <is>
          <t>(import) Minimum DO (organism)</t>
        </is>
      </c>
      <c r="B106" t="inlineStr">
        <is>
          <t>DO_min</t>
        </is>
      </c>
      <c r="D106" s="86">
        <f>Biology!$D$58</f>
        <v/>
      </c>
    </row>
    <row r="108">
      <c r="A108" s="69" t="inlineStr">
        <is>
          <t>STEADY-STATE DO CHECK (surface stripping vs organism band)</t>
        </is>
      </c>
    </row>
    <row r="109">
      <c r="A109" t="inlineStr">
        <is>
          <t>Steady-state DO under surface stripping</t>
        </is>
      </c>
      <c r="B109" t="inlineStr">
        <is>
          <t>DO_ss</t>
        </is>
      </c>
      <c r="D109" s="80">
        <f>O2_excess/(kLa_surf_used*3600*(V_charge/1000000))*32</f>
        <v/>
      </c>
    </row>
    <row r="110">
      <c r="A110" t="inlineStr">
        <is>
          <t xml:space="preserve">  DO_ss vs optimum (organism)</t>
        </is>
      </c>
      <c r="B110" t="inlineStr">
        <is>
          <t>DO_ss_vs_opt</t>
        </is>
      </c>
      <c r="D110" s="80">
        <f>IF(ISNUMBER(DO_opt),IF(DO_ss&lt;=DO_opt,"at/under optimum",IF(DO_ss&lt;DO_impair,"above optimum, under impairment","OVER IMPAIRMENT - surface strip insufficient")),"organism optimum unknown")</f>
        <v/>
      </c>
    </row>
    <row r="111">
      <c r="A111" t="inlineStr">
        <is>
          <t xml:space="preserve">  DO_ss vs minimum (organism)</t>
        </is>
      </c>
      <c r="B111" t="inlineStr">
        <is>
          <t>DO_ss_vs_min</t>
        </is>
      </c>
      <c r="D111" s="80">
        <f>IF(ISNUMBER(DO_min),IF(DO_ss&gt;=DO_min,"above minimum","BELOW MINIMUM"),"minimum DO unknown - measure")</f>
        <v/>
      </c>
    </row>
    <row r="112">
      <c r="A112" t="inlineStr">
        <is>
          <t>Tip-speed shear flag (&lt;1.5 m/s)</t>
        </is>
      </c>
      <c r="B112" t="inlineStr">
        <is>
          <t>tip_warn</t>
        </is>
      </c>
      <c r="D112" s="80">
        <f>IF(tip_speed&gt;1.5,"TIP SPEED &gt; 1.5 m/s","OK")</f>
        <v/>
      </c>
      <c r="E112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3">
      <c r="A113" t="inlineStr">
        <is>
          <t>Interval if surface stripping handles O2 (carbon-limited)</t>
        </is>
      </c>
      <c r="B113" t="inlineStr">
        <is>
          <t>spg_int_carbon</t>
        </is>
      </c>
      <c r="D113" s="80">
        <f>spg_dur_opt/(60*duty_carbon)</f>
        <v/>
      </c>
    </row>
    <row r="114">
      <c r="A114" t="inlineStr">
        <is>
          <t>Schedule regime (which interval applies)</t>
        </is>
      </c>
      <c r="B114" t="inlineStr">
        <is>
          <t>sched_regime</t>
        </is>
      </c>
      <c r="D114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4" s="95" t="inlineStr">
        <is>
          <t>Resolved by measuring kL_surf (improvement #1).</t>
        </is>
      </c>
    </row>
    <row r="116">
      <c r="A116" s="69" t="inlineStr">
        <is>
          <t>CO₂ DOSING &amp; SCHEDULE (folded from Dosing)</t>
        </is>
      </c>
    </row>
    <row r="117">
      <c r="A117" t="inlineStr">
        <is>
          <t>Reactor (calibration key)</t>
        </is>
      </c>
      <c r="B117" t="inlineStr">
        <is>
          <t>Reactor</t>
        </is>
      </c>
      <c r="D117" s="79">
        <f>Summary!$D$33</f>
        <v/>
      </c>
    </row>
    <row r="118">
      <c r="A118" t="inlineStr">
        <is>
          <t>latest calibration date</t>
        </is>
      </c>
      <c r="B118" t="inlineStr">
        <is>
          <t>latest_date</t>
        </is>
      </c>
      <c r="D118" s="80">
        <f>SUMPRODUCT(MAX(('CO2 flows'!$A$4:$A$200=Reactor)*('CO2 flows'!$J$4:$J$200&gt;0)*'CO2 flows'!$B$4:$B$200))</f>
        <v/>
      </c>
    </row>
    <row r="119">
      <c r="A119" t="inlineStr">
        <is>
          <t>flowrate (calibrated)</t>
        </is>
      </c>
      <c r="B119" t="inlineStr">
        <is>
          <t>flowrate_cal</t>
        </is>
      </c>
      <c r="D119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20">
      <c r="A120" t="inlineStr">
        <is>
          <t>min sparge (calibrated)</t>
        </is>
      </c>
      <c r="B120" t="inlineStr">
        <is>
          <t>min_sparge_cal</t>
        </is>
      </c>
      <c r="D120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21">
      <c r="A121" t="inlineStr">
        <is>
          <t>reactor has a calibration row?</t>
        </is>
      </c>
      <c r="B121" t="inlineStr">
        <is>
          <t>has_cal</t>
        </is>
      </c>
      <c r="D121" s="80">
        <f>SUMPRODUCT(('CO2 flows'!$A$4:$A$200=Reactor)*('CO2 flows'!$J$4:$J$200&gt;0)*1)</f>
        <v/>
      </c>
    </row>
    <row r="122">
      <c r="A122" t="inlineStr">
        <is>
          <t>calibration source</t>
        </is>
      </c>
      <c r="B122" t="inlineStr">
        <is>
          <t>cal_warning</t>
        </is>
      </c>
      <c r="D122" s="80">
        <f>IF(has_cal&gt;0,"calibrated: "&amp;Reactor,"NO CALIBRATION for "&amp;Reactor&amp;" - add a row in CO2 flows with nominal flowrate + minimum sparge")</f>
        <v/>
      </c>
    </row>
    <row r="123">
      <c r="A123" t="inlineStr">
        <is>
          <t>Sparge duration per pulse</t>
        </is>
      </c>
      <c r="B123" t="inlineStr">
        <is>
          <t>spg_dur</t>
        </is>
      </c>
      <c r="D123" s="80">
        <f>IF(sched_mode="Optimal",spg_dur_opt,IF(sched_mode="Manual",spg_dur_man,NA()))</f>
        <v/>
      </c>
    </row>
    <row r="124">
      <c r="A124" t="inlineStr">
        <is>
          <t>Sparge interval</t>
        </is>
      </c>
      <c r="B124" t="inlineStr">
        <is>
          <t>spg_int</t>
        </is>
      </c>
      <c r="D124" s="80">
        <f>IF(sched_mode="Optimal",spg_int_opt,IF(sched_mode="Manual",spg_int_man,NA()))</f>
        <v/>
      </c>
    </row>
    <row r="125">
      <c r="A125" t="inlineStr">
        <is>
          <t>CO₂ per pulse</t>
        </is>
      </c>
      <c r="B125" t="inlineStr">
        <is>
          <t>CO2_pulse</t>
        </is>
      </c>
      <c r="D125" s="80">
        <f>nCO2_rate*spg_dur</f>
        <v/>
      </c>
    </row>
    <row r="126">
      <c r="A126" t="inlineStr">
        <is>
          <t>Pulses per hour</t>
        </is>
      </c>
      <c r="B126" t="inlineStr">
        <is>
          <t>pulses_h</t>
        </is>
      </c>
      <c r="D126" s="80">
        <f>60/spg_int</f>
        <v/>
      </c>
    </row>
    <row r="127">
      <c r="A127" t="inlineStr">
        <is>
          <t>Pulses per day</t>
        </is>
      </c>
      <c r="B127" t="inlineStr">
        <is>
          <t>pulses_d</t>
        </is>
      </c>
      <c r="D127" s="80">
        <f>pulses_h*24</f>
        <v/>
      </c>
    </row>
    <row r="128">
      <c r="A128" t="inlineStr">
        <is>
          <t>CO₂ supply : carbon demand</t>
        </is>
      </c>
      <c r="B128" t="inlineStr">
        <is>
          <t>CO2_sd_ratio</t>
        </is>
      </c>
      <c r="D128" s="80">
        <f>IF(CO2_cons&gt;0,CO2_supply/CO2_cons,NA())</f>
        <v/>
      </c>
    </row>
    <row r="129">
      <c r="A129" t="inlineStr">
        <is>
          <t>O₂ accumulated per interval</t>
        </is>
      </c>
      <c r="B129" t="inlineStr">
        <is>
          <t>O2_accum</t>
        </is>
      </c>
      <c r="D129" s="80">
        <f>O2_excess/60*spg_int</f>
        <v/>
      </c>
    </row>
    <row r="130">
      <c r="A130" t="inlineStr">
        <is>
          <t>O₂ removable per pulse</t>
        </is>
      </c>
      <c r="B130" t="inlineStr">
        <is>
          <t>O2_strip_pulse</t>
        </is>
      </c>
      <c r="D130" s="80">
        <f>strip_sparge/3600*spg_dur</f>
        <v/>
      </c>
    </row>
    <row r="131">
      <c r="A131" t="inlineStr">
        <is>
          <t>Per-pulse balance</t>
        </is>
      </c>
      <c r="B131" t="inlineStr">
        <is>
          <t>sched_bal</t>
        </is>
      </c>
      <c r="D131" s="80">
        <f>IF(O2_accum&gt;0,O2_strip_pulse/O2_accum,NA())</f>
        <v/>
      </c>
    </row>
    <row r="132">
      <c r="A132" t="inlineStr">
        <is>
          <t>Duration floor check</t>
        </is>
      </c>
      <c r="B132" t="inlineStr">
        <is>
          <t>dur_ok</t>
        </is>
      </c>
      <c r="D132" s="80">
        <f>IF(spg_dur&gt;=pulse_floor,"OK","LOW")</f>
        <v/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2026-06-19T12:25:35Z</dcterms:modified>
  <cp:lastModifiedBy>Martin Currie</cp:lastModifiedBy>
  <cp:revision>0</cp:revision>
</cp:coreProperties>
</file>